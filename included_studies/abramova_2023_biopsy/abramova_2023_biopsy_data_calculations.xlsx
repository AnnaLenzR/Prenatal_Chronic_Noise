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ualberta-my.sharepoint.com/personal/lenzrive_ualberta_ca/Documents/Chronic_noise_rodents/Pre-natal/Data extraction/abramova_2023_biopsy/"/>
    </mc:Choice>
  </mc:AlternateContent>
  <xr:revisionPtr revIDLastSave="13" documentId="13_ncr:1_{B0A6D837-457D-1B44-81D9-FA764CE7D9EB}" xr6:coauthVersionLast="47" xr6:coauthVersionMax="47" xr10:uidLastSave="{1AEEC94F-C247-4C4D-9DE7-9B18B250161D}"/>
  <bookViews>
    <workbookView xWindow="0" yWindow="600" windowWidth="28800" windowHeight="17400" xr2:uid="{00000000-000D-0000-FFFF-FFFF00000000}"/>
  </bookViews>
  <sheets>
    <sheet name="Table1_Extract" sheetId="1" r:id="rId1"/>
    <sheet name="Notes" sheetId="2" r:id="rId2"/>
  </sheets>
  <definedNames>
    <definedName name="_xlnm._FilterDatabase" localSheetId="0" hidden="1">Table1_Extract!$A$1:$T$1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/>
  <c r="I6" i="1" s="1"/>
  <c r="L6" i="1" l="1"/>
  <c r="N6" i="1" s="1"/>
  <c r="K48" i="1"/>
  <c r="F11" i="1"/>
  <c r="L49" i="1"/>
  <c r="N49" i="1" s="1"/>
  <c r="K49" i="1"/>
  <c r="G49" i="1"/>
  <c r="I49" i="1" s="1"/>
  <c r="F49" i="1"/>
  <c r="L48" i="1"/>
  <c r="N48" i="1" s="1"/>
  <c r="G48" i="1"/>
  <c r="I48" i="1" s="1"/>
  <c r="F48" i="1"/>
  <c r="L47" i="1"/>
  <c r="G47" i="1"/>
  <c r="L46" i="1"/>
  <c r="G46" i="1"/>
  <c r="L45" i="1"/>
  <c r="G45" i="1"/>
  <c r="L44" i="1"/>
  <c r="G44" i="1"/>
  <c r="L43" i="1"/>
  <c r="N43" i="1" s="1"/>
  <c r="K43" i="1"/>
  <c r="G43" i="1"/>
  <c r="I43" i="1" s="1"/>
  <c r="F43" i="1"/>
  <c r="N42" i="1"/>
  <c r="L42" i="1"/>
  <c r="K42" i="1"/>
  <c r="G42" i="1"/>
  <c r="I42" i="1" s="1"/>
  <c r="F42" i="1"/>
  <c r="L41" i="1"/>
  <c r="N41" i="1" s="1"/>
  <c r="K41" i="1"/>
  <c r="G41" i="1"/>
  <c r="I41" i="1" s="1"/>
  <c r="F41" i="1"/>
  <c r="L40" i="1"/>
  <c r="N40" i="1" s="1"/>
  <c r="K40" i="1"/>
  <c r="G40" i="1"/>
  <c r="I40" i="1" s="1"/>
  <c r="F40" i="1"/>
  <c r="L39" i="1"/>
  <c r="G39" i="1"/>
  <c r="L38" i="1"/>
  <c r="G38" i="1"/>
  <c r="L37" i="1"/>
  <c r="G37" i="1"/>
  <c r="L36" i="1"/>
  <c r="G36" i="1"/>
  <c r="L35" i="1"/>
  <c r="G35" i="1"/>
  <c r="L34" i="1"/>
  <c r="G34" i="1"/>
  <c r="L33" i="1"/>
  <c r="N33" i="1" s="1"/>
  <c r="K33" i="1"/>
  <c r="G33" i="1"/>
  <c r="I33" i="1" s="1"/>
  <c r="F33" i="1"/>
  <c r="L32" i="1"/>
  <c r="N32" i="1" s="1"/>
  <c r="K32" i="1"/>
  <c r="G32" i="1"/>
  <c r="I32" i="1" s="1"/>
  <c r="F32" i="1"/>
  <c r="L31" i="1"/>
  <c r="G31" i="1"/>
  <c r="L30" i="1"/>
  <c r="G30" i="1"/>
  <c r="L29" i="1"/>
  <c r="N29" i="1" s="1"/>
  <c r="K29" i="1"/>
  <c r="G29" i="1"/>
  <c r="I29" i="1" s="1"/>
  <c r="F29" i="1"/>
  <c r="L28" i="1"/>
  <c r="N28" i="1" s="1"/>
  <c r="K28" i="1"/>
  <c r="G28" i="1"/>
  <c r="I28" i="1" s="1"/>
  <c r="F28" i="1"/>
  <c r="L27" i="1"/>
  <c r="G27" i="1"/>
  <c r="L26" i="1"/>
  <c r="G26" i="1"/>
  <c r="L25" i="1"/>
  <c r="G25" i="1"/>
  <c r="L24" i="1"/>
  <c r="G24" i="1"/>
  <c r="L23" i="1"/>
  <c r="N23" i="1" s="1"/>
  <c r="K23" i="1"/>
  <c r="G23" i="1"/>
  <c r="I23" i="1" s="1"/>
  <c r="F23" i="1"/>
  <c r="L22" i="1"/>
  <c r="N22" i="1" s="1"/>
  <c r="K22" i="1"/>
  <c r="G22" i="1"/>
  <c r="I22" i="1" s="1"/>
  <c r="F22" i="1"/>
  <c r="L21" i="1"/>
  <c r="G21" i="1"/>
  <c r="L20" i="1"/>
  <c r="G20" i="1"/>
  <c r="L19" i="1"/>
  <c r="N19" i="1" s="1"/>
  <c r="K19" i="1"/>
  <c r="G19" i="1"/>
  <c r="I19" i="1" s="1"/>
  <c r="F19" i="1"/>
  <c r="L18" i="1"/>
  <c r="N18" i="1" s="1"/>
  <c r="K18" i="1"/>
  <c r="G18" i="1"/>
  <c r="I18" i="1" s="1"/>
  <c r="F18" i="1"/>
  <c r="L17" i="1"/>
  <c r="G17" i="1"/>
  <c r="L16" i="1"/>
  <c r="G16" i="1"/>
  <c r="L15" i="1"/>
  <c r="N15" i="1" s="1"/>
  <c r="K15" i="1"/>
  <c r="I15" i="1"/>
  <c r="G15" i="1"/>
  <c r="F15" i="1"/>
  <c r="L14" i="1"/>
  <c r="N14" i="1" s="1"/>
  <c r="K14" i="1"/>
  <c r="G14" i="1"/>
  <c r="I14" i="1" s="1"/>
  <c r="F14" i="1"/>
  <c r="L13" i="1"/>
  <c r="G13" i="1"/>
  <c r="L12" i="1"/>
  <c r="G12" i="1"/>
  <c r="L11" i="1"/>
  <c r="N11" i="1" s="1"/>
  <c r="K11" i="1"/>
  <c r="G11" i="1"/>
  <c r="I11" i="1" s="1"/>
  <c r="L10" i="1"/>
  <c r="N10" i="1" s="1"/>
  <c r="K10" i="1"/>
  <c r="G10" i="1"/>
  <c r="I10" i="1" s="1"/>
  <c r="F10" i="1"/>
  <c r="L9" i="1"/>
  <c r="G9" i="1"/>
  <c r="L8" i="1"/>
  <c r="G8" i="1"/>
  <c r="L7" i="1"/>
  <c r="N7" i="1" s="1"/>
  <c r="K7" i="1"/>
  <c r="G7" i="1"/>
  <c r="I7" i="1" s="1"/>
  <c r="F7" i="1"/>
  <c r="K6" i="1"/>
  <c r="L5" i="1"/>
  <c r="G5" i="1"/>
  <c r="L4" i="1"/>
  <c r="G4" i="1"/>
  <c r="L3" i="1"/>
  <c r="G3" i="1"/>
  <c r="L2" i="1"/>
  <c r="G2" i="1"/>
</calcChain>
</file>

<file path=xl/sharedStrings.xml><?xml version="1.0" encoding="utf-8"?>
<sst xmlns="http://schemas.openxmlformats.org/spreadsheetml/2006/main" count="266" uniqueCount="59">
  <si>
    <t>Test</t>
  </si>
  <si>
    <t>Metric</t>
  </si>
  <si>
    <t>Sex</t>
  </si>
  <si>
    <t>Unit</t>
  </si>
  <si>
    <t>Reported in paper</t>
  </si>
  <si>
    <t>c_mean (control mean)</t>
  </si>
  <si>
    <t>c_sd (control sd formula)</t>
  </si>
  <si>
    <t>offspring_c_n (control n)</t>
  </si>
  <si>
    <t>c_se (control se)</t>
  </si>
  <si>
    <t>c_ci</t>
  </si>
  <si>
    <t>ex_mean (PS mean)</t>
  </si>
  <si>
    <t>ex_sd (PS sd formula)</t>
  </si>
  <si>
    <t>offspring_ex_n (PS n)</t>
  </si>
  <si>
    <t>ex_se (PS se)</t>
  </si>
  <si>
    <t>c_median</t>
  </si>
  <si>
    <t>c_q1</t>
  </si>
  <si>
    <t>c_q3</t>
  </si>
  <si>
    <t>ex_median</t>
  </si>
  <si>
    <t>ex_q1</t>
  </si>
  <si>
    <t>ex_q3</t>
  </si>
  <si>
    <t>Open Field</t>
  </si>
  <si>
    <t>Количество пересеченных квадратов (горизонтальная активность)</t>
  </si>
  <si>
    <t>Male</t>
  </si>
  <si>
    <t/>
  </si>
  <si>
    <t>Mean±SEM</t>
  </si>
  <si>
    <t>Female</t>
  </si>
  <si>
    <t>Rearings (vertical activity)</t>
  </si>
  <si>
    <t>count</t>
  </si>
  <si>
    <t>Center crossings (arena center)</t>
  </si>
  <si>
    <t>Median(Q1;Q3)</t>
  </si>
  <si>
    <t>Total freezing time</t>
  </si>
  <si>
    <t>s</t>
  </si>
  <si>
    <t>Total grooming time</t>
  </si>
  <si>
    <t>Grooming frequency</t>
  </si>
  <si>
    <t>Mean grooming bout duration</t>
  </si>
  <si>
    <t>Elevated Plus Maze</t>
  </si>
  <si>
    <t>Time in dark compartment</t>
  </si>
  <si>
    <t>Time in light compartment</t>
  </si>
  <si>
    <t>Transitions through center</t>
  </si>
  <si>
    <t>Head-out inspections</t>
  </si>
  <si>
    <t>Overhangs</t>
  </si>
  <si>
    <t>Rearings</t>
  </si>
  <si>
    <t>Sucrose preference (Anhedonia)</t>
  </si>
  <si>
    <t>Sucrose preference index</t>
  </si>
  <si>
    <t>%</t>
  </si>
  <si>
    <t>Social interaction</t>
  </si>
  <si>
    <t>Time in social interactions</t>
  </si>
  <si>
    <t>Time in threatening/aggressive behavior</t>
  </si>
  <si>
    <t>Forced swim</t>
  </si>
  <si>
    <t>Immobility time</t>
  </si>
  <si>
    <t>Passive swimming time</t>
  </si>
  <si>
    <t>Active swimming time</t>
  </si>
  <si>
    <t>Number of dives</t>
  </si>
  <si>
    <t>Source</t>
  </si>
  <si>
    <t>Table 1 in Abramova et al. 2023 (Russian Psychiatric Journal). Extracted using pdfplumber.</t>
  </si>
  <si>
    <t>Interpretation</t>
  </si>
  <si>
    <t>Cells reported as Mean±SEM are entered as mean and SEM. SD is computed as SEM*SQRT(n). Cells reported as Median(Q1;Q3) store median/Q1/Q3 and estimate mean as (Q1+Median+Q3)/3 and SD as (Q3−Q1)/1.35 (normal approximation). SE is SD/SQRT(n).</t>
  </si>
  <si>
    <t>Optional (smaller-sample) SD formula</t>
  </si>
  <si>
    <t>If you prefer a small-sample adjustment (Wan et al.), replace SD with: (Q3−Q1) / (2*NORM.S.INV((0.75*n−0.125)/(n+0.25))).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</si>
</sst>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topLeftCell="C1" zoomScale="116" workbookViewId="0">
      <selection activeCell="F6" sqref="F6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0" customWidth="1"/>
    <col min="4" max="4" width="8" customWidth="1"/>
    <col min="5" max="6" width="16" customWidth="1"/>
    <col min="7" max="7" width="18" customWidth="1"/>
    <col min="8" max="8" width="16" customWidth="1"/>
    <col min="9" max="9" width="14" customWidth="1"/>
    <col min="10" max="10" width="8" customWidth="1"/>
    <col min="11" max="11" width="16" customWidth="1"/>
    <col min="12" max="12" width="18" customWidth="1"/>
    <col min="13" max="13" width="16" customWidth="1"/>
    <col min="14" max="14" width="14" customWidth="1"/>
    <col min="15" max="15" width="10" customWidth="1"/>
    <col min="16" max="17" width="8" customWidth="1"/>
    <col min="18" max="18" width="10" customWidth="1"/>
    <col min="19" max="20" width="8" customWidth="1"/>
  </cols>
  <sheetData>
    <row r="1" spans="1:20" ht="4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2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51.7</v>
      </c>
      <c r="G2" s="3">
        <f>IF(ISBLANK(I2),"",I2*SQRT(H2))</f>
        <v>8.1000000000000014</v>
      </c>
      <c r="H2" s="4">
        <v>9</v>
      </c>
      <c r="I2" s="3">
        <v>2.7</v>
      </c>
      <c r="J2" s="5"/>
      <c r="K2" s="3">
        <v>22.3</v>
      </c>
      <c r="L2" s="3">
        <f>IF(ISBLANK(N2),"",N2*SQRT(M2))</f>
        <v>10.435516278555651</v>
      </c>
      <c r="M2" s="4">
        <v>10</v>
      </c>
      <c r="N2" s="3">
        <v>3.3</v>
      </c>
      <c r="O2" s="3"/>
      <c r="P2" s="3"/>
      <c r="Q2" s="3"/>
      <c r="R2" s="3"/>
      <c r="S2" s="3"/>
      <c r="T2" s="3"/>
    </row>
    <row r="3" spans="1:20" ht="32" x14ac:dyDescent="0.2">
      <c r="A3" s="2" t="s">
        <v>20</v>
      </c>
      <c r="B3" s="2" t="s">
        <v>21</v>
      </c>
      <c r="C3" s="2" t="s">
        <v>25</v>
      </c>
      <c r="D3" s="2" t="s">
        <v>23</v>
      </c>
      <c r="E3" s="2" t="s">
        <v>24</v>
      </c>
      <c r="F3" s="3">
        <v>53.2</v>
      </c>
      <c r="G3" s="3">
        <f>IF(ISBLANK(I3),"",I3*SQRT(H3))</f>
        <v>11.067971810589329</v>
      </c>
      <c r="H3" s="4">
        <v>10</v>
      </c>
      <c r="I3" s="3">
        <v>3.5</v>
      </c>
      <c r="J3" s="5"/>
      <c r="K3" s="3">
        <v>31.1</v>
      </c>
      <c r="L3" s="3">
        <f>IF(ISBLANK(N3),"",N3*SQRT(M3))</f>
        <v>14.424978336205569</v>
      </c>
      <c r="M3" s="4">
        <v>8</v>
      </c>
      <c r="N3" s="3">
        <v>5.0999999999999996</v>
      </c>
      <c r="O3" s="3"/>
      <c r="P3" s="3"/>
      <c r="Q3" s="3"/>
      <c r="R3" s="3"/>
      <c r="S3" s="3"/>
      <c r="T3" s="3"/>
    </row>
    <row r="4" spans="1:20" ht="16" x14ac:dyDescent="0.2">
      <c r="A4" s="2" t="s">
        <v>20</v>
      </c>
      <c r="B4" s="2" t="s">
        <v>26</v>
      </c>
      <c r="C4" s="2" t="s">
        <v>22</v>
      </c>
      <c r="D4" s="2" t="s">
        <v>27</v>
      </c>
      <c r="E4" s="2" t="s">
        <v>24</v>
      </c>
      <c r="F4" s="3">
        <v>23.4</v>
      </c>
      <c r="G4" s="3">
        <f>IF(ISBLANK(I4),"",I4*SQRT(H4))</f>
        <v>5.0999999999999996</v>
      </c>
      <c r="H4" s="4">
        <v>9</v>
      </c>
      <c r="I4" s="3">
        <v>1.7</v>
      </c>
      <c r="J4" s="5"/>
      <c r="K4" s="3">
        <v>8.4</v>
      </c>
      <c r="L4" s="3">
        <f>IF(ISBLANK(N4),"",N4*SQRT(M4))</f>
        <v>3.7947331922020551</v>
      </c>
      <c r="M4" s="4">
        <v>10</v>
      </c>
      <c r="N4" s="3">
        <v>1.2</v>
      </c>
      <c r="O4" s="3"/>
      <c r="P4" s="3"/>
      <c r="Q4" s="3"/>
      <c r="R4" s="3"/>
      <c r="S4" s="3"/>
      <c r="T4" s="3"/>
    </row>
    <row r="5" spans="1:20" ht="16" x14ac:dyDescent="0.2">
      <c r="A5" s="2" t="s">
        <v>20</v>
      </c>
      <c r="B5" s="2" t="s">
        <v>26</v>
      </c>
      <c r="C5" s="2" t="s">
        <v>25</v>
      </c>
      <c r="D5" s="2" t="s">
        <v>27</v>
      </c>
      <c r="E5" s="2" t="s">
        <v>24</v>
      </c>
      <c r="F5" s="3">
        <v>23.4</v>
      </c>
      <c r="G5" s="3">
        <f>IF(ISBLANK(I5),"",I5*SQRT(H5))</f>
        <v>7.905694150420949</v>
      </c>
      <c r="H5" s="4">
        <v>10</v>
      </c>
      <c r="I5" s="3">
        <v>2.5</v>
      </c>
      <c r="J5" s="5"/>
      <c r="K5" s="3">
        <v>14.1</v>
      </c>
      <c r="L5" s="3">
        <f>IF(ISBLANK(N5),"",N5*SQRT(M5))</f>
        <v>4.8083261120685235</v>
      </c>
      <c r="M5" s="4">
        <v>8</v>
      </c>
      <c r="N5" s="3">
        <v>1.7</v>
      </c>
      <c r="O5" s="3"/>
      <c r="P5" s="3"/>
      <c r="Q5" s="3"/>
      <c r="R5" s="3"/>
      <c r="S5" s="3"/>
      <c r="T5" s="3"/>
    </row>
    <row r="6" spans="1:20" ht="16" x14ac:dyDescent="0.2">
      <c r="A6" s="2" t="s">
        <v>20</v>
      </c>
      <c r="B6" s="2" t="s">
        <v>28</v>
      </c>
      <c r="C6" s="2" t="s">
        <v>22</v>
      </c>
      <c r="D6" s="2" t="s">
        <v>27</v>
      </c>
      <c r="E6" s="2" t="s">
        <v>29</v>
      </c>
      <c r="F6" s="3">
        <f>IF(OR(O6="",P6="",Q6=""),"",(O6+P6+Q6)/3)</f>
        <v>2</v>
      </c>
      <c r="G6" s="3">
        <f>IF(OR(P6="",Q6=""),"",(Q6-P6)/1.35)</f>
        <v>1.4814814814814814</v>
      </c>
      <c r="H6" s="4">
        <v>9</v>
      </c>
      <c r="I6" s="3">
        <f>IF(G6="","",G6/SQRT(H6))</f>
        <v>0.49382716049382713</v>
      </c>
      <c r="J6" s="5"/>
      <c r="K6" s="3">
        <f>IF(OR(R6="",S6="",T6=""),"",(R6+S6+T6)/3)</f>
        <v>0.5</v>
      </c>
      <c r="L6" s="3">
        <f>IF(OR(S6="",T6=""),"",(T6-S6)/1.35)</f>
        <v>0.7407407407407407</v>
      </c>
      <c r="M6" s="4">
        <v>10</v>
      </c>
      <c r="N6" s="3">
        <f>IF(L6="","",L6/SQRT(M6))</f>
        <v>0.23424278964210216</v>
      </c>
      <c r="O6" s="3">
        <v>2</v>
      </c>
      <c r="P6" s="3">
        <v>1</v>
      </c>
      <c r="Q6" s="3">
        <v>3</v>
      </c>
      <c r="R6" s="3">
        <v>0.5</v>
      </c>
      <c r="S6" s="3">
        <v>0</v>
      </c>
      <c r="T6" s="3">
        <v>1</v>
      </c>
    </row>
    <row r="7" spans="1:20" ht="16" x14ac:dyDescent="0.2">
      <c r="A7" s="2" t="s">
        <v>20</v>
      </c>
      <c r="B7" s="2" t="s">
        <v>28</v>
      </c>
      <c r="C7" s="2" t="s">
        <v>25</v>
      </c>
      <c r="D7" s="2" t="s">
        <v>27</v>
      </c>
      <c r="E7" s="2" t="s">
        <v>29</v>
      </c>
      <c r="F7" s="3">
        <f>IF(OR(O7="",P7="",Q7=""),"",(O7+P7+Q7)/3)</f>
        <v>2.0666666666666669</v>
      </c>
      <c r="G7" s="3">
        <f>IF(OR(P7="",Q7=""),"",(Q7-P7)/1.35)</f>
        <v>1.3333333333333333</v>
      </c>
      <c r="H7" s="4">
        <v>10</v>
      </c>
      <c r="I7" s="3">
        <f>IF(G7="","",G7/SQRT(H7))</f>
        <v>0.42163702135578385</v>
      </c>
      <c r="J7" s="5"/>
      <c r="K7" s="3">
        <f>IF(OR(R7="",S7="",T7=""),"",(R7+S7+T7)/3)</f>
        <v>0.16666666666666666</v>
      </c>
      <c r="L7" s="3">
        <f>IF(OR(S7="",T7=""),"",(T7-S7)/1.35)</f>
        <v>0.37037037037037035</v>
      </c>
      <c r="M7" s="4">
        <v>8</v>
      </c>
      <c r="N7" s="3">
        <f>IF(L7="","",L7/SQRT(M7))</f>
        <v>0.13094570021973101</v>
      </c>
      <c r="O7" s="3">
        <v>2</v>
      </c>
      <c r="P7" s="3">
        <v>1.2</v>
      </c>
      <c r="Q7" s="3">
        <v>3</v>
      </c>
      <c r="R7" s="3">
        <v>0</v>
      </c>
      <c r="S7" s="3">
        <v>0</v>
      </c>
      <c r="T7" s="3">
        <v>0.5</v>
      </c>
    </row>
    <row r="8" spans="1:20" ht="16" x14ac:dyDescent="0.2">
      <c r="A8" s="2" t="s">
        <v>20</v>
      </c>
      <c r="B8" s="2" t="s">
        <v>30</v>
      </c>
      <c r="C8" s="2" t="s">
        <v>22</v>
      </c>
      <c r="D8" s="2" t="s">
        <v>31</v>
      </c>
      <c r="E8" s="2" t="s">
        <v>24</v>
      </c>
      <c r="F8" s="3">
        <v>23.7</v>
      </c>
      <c r="G8" s="3">
        <f>IF(ISBLANK(I8),"",I8*SQRT(H8))</f>
        <v>14.700000000000001</v>
      </c>
      <c r="H8" s="4">
        <v>9</v>
      </c>
      <c r="I8" s="3">
        <v>4.9000000000000004</v>
      </c>
      <c r="J8" s="5"/>
      <c r="K8" s="3">
        <v>80.099999999999994</v>
      </c>
      <c r="L8" s="3">
        <f>IF(ISBLANK(N8),"",N8*SQRT(M8))</f>
        <v>61.348186607266555</v>
      </c>
      <c r="M8" s="4">
        <v>10</v>
      </c>
      <c r="N8" s="3">
        <v>19.399999999999999</v>
      </c>
      <c r="O8" s="3"/>
      <c r="P8" s="3"/>
      <c r="Q8" s="3"/>
      <c r="R8" s="3"/>
      <c r="S8" s="3"/>
      <c r="T8" s="3"/>
    </row>
    <row r="9" spans="1:20" ht="16" x14ac:dyDescent="0.2">
      <c r="A9" s="2" t="s">
        <v>20</v>
      </c>
      <c r="B9" s="2" t="s">
        <v>30</v>
      </c>
      <c r="C9" s="2" t="s">
        <v>25</v>
      </c>
      <c r="D9" s="2" t="s">
        <v>31</v>
      </c>
      <c r="E9" s="2" t="s">
        <v>24</v>
      </c>
      <c r="F9" s="3">
        <v>18.3</v>
      </c>
      <c r="G9" s="3">
        <f>IF(ISBLANK(I9),"",I9*SQRT(H9))</f>
        <v>9.4868329805051381</v>
      </c>
      <c r="H9" s="4">
        <v>10</v>
      </c>
      <c r="I9" s="3">
        <v>3</v>
      </c>
      <c r="J9" s="5"/>
      <c r="K9" s="3">
        <v>75.3</v>
      </c>
      <c r="L9" s="3">
        <f>IF(ISBLANK(N9),"",N9*SQRT(M9))</f>
        <v>56.85138520739843</v>
      </c>
      <c r="M9" s="4">
        <v>8</v>
      </c>
      <c r="N9" s="3">
        <v>20.100000000000001</v>
      </c>
      <c r="O9" s="3"/>
      <c r="P9" s="3"/>
      <c r="Q9" s="3"/>
      <c r="R9" s="3"/>
      <c r="S9" s="3"/>
      <c r="T9" s="3"/>
    </row>
    <row r="10" spans="1:20" ht="16" x14ac:dyDescent="0.2">
      <c r="A10" s="2" t="s">
        <v>20</v>
      </c>
      <c r="B10" s="2" t="s">
        <v>32</v>
      </c>
      <c r="C10" s="2" t="s">
        <v>22</v>
      </c>
      <c r="D10" s="2" t="s">
        <v>31</v>
      </c>
      <c r="E10" s="2" t="s">
        <v>29</v>
      </c>
      <c r="F10" s="3">
        <f>IF(OR(O10="",P10="",Q10=""),"",(O10+P10+Q10)/3)</f>
        <v>16.766666666666666</v>
      </c>
      <c r="G10" s="3">
        <f>IF(OR(P10="",Q10=""),"",(Q10-P10)/1.35)</f>
        <v>8.4444444444444429</v>
      </c>
      <c r="H10" s="4">
        <v>9</v>
      </c>
      <c r="I10" s="3">
        <f>IF(G10="","",G10/SQRT(H10))</f>
        <v>2.8148148148148144</v>
      </c>
      <c r="J10" s="5"/>
      <c r="K10" s="3">
        <f>IF(OR(R10="",S10="",T10=""),"",(R10+S10+T10)/3)</f>
        <v>38.699999999999996</v>
      </c>
      <c r="L10" s="3">
        <f>IF(OR(S10="",T10=""),"",(T10-S10)/1.35)</f>
        <v>27.111111111111104</v>
      </c>
      <c r="M10" s="4">
        <v>10</v>
      </c>
      <c r="N10" s="3">
        <f>IF(L10="","",L10/SQRT(M10))</f>
        <v>8.5732861009009369</v>
      </c>
      <c r="O10" s="3">
        <v>16.3</v>
      </c>
      <c r="P10" s="3">
        <v>11.3</v>
      </c>
      <c r="Q10" s="3">
        <v>22.7</v>
      </c>
      <c r="R10" s="3">
        <v>28.9</v>
      </c>
      <c r="S10" s="3">
        <v>25.3</v>
      </c>
      <c r="T10" s="3">
        <v>61.9</v>
      </c>
    </row>
    <row r="11" spans="1:20" ht="16" x14ac:dyDescent="0.2">
      <c r="A11" s="2" t="s">
        <v>20</v>
      </c>
      <c r="B11" s="2" t="s">
        <v>32</v>
      </c>
      <c r="C11" s="2" t="s">
        <v>25</v>
      </c>
      <c r="D11" s="2" t="s">
        <v>31</v>
      </c>
      <c r="E11" s="2" t="s">
        <v>29</v>
      </c>
      <c r="F11" s="3">
        <f>IF(OR(O11="",P11="",Q11=""),"",(O11+P11+Q11)/3)</f>
        <v>26.066666666666666</v>
      </c>
      <c r="G11" s="3">
        <f>IF(OR(P11="",Q11=""),"",(Q11-P11)/1.35)</f>
        <v>5.1111111111111098</v>
      </c>
      <c r="H11" s="4">
        <v>10</v>
      </c>
      <c r="I11" s="3">
        <f>IF(G11="","",G11/SQRT(H11))</f>
        <v>1.6162752485305045</v>
      </c>
      <c r="J11" s="5"/>
      <c r="K11" s="3">
        <f>IF(OR(R11="",S11="",T11=""),"",(R11+S11+T11)/3)</f>
        <v>24.933333333333337</v>
      </c>
      <c r="L11" s="3">
        <f>IF(OR(S11="",T11=""),"",(T11-S11)/1.35)</f>
        <v>16.074074074074076</v>
      </c>
      <c r="M11" s="4">
        <v>8</v>
      </c>
      <c r="N11" s="3">
        <f>IF(L11="","",L11/SQRT(M11))</f>
        <v>5.6830433895363264</v>
      </c>
      <c r="O11" s="3">
        <v>24.7</v>
      </c>
      <c r="P11" s="3">
        <v>23.3</v>
      </c>
      <c r="Q11" s="3">
        <v>30.2</v>
      </c>
      <c r="R11" s="3">
        <v>24.3</v>
      </c>
      <c r="S11" s="3">
        <v>14.4</v>
      </c>
      <c r="T11" s="3">
        <v>36.1</v>
      </c>
    </row>
    <row r="12" spans="1:20" ht="16" x14ac:dyDescent="0.2">
      <c r="A12" s="2" t="s">
        <v>20</v>
      </c>
      <c r="B12" s="2" t="s">
        <v>33</v>
      </c>
      <c r="C12" s="2" t="s">
        <v>22</v>
      </c>
      <c r="D12" s="2" t="s">
        <v>27</v>
      </c>
      <c r="E12" s="2" t="s">
        <v>24</v>
      </c>
      <c r="F12" s="3">
        <v>3.3</v>
      </c>
      <c r="G12" s="3">
        <f>IF(ISBLANK(I12),"",I12*SQRT(H12))</f>
        <v>1.7999999999999998</v>
      </c>
      <c r="H12" s="4">
        <v>9</v>
      </c>
      <c r="I12" s="3">
        <v>0.6</v>
      </c>
      <c r="J12" s="5"/>
      <c r="K12" s="3">
        <v>3.3</v>
      </c>
      <c r="L12" s="3">
        <f>IF(ISBLANK(N12),"",N12*SQRT(M12))</f>
        <v>1.5811388300841898</v>
      </c>
      <c r="M12" s="4">
        <v>10</v>
      </c>
      <c r="N12" s="3">
        <v>0.5</v>
      </c>
      <c r="O12" s="3"/>
      <c r="P12" s="3"/>
      <c r="Q12" s="3"/>
      <c r="R12" s="3"/>
      <c r="S12" s="3"/>
      <c r="T12" s="3"/>
    </row>
    <row r="13" spans="1:20" ht="16" x14ac:dyDescent="0.2">
      <c r="A13" s="2" t="s">
        <v>20</v>
      </c>
      <c r="B13" s="2" t="s">
        <v>33</v>
      </c>
      <c r="C13" s="2" t="s">
        <v>25</v>
      </c>
      <c r="D13" s="2" t="s">
        <v>27</v>
      </c>
      <c r="E13" s="2" t="s">
        <v>24</v>
      </c>
      <c r="F13" s="3">
        <v>4.8</v>
      </c>
      <c r="G13" s="3">
        <f>IF(ISBLANK(I13),"",I13*SQRT(H13))</f>
        <v>1.8973665961010275</v>
      </c>
      <c r="H13" s="4">
        <v>10</v>
      </c>
      <c r="I13" s="3">
        <v>0.6</v>
      </c>
      <c r="J13" s="5"/>
      <c r="K13" s="3">
        <v>2.9</v>
      </c>
      <c r="L13" s="3">
        <f>IF(ISBLANK(N13),"",N13*SQRT(M13))</f>
        <v>1.697056274847714</v>
      </c>
      <c r="M13" s="4">
        <v>8</v>
      </c>
      <c r="N13" s="3">
        <v>0.6</v>
      </c>
      <c r="O13" s="3"/>
      <c r="P13" s="3"/>
      <c r="Q13" s="3"/>
      <c r="R13" s="3"/>
      <c r="S13" s="3"/>
      <c r="T13" s="3"/>
    </row>
    <row r="14" spans="1:20" ht="16" x14ac:dyDescent="0.2">
      <c r="A14" s="2" t="s">
        <v>20</v>
      </c>
      <c r="B14" s="2" t="s">
        <v>34</v>
      </c>
      <c r="C14" s="2" t="s">
        <v>22</v>
      </c>
      <c r="D14" s="2" t="s">
        <v>31</v>
      </c>
      <c r="E14" s="2" t="s">
        <v>29</v>
      </c>
      <c r="F14" s="3">
        <f>IF(OR(O14="",P14="",Q14=""),"",(O14+P14+Q14)/3)</f>
        <v>4.5999999999999996</v>
      </c>
      <c r="G14" s="3">
        <f>IF(OR(P14="",Q14=""),"",(Q14-P14)/1.35)</f>
        <v>1.1851851851851856</v>
      </c>
      <c r="H14" s="4">
        <v>9</v>
      </c>
      <c r="I14" s="3">
        <f>IF(G14="","",G14/SQRT(H14))</f>
        <v>0.39506172839506187</v>
      </c>
      <c r="J14" s="5"/>
      <c r="K14" s="3">
        <f>IF(OR(R14="",S14="",T14=""),"",(R14+S14+T14)/3)</f>
        <v>0.6333333333333333</v>
      </c>
      <c r="L14" s="3">
        <f>IF(OR(S14="",T14=""),"",(T14-S14)/1.35)</f>
        <v>0.96296296296296291</v>
      </c>
      <c r="M14" s="4">
        <v>10</v>
      </c>
      <c r="N14" s="3">
        <f>IF(L14="","",L14/SQRT(M14))</f>
        <v>0.3045156265347328</v>
      </c>
      <c r="O14" s="3">
        <v>4.5999999999999996</v>
      </c>
      <c r="P14" s="3">
        <v>3.8</v>
      </c>
      <c r="Q14" s="3">
        <v>5.4</v>
      </c>
      <c r="R14" s="3">
        <v>0.6</v>
      </c>
      <c r="S14" s="3">
        <v>0</v>
      </c>
      <c r="T14" s="3">
        <v>1.3</v>
      </c>
    </row>
    <row r="15" spans="1:20" ht="16" x14ac:dyDescent="0.2">
      <c r="A15" s="2" t="s">
        <v>20</v>
      </c>
      <c r="B15" s="2" t="s">
        <v>34</v>
      </c>
      <c r="C15" s="2" t="s">
        <v>25</v>
      </c>
      <c r="D15" s="2" t="s">
        <v>31</v>
      </c>
      <c r="E15" s="2" t="s">
        <v>29</v>
      </c>
      <c r="F15" s="3">
        <f>IF(OR(O15="",P15="",Q15=""),"",(O15+P15+Q15)/3)</f>
        <v>6.2</v>
      </c>
      <c r="G15" s="3">
        <f>IF(OR(P15="",Q15=""),"",(Q15-P15)/1.35)</f>
        <v>3.0370370370370368</v>
      </c>
      <c r="H15" s="4">
        <v>10</v>
      </c>
      <c r="I15" s="3">
        <f>IF(G15="","",G15/SQRT(H15))</f>
        <v>0.9603954375326188</v>
      </c>
      <c r="J15" s="5"/>
      <c r="K15" s="3">
        <f>IF(OR(R15="",S15="",T15=""),"",(R15+S15+T15)/3)</f>
        <v>9.9999999999999992E-2</v>
      </c>
      <c r="L15" s="3">
        <f>IF(OR(S15="",T15=""),"",(T15-S15)/1.35)</f>
        <v>0.22222222222222221</v>
      </c>
      <c r="M15" s="4">
        <v>8</v>
      </c>
      <c r="N15" s="3">
        <f>IF(L15="","",L15/SQRT(M15))</f>
        <v>7.8567420131838608E-2</v>
      </c>
      <c r="O15" s="3">
        <v>6.5</v>
      </c>
      <c r="P15" s="3">
        <v>4</v>
      </c>
      <c r="Q15" s="3">
        <v>8.1</v>
      </c>
      <c r="R15" s="3">
        <v>0</v>
      </c>
      <c r="S15" s="3">
        <v>0</v>
      </c>
      <c r="T15" s="3">
        <v>0.3</v>
      </c>
    </row>
    <row r="16" spans="1:20" ht="16" x14ac:dyDescent="0.2">
      <c r="A16" s="2" t="s">
        <v>35</v>
      </c>
      <c r="B16" s="2" t="s">
        <v>36</v>
      </c>
      <c r="C16" s="2" t="s">
        <v>22</v>
      </c>
      <c r="D16" s="2" t="s">
        <v>31</v>
      </c>
      <c r="E16" s="2" t="s">
        <v>24</v>
      </c>
      <c r="F16" s="3">
        <v>264</v>
      </c>
      <c r="G16" s="3">
        <f>IF(ISBLANK(I16),"",I16*SQRT(H16))</f>
        <v>21</v>
      </c>
      <c r="H16" s="4">
        <v>9</v>
      </c>
      <c r="I16" s="3">
        <v>7</v>
      </c>
      <c r="J16" s="5"/>
      <c r="K16" s="3">
        <v>251</v>
      </c>
      <c r="L16" s="3">
        <f>IF(ISBLANK(N16),"",N16*SQRT(M16))</f>
        <v>41.109609582188931</v>
      </c>
      <c r="M16" s="4">
        <v>10</v>
      </c>
      <c r="N16" s="3">
        <v>13</v>
      </c>
      <c r="O16" s="3"/>
      <c r="P16" s="3"/>
      <c r="Q16" s="3"/>
      <c r="R16" s="3"/>
      <c r="S16" s="3"/>
      <c r="T16" s="3"/>
    </row>
    <row r="17" spans="1:20" ht="16" x14ac:dyDescent="0.2">
      <c r="A17" s="2" t="s">
        <v>35</v>
      </c>
      <c r="B17" s="2" t="s">
        <v>36</v>
      </c>
      <c r="C17" s="2" t="s">
        <v>25</v>
      </c>
      <c r="D17" s="2" t="s">
        <v>31</v>
      </c>
      <c r="E17" s="2" t="s">
        <v>24</v>
      </c>
      <c r="F17" s="3">
        <v>269</v>
      </c>
      <c r="G17" s="3">
        <f>IF(ISBLANK(I17),"",I17*SQRT(H17))</f>
        <v>15.811388300841898</v>
      </c>
      <c r="H17" s="4">
        <v>10</v>
      </c>
      <c r="I17" s="3">
        <v>5</v>
      </c>
      <c r="J17" s="5"/>
      <c r="K17" s="3">
        <v>266</v>
      </c>
      <c r="L17" s="3">
        <f>IF(ISBLANK(N17),"",N17*SQRT(M17))</f>
        <v>31.112698372208094</v>
      </c>
      <c r="M17" s="4">
        <v>8</v>
      </c>
      <c r="N17" s="3">
        <v>11</v>
      </c>
      <c r="O17" s="3"/>
      <c r="P17" s="3"/>
      <c r="Q17" s="3"/>
      <c r="R17" s="3"/>
      <c r="S17" s="3"/>
      <c r="T17" s="3"/>
    </row>
    <row r="18" spans="1:20" ht="16" x14ac:dyDescent="0.2">
      <c r="A18" s="2" t="s">
        <v>35</v>
      </c>
      <c r="B18" s="2" t="s">
        <v>37</v>
      </c>
      <c r="C18" s="2" t="s">
        <v>22</v>
      </c>
      <c r="D18" s="2" t="s">
        <v>31</v>
      </c>
      <c r="E18" s="2" t="s">
        <v>29</v>
      </c>
      <c r="F18" s="3">
        <f>IF(OR(O18="",P18="",Q18=""),"",(O18+P18+Q18)/3)</f>
        <v>32.666666666666664</v>
      </c>
      <c r="G18" s="3">
        <f>IF(OR(P18="",Q18=""),"",(Q18-P18)/1.35)</f>
        <v>23.777777777777779</v>
      </c>
      <c r="H18" s="4">
        <v>9</v>
      </c>
      <c r="I18" s="3">
        <f>IF(G18="","",G18/SQRT(H18))</f>
        <v>7.9259259259259265</v>
      </c>
      <c r="J18" s="5"/>
      <c r="K18" s="3">
        <f>IF(OR(R18="",S18="",T18=""),"",(R18+S18+T18)/3)</f>
        <v>35.366666666666667</v>
      </c>
      <c r="L18" s="3">
        <f>IF(OR(S18="",T18=""),"",(T18-S18)/1.35)</f>
        <v>44.296296296296291</v>
      </c>
      <c r="M18" s="4">
        <v>10</v>
      </c>
      <c r="N18" s="3">
        <f>IF(L18="","",L18/SQRT(M18))</f>
        <v>14.007718820597708</v>
      </c>
      <c r="O18" s="3">
        <v>27.1</v>
      </c>
      <c r="P18" s="3">
        <v>19.399999999999999</v>
      </c>
      <c r="Q18" s="3">
        <v>51.5</v>
      </c>
      <c r="R18" s="3">
        <v>41.9</v>
      </c>
      <c r="S18" s="3">
        <v>2.2000000000000002</v>
      </c>
      <c r="T18" s="3">
        <v>62</v>
      </c>
    </row>
    <row r="19" spans="1:20" ht="16" x14ac:dyDescent="0.2">
      <c r="A19" s="2" t="s">
        <v>35</v>
      </c>
      <c r="B19" s="2" t="s">
        <v>37</v>
      </c>
      <c r="C19" s="2" t="s">
        <v>25</v>
      </c>
      <c r="D19" s="2" t="s">
        <v>31</v>
      </c>
      <c r="E19" s="2" t="s">
        <v>29</v>
      </c>
      <c r="F19" s="3">
        <f>IF(OR(O19="",P19="",Q19=""),"",(O19+P19+Q19)/3)</f>
        <v>25.933333333333334</v>
      </c>
      <c r="G19" s="3">
        <f>IF(OR(P19="",Q19=""),"",(Q19-P19)/1.35)</f>
        <v>16.888888888888889</v>
      </c>
      <c r="H19" s="4">
        <v>10</v>
      </c>
      <c r="I19" s="3">
        <f>IF(G19="","",G19/SQRT(H19))</f>
        <v>5.3407356038399296</v>
      </c>
      <c r="J19" s="5"/>
      <c r="K19" s="3">
        <f>IF(OR(R19="",S19="",T19=""),"",(R19+S19+T19)/3)</f>
        <v>32.333333333333336</v>
      </c>
      <c r="L19" s="3">
        <f>IF(OR(S19="",T19=""),"",(T19-S19)/1.35)</f>
        <v>23.777777777777779</v>
      </c>
      <c r="M19" s="4">
        <v>8</v>
      </c>
      <c r="N19" s="3">
        <f>IF(L19="","",L19/SQRT(M19))</f>
        <v>8.4067139541067313</v>
      </c>
      <c r="O19" s="3">
        <v>19.600000000000001</v>
      </c>
      <c r="P19" s="3">
        <v>17.7</v>
      </c>
      <c r="Q19" s="3">
        <v>40.5</v>
      </c>
      <c r="R19" s="3">
        <v>26.1</v>
      </c>
      <c r="S19" s="3">
        <v>19.399999999999999</v>
      </c>
      <c r="T19" s="3">
        <v>51.5</v>
      </c>
    </row>
    <row r="20" spans="1:20" ht="16" x14ac:dyDescent="0.2">
      <c r="A20" s="2" t="s">
        <v>35</v>
      </c>
      <c r="B20" s="2" t="s">
        <v>38</v>
      </c>
      <c r="C20" s="2" t="s">
        <v>22</v>
      </c>
      <c r="D20" s="2" t="s">
        <v>27</v>
      </c>
      <c r="E20" s="2" t="s">
        <v>24</v>
      </c>
      <c r="F20" s="3">
        <v>6.2</v>
      </c>
      <c r="G20" s="3">
        <f>IF(ISBLANK(I20),"",I20*SQRT(H20))</f>
        <v>3</v>
      </c>
      <c r="H20" s="4">
        <v>9</v>
      </c>
      <c r="I20" s="3">
        <v>1</v>
      </c>
      <c r="J20" s="5"/>
      <c r="K20" s="3">
        <v>2.9</v>
      </c>
      <c r="L20" s="3">
        <f>IF(ISBLANK(N20),"",N20*SQRT(M20))</f>
        <v>2.529822128134704</v>
      </c>
      <c r="M20" s="4">
        <v>10</v>
      </c>
      <c r="N20" s="3">
        <v>0.8</v>
      </c>
      <c r="O20" s="3"/>
      <c r="P20" s="3"/>
      <c r="Q20" s="3"/>
      <c r="R20" s="3"/>
      <c r="S20" s="3"/>
      <c r="T20" s="3"/>
    </row>
    <row r="21" spans="1:20" ht="16" x14ac:dyDescent="0.2">
      <c r="A21" s="2" t="s">
        <v>35</v>
      </c>
      <c r="B21" s="2" t="s">
        <v>38</v>
      </c>
      <c r="C21" s="2" t="s">
        <v>25</v>
      </c>
      <c r="D21" s="2" t="s">
        <v>27</v>
      </c>
      <c r="E21" s="2" t="s">
        <v>24</v>
      </c>
      <c r="F21" s="3">
        <v>4.7</v>
      </c>
      <c r="G21" s="3">
        <f>IF(ISBLANK(I21),"",I21*SQRT(H21))</f>
        <v>1.9606121493043953</v>
      </c>
      <c r="H21" s="4">
        <v>10</v>
      </c>
      <c r="I21" s="3">
        <v>0.62</v>
      </c>
      <c r="J21" s="5"/>
      <c r="K21" s="3">
        <v>2.9</v>
      </c>
      <c r="L21" s="3">
        <f>IF(ISBLANK(N21),"",N21*SQRT(M21))</f>
        <v>1.9798989873223332</v>
      </c>
      <c r="M21" s="4">
        <v>8</v>
      </c>
      <c r="N21" s="3">
        <v>0.7</v>
      </c>
      <c r="O21" s="3"/>
      <c r="P21" s="3"/>
      <c r="Q21" s="3"/>
      <c r="R21" s="3"/>
      <c r="S21" s="3"/>
      <c r="T21" s="3"/>
    </row>
    <row r="22" spans="1:20" ht="16" x14ac:dyDescent="0.2">
      <c r="A22" s="2" t="s">
        <v>35</v>
      </c>
      <c r="B22" s="2" t="s">
        <v>39</v>
      </c>
      <c r="C22" s="2" t="s">
        <v>22</v>
      </c>
      <c r="D22" s="2" t="s">
        <v>27</v>
      </c>
      <c r="E22" s="2" t="s">
        <v>29</v>
      </c>
      <c r="F22" s="3">
        <f>IF(OR(O22="",P22="",Q22=""),"",(O22+P22+Q22)/3)</f>
        <v>0</v>
      </c>
      <c r="G22" s="3">
        <f>IF(OR(P22="",Q22=""),"",(Q22-P22)/1.35)</f>
        <v>0</v>
      </c>
      <c r="H22" s="4">
        <v>9</v>
      </c>
      <c r="I22" s="3">
        <f>IF(G22="","",G22/SQRT(H22))</f>
        <v>0</v>
      </c>
      <c r="J22" s="5"/>
      <c r="K22" s="3">
        <f>IF(OR(R22="",S22="",T22=""),"",(R22+S22+T22)/3)</f>
        <v>0.23333333333333331</v>
      </c>
      <c r="L22" s="3">
        <f>IF(OR(S22="",T22=""),"",(T22-S22)/1.35)</f>
        <v>0.51851851851851849</v>
      </c>
      <c r="M22" s="4">
        <v>10</v>
      </c>
      <c r="N22" s="3">
        <f>IF(L22="","",L22/SQRT(M22))</f>
        <v>0.16396995274947151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0.7</v>
      </c>
    </row>
    <row r="23" spans="1:20" ht="16" x14ac:dyDescent="0.2">
      <c r="A23" s="2" t="s">
        <v>35</v>
      </c>
      <c r="B23" s="2" t="s">
        <v>39</v>
      </c>
      <c r="C23" s="2" t="s">
        <v>25</v>
      </c>
      <c r="D23" s="2" t="s">
        <v>27</v>
      </c>
      <c r="E23" s="2" t="s">
        <v>29</v>
      </c>
      <c r="F23" s="3">
        <f>IF(OR(O23="",P23="",Q23=""),"",(O23+P23+Q23)/3)</f>
        <v>1.7333333333333334</v>
      </c>
      <c r="G23" s="3">
        <f>IF(OR(P23="",Q23=""),"",(Q23-P23)/1.35)</f>
        <v>0.59259259259259256</v>
      </c>
      <c r="H23" s="4">
        <v>10</v>
      </c>
      <c r="I23" s="3">
        <f>IF(G23="","",G23/SQRT(H23))</f>
        <v>0.18739423171368172</v>
      </c>
      <c r="J23" s="5"/>
      <c r="K23" s="3">
        <f>IF(OR(R23="",S23="",T23=""),"",(R23+S23+T23)/3)</f>
        <v>0.66666666666666663</v>
      </c>
      <c r="L23" s="3">
        <f>IF(OR(S23="",T23=""),"",(T23-S23)/1.35)</f>
        <v>0.7407407407407407</v>
      </c>
      <c r="M23" s="4">
        <v>8</v>
      </c>
      <c r="N23" s="3">
        <f>IF(L23="","",L23/SQRT(M23))</f>
        <v>0.26189140043946202</v>
      </c>
      <c r="O23" s="3">
        <v>2</v>
      </c>
      <c r="P23" s="3">
        <v>1.2</v>
      </c>
      <c r="Q23" s="3">
        <v>2</v>
      </c>
      <c r="R23" s="3">
        <v>1</v>
      </c>
      <c r="S23" s="3">
        <v>0</v>
      </c>
      <c r="T23" s="3">
        <v>1</v>
      </c>
    </row>
    <row r="24" spans="1:20" ht="16" x14ac:dyDescent="0.2">
      <c r="A24" s="2" t="s">
        <v>35</v>
      </c>
      <c r="B24" s="2" t="s">
        <v>40</v>
      </c>
      <c r="C24" s="2" t="s">
        <v>22</v>
      </c>
      <c r="D24" s="2" t="s">
        <v>27</v>
      </c>
      <c r="E24" s="2" t="s">
        <v>24</v>
      </c>
      <c r="F24" s="3">
        <v>6.7</v>
      </c>
      <c r="G24" s="3">
        <f>IF(ISBLANK(I24),"",I24*SQRT(H24))</f>
        <v>4.5</v>
      </c>
      <c r="H24" s="4">
        <v>9</v>
      </c>
      <c r="I24" s="3">
        <v>1.5</v>
      </c>
      <c r="J24" s="5"/>
      <c r="K24" s="3">
        <v>9.8000000000000007</v>
      </c>
      <c r="L24" s="3">
        <f>IF(ISBLANK(N24),"",N24*SQRT(M24))</f>
        <v>7.2732386183872721</v>
      </c>
      <c r="M24" s="4">
        <v>10</v>
      </c>
      <c r="N24" s="3">
        <v>2.2999999999999998</v>
      </c>
      <c r="O24" s="3"/>
      <c r="P24" s="3"/>
      <c r="Q24" s="3"/>
      <c r="R24" s="3"/>
      <c r="S24" s="3"/>
      <c r="T24" s="3"/>
    </row>
    <row r="25" spans="1:20" ht="16" x14ac:dyDescent="0.2">
      <c r="A25" s="2" t="s">
        <v>35</v>
      </c>
      <c r="B25" s="2" t="s">
        <v>40</v>
      </c>
      <c r="C25" s="2" t="s">
        <v>25</v>
      </c>
      <c r="D25" s="2" t="s">
        <v>27</v>
      </c>
      <c r="E25" s="2" t="s">
        <v>24</v>
      </c>
      <c r="F25" s="3">
        <v>7.8</v>
      </c>
      <c r="G25" s="3">
        <f>IF(ISBLANK(I25),"",I25*SQRT(H25))</f>
        <v>3.7947331922020551</v>
      </c>
      <c r="H25" s="4">
        <v>10</v>
      </c>
      <c r="I25" s="3">
        <v>1.2</v>
      </c>
      <c r="J25" s="5"/>
      <c r="K25" s="3">
        <v>8.1</v>
      </c>
      <c r="L25" s="3">
        <f>IF(ISBLANK(N25),"",N25*SQRT(M25))</f>
        <v>4.8083261120685235</v>
      </c>
      <c r="M25" s="4">
        <v>8</v>
      </c>
      <c r="N25" s="3">
        <v>1.7</v>
      </c>
      <c r="O25" s="3"/>
      <c r="P25" s="3"/>
      <c r="Q25" s="3"/>
      <c r="R25" s="3"/>
      <c r="S25" s="3"/>
      <c r="T25" s="3"/>
    </row>
    <row r="26" spans="1:20" ht="16" x14ac:dyDescent="0.2">
      <c r="A26" s="2" t="s">
        <v>35</v>
      </c>
      <c r="B26" s="2" t="s">
        <v>41</v>
      </c>
      <c r="C26" s="2" t="s">
        <v>22</v>
      </c>
      <c r="D26" s="2" t="s">
        <v>27</v>
      </c>
      <c r="E26" s="2" t="s">
        <v>24</v>
      </c>
      <c r="F26" s="3">
        <v>14.9</v>
      </c>
      <c r="G26" s="3">
        <f>IF(ISBLANK(I26),"",I26*SQRT(H26))</f>
        <v>5.4</v>
      </c>
      <c r="H26" s="4">
        <v>9</v>
      </c>
      <c r="I26" s="3">
        <v>1.8</v>
      </c>
      <c r="J26" s="5"/>
      <c r="K26" s="3">
        <v>8</v>
      </c>
      <c r="L26" s="3">
        <f>IF(ISBLANK(N26),"",N26*SQRT(M26))</f>
        <v>4.110960958218894</v>
      </c>
      <c r="M26" s="4">
        <v>10</v>
      </c>
      <c r="N26" s="3">
        <v>1.3</v>
      </c>
      <c r="O26" s="3"/>
      <c r="P26" s="3"/>
      <c r="Q26" s="3"/>
      <c r="R26" s="3"/>
      <c r="S26" s="3"/>
      <c r="T26" s="3"/>
    </row>
    <row r="27" spans="1:20" ht="16" x14ac:dyDescent="0.2">
      <c r="A27" s="2" t="s">
        <v>35</v>
      </c>
      <c r="B27" s="2" t="s">
        <v>41</v>
      </c>
      <c r="C27" s="2" t="s">
        <v>25</v>
      </c>
      <c r="D27" s="2" t="s">
        <v>27</v>
      </c>
      <c r="E27" s="2" t="s">
        <v>24</v>
      </c>
      <c r="F27" s="3">
        <v>15.8</v>
      </c>
      <c r="G27" s="3">
        <f>IF(ISBLANK(I27),"",I27*SQRT(H27))</f>
        <v>4.110960958218894</v>
      </c>
      <c r="H27" s="4">
        <v>10</v>
      </c>
      <c r="I27" s="3">
        <v>1.3</v>
      </c>
      <c r="J27" s="5"/>
      <c r="K27" s="3">
        <v>15.2</v>
      </c>
      <c r="L27" s="3">
        <f>IF(ISBLANK(N27),"",N27*SQRT(M27))</f>
        <v>3.9597979746446663</v>
      </c>
      <c r="M27" s="4">
        <v>8</v>
      </c>
      <c r="N27" s="3">
        <v>1.4</v>
      </c>
      <c r="O27" s="3"/>
      <c r="P27" s="3"/>
      <c r="Q27" s="3"/>
      <c r="R27" s="3"/>
      <c r="S27" s="3"/>
      <c r="T27" s="3"/>
    </row>
    <row r="28" spans="1:20" ht="16" x14ac:dyDescent="0.2">
      <c r="A28" s="2" t="s">
        <v>35</v>
      </c>
      <c r="B28" s="2" t="s">
        <v>30</v>
      </c>
      <c r="C28" s="2" t="s">
        <v>22</v>
      </c>
      <c r="D28" s="2" t="s">
        <v>31</v>
      </c>
      <c r="E28" s="2" t="s">
        <v>29</v>
      </c>
      <c r="F28" s="3">
        <f>IF(OR(O28="",P28="",Q28=""),"",(O28+P28+Q28)/3)</f>
        <v>0</v>
      </c>
      <c r="G28" s="3">
        <f>IF(OR(P28="",Q28=""),"",(Q28-P28)/1.35)</f>
        <v>0</v>
      </c>
      <c r="H28" s="4">
        <v>9</v>
      </c>
      <c r="I28" s="3">
        <f>IF(G28="","",G28/SQRT(H28))</f>
        <v>0</v>
      </c>
      <c r="J28" s="5"/>
      <c r="K28" s="3">
        <f>IF(OR(R28="",S28="",T28=""),"",(R28+S28+T28)/3)</f>
        <v>1.1333333333333333</v>
      </c>
      <c r="L28" s="3">
        <f>IF(OR(S28="",T28=""),"",(T28-S28)/1.35)</f>
        <v>1.7037037037037035</v>
      </c>
      <c r="M28" s="4">
        <v>10</v>
      </c>
      <c r="N28" s="3">
        <f>IF(L28="","",L28/SQRT(M28))</f>
        <v>0.53875841617683495</v>
      </c>
      <c r="O28" s="3">
        <v>0</v>
      </c>
      <c r="P28" s="3">
        <v>0</v>
      </c>
      <c r="Q28" s="3">
        <v>0</v>
      </c>
      <c r="R28" s="3">
        <v>1.1000000000000001</v>
      </c>
      <c r="S28" s="3">
        <v>0</v>
      </c>
      <c r="T28" s="3">
        <v>2.2999999999999998</v>
      </c>
    </row>
    <row r="29" spans="1:20" ht="16" x14ac:dyDescent="0.2">
      <c r="A29" s="2" t="s">
        <v>35</v>
      </c>
      <c r="B29" s="2" t="s">
        <v>30</v>
      </c>
      <c r="C29" s="2" t="s">
        <v>25</v>
      </c>
      <c r="D29" s="2" t="s">
        <v>31</v>
      </c>
      <c r="E29" s="2" t="s">
        <v>29</v>
      </c>
      <c r="F29" s="3">
        <f>IF(OR(O29="",P29="",Q29=""),"",(O29+P29+Q29)/3)</f>
        <v>5.1333333333333329</v>
      </c>
      <c r="G29" s="3">
        <f>IF(OR(P29="",Q29=""),"",(Q29-P29)/1.35)</f>
        <v>8.5925925925925917</v>
      </c>
      <c r="H29" s="4">
        <v>10</v>
      </c>
      <c r="I29" s="3">
        <f>IF(G29="","",G29/SQRT(H29))</f>
        <v>2.7172163598483849</v>
      </c>
      <c r="J29" s="5"/>
      <c r="K29" s="3">
        <f>IF(OR(R29="",S29="",T29=""),"",(R29+S29+T29)/3)</f>
        <v>10.5</v>
      </c>
      <c r="L29" s="3">
        <f>IF(OR(S29="",T29=""),"",(T29-S29)/1.35)</f>
        <v>13.62962962962963</v>
      </c>
      <c r="M29" s="4">
        <v>8</v>
      </c>
      <c r="N29" s="3">
        <f>IF(L29="","",L29/SQRT(M29))</f>
        <v>4.8188017680861011</v>
      </c>
      <c r="O29" s="3">
        <v>3.8</v>
      </c>
      <c r="P29" s="3">
        <v>0</v>
      </c>
      <c r="Q29" s="3">
        <v>11.6</v>
      </c>
      <c r="R29" s="3">
        <v>7.3</v>
      </c>
      <c r="S29" s="3">
        <v>2.9</v>
      </c>
      <c r="T29" s="3">
        <v>21.3</v>
      </c>
    </row>
    <row r="30" spans="1:20" ht="16" x14ac:dyDescent="0.2">
      <c r="A30" s="2" t="s">
        <v>35</v>
      </c>
      <c r="B30" s="2" t="s">
        <v>32</v>
      </c>
      <c r="C30" s="2" t="s">
        <v>22</v>
      </c>
      <c r="D30" s="2" t="s">
        <v>31</v>
      </c>
      <c r="E30" s="2" t="s">
        <v>24</v>
      </c>
      <c r="F30" s="3">
        <v>24.9</v>
      </c>
      <c r="G30" s="3">
        <f>IF(ISBLANK(I30),"",I30*SQRT(H30))</f>
        <v>20.700000000000003</v>
      </c>
      <c r="H30" s="4">
        <v>9</v>
      </c>
      <c r="I30" s="3">
        <v>6.9</v>
      </c>
      <c r="J30" s="5"/>
      <c r="K30" s="3">
        <v>46.8</v>
      </c>
      <c r="L30" s="3">
        <f>IF(ISBLANK(N30),"",N30*SQRT(M30))</f>
        <v>20.871032557111302</v>
      </c>
      <c r="M30" s="4">
        <v>10</v>
      </c>
      <c r="N30" s="3">
        <v>6.6</v>
      </c>
      <c r="O30" s="3"/>
      <c r="P30" s="3"/>
      <c r="Q30" s="3"/>
      <c r="R30" s="3"/>
      <c r="S30" s="3"/>
      <c r="T30" s="3"/>
    </row>
    <row r="31" spans="1:20" ht="16" x14ac:dyDescent="0.2">
      <c r="A31" s="2" t="s">
        <v>35</v>
      </c>
      <c r="B31" s="2" t="s">
        <v>32</v>
      </c>
      <c r="C31" s="2" t="s">
        <v>25</v>
      </c>
      <c r="D31" s="2" t="s">
        <v>31</v>
      </c>
      <c r="E31" s="2" t="s">
        <v>24</v>
      </c>
      <c r="F31" s="3">
        <v>24</v>
      </c>
      <c r="G31" s="3">
        <f>IF(ISBLANK(I31),"",I31*SQRT(H31))</f>
        <v>14.862705002791385</v>
      </c>
      <c r="H31" s="4">
        <v>10</v>
      </c>
      <c r="I31" s="3">
        <v>4.7</v>
      </c>
      <c r="J31" s="5"/>
      <c r="K31" s="3">
        <v>29.7</v>
      </c>
      <c r="L31" s="3">
        <f>IF(ISBLANK(N31),"",N31*SQRT(M31))</f>
        <v>28.56711395993652</v>
      </c>
      <c r="M31" s="4">
        <v>8</v>
      </c>
      <c r="N31" s="3">
        <v>10.1</v>
      </c>
      <c r="O31" s="3"/>
      <c r="P31" s="3"/>
      <c r="Q31" s="3"/>
      <c r="R31" s="3"/>
      <c r="S31" s="3"/>
      <c r="T31" s="3"/>
    </row>
    <row r="32" spans="1:20" ht="16" x14ac:dyDescent="0.2">
      <c r="A32" s="2" t="s">
        <v>35</v>
      </c>
      <c r="B32" s="2" t="s">
        <v>33</v>
      </c>
      <c r="C32" s="2" t="s">
        <v>22</v>
      </c>
      <c r="D32" s="2" t="s">
        <v>27</v>
      </c>
      <c r="E32" s="2" t="s">
        <v>29</v>
      </c>
      <c r="F32" s="3">
        <f>IF(OR(O32="",P32="",Q32=""),"",(O32+P32+Q32)/3)</f>
        <v>3</v>
      </c>
      <c r="G32" s="3">
        <f>IF(OR(P32="",Q32=""),"",(Q32-P32)/1.35)</f>
        <v>1.4814814814814814</v>
      </c>
      <c r="H32" s="4">
        <v>9</v>
      </c>
      <c r="I32" s="3">
        <f>IF(G32="","",G32/SQRT(H32))</f>
        <v>0.49382716049382713</v>
      </c>
      <c r="J32" s="5"/>
      <c r="K32" s="3">
        <f>IF(OR(R32="",S32="",T32=""),"",(R32+S32+T32)/3)</f>
        <v>2.5666666666666669</v>
      </c>
      <c r="L32" s="3">
        <f>IF(OR(S32="",T32=""),"",(T32-S32)/1.35)</f>
        <v>2.4444444444444442</v>
      </c>
      <c r="M32" s="4">
        <v>10</v>
      </c>
      <c r="N32" s="3">
        <f>IF(L32="","",L32/SQRT(M32))</f>
        <v>0.77300120581893705</v>
      </c>
      <c r="O32" s="3">
        <v>3</v>
      </c>
      <c r="P32" s="3">
        <v>2</v>
      </c>
      <c r="Q32" s="3">
        <v>4</v>
      </c>
      <c r="R32" s="3">
        <v>2</v>
      </c>
      <c r="S32" s="3">
        <v>1.2</v>
      </c>
      <c r="T32" s="3">
        <v>4.5</v>
      </c>
    </row>
    <row r="33" spans="1:20" ht="16" x14ac:dyDescent="0.2">
      <c r="A33" s="2" t="s">
        <v>35</v>
      </c>
      <c r="B33" s="2" t="s">
        <v>33</v>
      </c>
      <c r="C33" s="2" t="s">
        <v>25</v>
      </c>
      <c r="D33" s="2" t="s">
        <v>27</v>
      </c>
      <c r="E33" s="2" t="s">
        <v>29</v>
      </c>
      <c r="F33" s="3">
        <f>IF(OR(O33="",P33="",Q33=""),"",(O33+P33+Q33)/3)</f>
        <v>3.4</v>
      </c>
      <c r="G33" s="3">
        <f>IF(OR(P33="",Q33=""),"",(Q33-P33)/1.35)</f>
        <v>1.333333333333333</v>
      </c>
      <c r="H33" s="4">
        <v>10</v>
      </c>
      <c r="I33" s="3">
        <f>IF(G33="","",G33/SQRT(H33))</f>
        <v>0.42163702135578379</v>
      </c>
      <c r="J33" s="5"/>
      <c r="K33" s="3">
        <f>IF(OR(R33="",S33="",T33=""),"",(R33+S33+T33)/3)</f>
        <v>2.9666666666666668</v>
      </c>
      <c r="L33" s="3">
        <f>IF(OR(S33="",T33=""),"",(T33-S33)/1.35)</f>
        <v>3.7037037037037033</v>
      </c>
      <c r="M33" s="4">
        <v>8</v>
      </c>
      <c r="N33" s="3">
        <f>IF(L33="","",L33/SQRT(M33))</f>
        <v>1.30945700219731</v>
      </c>
      <c r="O33" s="3">
        <v>4</v>
      </c>
      <c r="P33" s="3">
        <v>2.2000000000000002</v>
      </c>
      <c r="Q33" s="3">
        <v>4</v>
      </c>
      <c r="R33" s="3">
        <v>2.5</v>
      </c>
      <c r="S33" s="3">
        <v>0.7</v>
      </c>
      <c r="T33" s="3">
        <v>5.7</v>
      </c>
    </row>
    <row r="34" spans="1:20" ht="16" x14ac:dyDescent="0.2">
      <c r="A34" s="2" t="s">
        <v>35</v>
      </c>
      <c r="B34" s="2" t="s">
        <v>34</v>
      </c>
      <c r="C34" s="2" t="s">
        <v>22</v>
      </c>
      <c r="D34" s="2" t="s">
        <v>31</v>
      </c>
      <c r="E34" s="2" t="s">
        <v>24</v>
      </c>
      <c r="F34" s="3">
        <v>6.8</v>
      </c>
      <c r="G34" s="3">
        <f t="shared" ref="G34:G39" si="0">IF(ISBLANK(I34),"",I34*SQRT(H34))</f>
        <v>5.4</v>
      </c>
      <c r="H34" s="4">
        <v>9</v>
      </c>
      <c r="I34" s="3">
        <v>1.8</v>
      </c>
      <c r="J34" s="5"/>
      <c r="K34" s="3">
        <v>20.9</v>
      </c>
      <c r="L34" s="3">
        <f t="shared" ref="L34:L39" si="1">IF(ISBLANK(N34),"",N34*SQRT(M34))</f>
        <v>15.17893276880822</v>
      </c>
      <c r="M34" s="4">
        <v>10</v>
      </c>
      <c r="N34" s="3">
        <v>4.8</v>
      </c>
      <c r="O34" s="3"/>
      <c r="P34" s="3"/>
      <c r="Q34" s="3"/>
      <c r="R34" s="3"/>
      <c r="S34" s="3"/>
      <c r="T34" s="3"/>
    </row>
    <row r="35" spans="1:20" ht="16" x14ac:dyDescent="0.2">
      <c r="A35" s="2" t="s">
        <v>35</v>
      </c>
      <c r="B35" s="2" t="s">
        <v>34</v>
      </c>
      <c r="C35" s="2" t="s">
        <v>25</v>
      </c>
      <c r="D35" s="2" t="s">
        <v>31</v>
      </c>
      <c r="E35" s="2" t="s">
        <v>24</v>
      </c>
      <c r="F35" s="3">
        <v>6.4</v>
      </c>
      <c r="G35" s="3">
        <f t="shared" si="0"/>
        <v>2.8460498941515415</v>
      </c>
      <c r="H35" s="4">
        <v>10</v>
      </c>
      <c r="I35" s="3">
        <v>0.9</v>
      </c>
      <c r="J35" s="5"/>
      <c r="K35" s="3">
        <v>8.8000000000000007</v>
      </c>
      <c r="L35" s="3">
        <f t="shared" si="1"/>
        <v>8.2024386617639511</v>
      </c>
      <c r="M35" s="4">
        <v>8</v>
      </c>
      <c r="N35" s="3">
        <v>2.9</v>
      </c>
      <c r="O35" s="3"/>
      <c r="P35" s="3"/>
      <c r="Q35" s="3"/>
      <c r="R35" s="3"/>
      <c r="S35" s="3"/>
      <c r="T35" s="3"/>
    </row>
    <row r="36" spans="1:20" ht="32" x14ac:dyDescent="0.2">
      <c r="A36" s="2" t="s">
        <v>42</v>
      </c>
      <c r="B36" s="2" t="s">
        <v>43</v>
      </c>
      <c r="C36" s="2" t="s">
        <v>22</v>
      </c>
      <c r="D36" s="2" t="s">
        <v>44</v>
      </c>
      <c r="E36" s="2" t="s">
        <v>24</v>
      </c>
      <c r="F36" s="6">
        <v>63.5</v>
      </c>
      <c r="G36" s="6">
        <f t="shared" si="0"/>
        <v>17.399999999999999</v>
      </c>
      <c r="H36" s="4">
        <v>9</v>
      </c>
      <c r="I36" s="6">
        <v>5.8</v>
      </c>
      <c r="J36" s="5"/>
      <c r="K36" s="6">
        <v>60.3</v>
      </c>
      <c r="L36" s="6">
        <f t="shared" si="1"/>
        <v>13.914021704740872</v>
      </c>
      <c r="M36" s="4">
        <v>10</v>
      </c>
      <c r="N36" s="6">
        <v>4.4000000000000004</v>
      </c>
      <c r="O36" s="6"/>
      <c r="P36" s="6"/>
      <c r="Q36" s="6"/>
      <c r="R36" s="6"/>
      <c r="S36" s="6"/>
      <c r="T36" s="6"/>
    </row>
    <row r="37" spans="1:20" ht="32" x14ac:dyDescent="0.2">
      <c r="A37" s="2" t="s">
        <v>42</v>
      </c>
      <c r="B37" s="2" t="s">
        <v>43</v>
      </c>
      <c r="C37" s="2" t="s">
        <v>25</v>
      </c>
      <c r="D37" s="2" t="s">
        <v>44</v>
      </c>
      <c r="E37" s="2" t="s">
        <v>24</v>
      </c>
      <c r="F37" s="6">
        <v>62.3</v>
      </c>
      <c r="G37" s="6">
        <f t="shared" si="0"/>
        <v>21.187260323128143</v>
      </c>
      <c r="H37" s="4">
        <v>10</v>
      </c>
      <c r="I37" s="6">
        <v>6.7</v>
      </c>
      <c r="J37" s="5"/>
      <c r="K37" s="6">
        <v>83.4</v>
      </c>
      <c r="L37" s="6">
        <f t="shared" si="1"/>
        <v>11.313708498984761</v>
      </c>
      <c r="M37" s="4">
        <v>8</v>
      </c>
      <c r="N37" s="6">
        <v>4</v>
      </c>
      <c r="O37" s="6"/>
      <c r="P37" s="6"/>
      <c r="Q37" s="6"/>
      <c r="R37" s="6"/>
      <c r="S37" s="6"/>
      <c r="T37" s="6"/>
    </row>
    <row r="38" spans="1:20" ht="16" x14ac:dyDescent="0.2">
      <c r="A38" s="2" t="s">
        <v>45</v>
      </c>
      <c r="B38" s="2" t="s">
        <v>46</v>
      </c>
      <c r="C38" s="2" t="s">
        <v>22</v>
      </c>
      <c r="D38" s="2" t="s">
        <v>31</v>
      </c>
      <c r="E38" s="2" t="s">
        <v>24</v>
      </c>
      <c r="F38" s="3">
        <v>219</v>
      </c>
      <c r="G38" s="3">
        <f t="shared" si="0"/>
        <v>75</v>
      </c>
      <c r="H38" s="4">
        <v>9</v>
      </c>
      <c r="I38" s="3">
        <v>25</v>
      </c>
      <c r="J38" s="5"/>
      <c r="K38" s="3">
        <v>139</v>
      </c>
      <c r="L38" s="3">
        <f t="shared" si="1"/>
        <v>53.758720222862451</v>
      </c>
      <c r="M38" s="4">
        <v>10</v>
      </c>
      <c r="N38" s="3">
        <v>17</v>
      </c>
      <c r="O38" s="3"/>
      <c r="P38" s="3"/>
      <c r="Q38" s="3"/>
      <c r="R38" s="3"/>
      <c r="S38" s="3"/>
      <c r="T38" s="3"/>
    </row>
    <row r="39" spans="1:20" ht="16" x14ac:dyDescent="0.2">
      <c r="A39" s="2" t="s">
        <v>45</v>
      </c>
      <c r="B39" s="2" t="s">
        <v>46</v>
      </c>
      <c r="C39" s="2" t="s">
        <v>25</v>
      </c>
      <c r="D39" s="2" t="s">
        <v>31</v>
      </c>
      <c r="E39" s="2" t="s">
        <v>24</v>
      </c>
      <c r="F39" s="3">
        <v>70</v>
      </c>
      <c r="G39" s="3">
        <f t="shared" si="0"/>
        <v>31.622776601683796</v>
      </c>
      <c r="H39" s="4">
        <v>10</v>
      </c>
      <c r="I39" s="3">
        <v>10</v>
      </c>
      <c r="J39" s="5"/>
      <c r="K39" s="3">
        <v>33</v>
      </c>
      <c r="L39" s="3">
        <f t="shared" si="1"/>
        <v>14.142135623730951</v>
      </c>
      <c r="M39" s="4">
        <v>8</v>
      </c>
      <c r="N39" s="3">
        <v>5</v>
      </c>
      <c r="O39" s="3"/>
      <c r="P39" s="3"/>
      <c r="Q39" s="3"/>
      <c r="R39" s="3"/>
      <c r="S39" s="3"/>
      <c r="T39" s="3"/>
    </row>
    <row r="40" spans="1:20" ht="16" x14ac:dyDescent="0.2">
      <c r="A40" s="2" t="s">
        <v>45</v>
      </c>
      <c r="B40" s="2" t="s">
        <v>47</v>
      </c>
      <c r="C40" s="2" t="s">
        <v>22</v>
      </c>
      <c r="D40" s="2" t="s">
        <v>31</v>
      </c>
      <c r="E40" s="2" t="s">
        <v>29</v>
      </c>
      <c r="F40" s="3">
        <f>IF(OR(O40="",P40="",Q40=""),"",(O40+P40+Q40)/3)</f>
        <v>3.1666666666666665</v>
      </c>
      <c r="G40" s="3">
        <f>IF(OR(P40="",Q40=""),"",(Q40-P40)/1.35)</f>
        <v>4.6666666666666661</v>
      </c>
      <c r="H40" s="4">
        <v>9</v>
      </c>
      <c r="I40" s="3">
        <f>IF(G40="","",G40/SQRT(H40))</f>
        <v>1.5555555555555554</v>
      </c>
      <c r="J40" s="5"/>
      <c r="K40" s="3">
        <f>IF(OR(R40="",S40="",T40=""),"",(R40+S40+T40)/3)</f>
        <v>1.5666666666666664</v>
      </c>
      <c r="L40" s="3">
        <f>IF(OR(S40="",T40=""),"",(T40-S40)/1.35)</f>
        <v>3.0370370370370368</v>
      </c>
      <c r="M40" s="4">
        <v>10</v>
      </c>
      <c r="N40" s="3">
        <f>IF(L40="","",L40/SQRT(M40))</f>
        <v>0.9603954375326188</v>
      </c>
      <c r="O40" s="3">
        <v>3.2</v>
      </c>
      <c r="P40" s="3">
        <v>0</v>
      </c>
      <c r="Q40" s="3">
        <v>6.3</v>
      </c>
      <c r="R40" s="3">
        <v>0.6</v>
      </c>
      <c r="S40" s="3">
        <v>0</v>
      </c>
      <c r="T40" s="3">
        <v>4.0999999999999996</v>
      </c>
    </row>
    <row r="41" spans="1:20" ht="16" x14ac:dyDescent="0.2">
      <c r="A41" s="2" t="s">
        <v>45</v>
      </c>
      <c r="B41" s="2" t="s">
        <v>47</v>
      </c>
      <c r="C41" s="2" t="s">
        <v>25</v>
      </c>
      <c r="D41" s="2" t="s">
        <v>31</v>
      </c>
      <c r="E41" s="2" t="s">
        <v>29</v>
      </c>
      <c r="F41" s="3">
        <f>IF(OR(O41="",P41="",Q41=""),"",(O41+P41+Q41)/3)</f>
        <v>0</v>
      </c>
      <c r="G41" s="3">
        <f>IF(OR(P41="",Q41=""),"",(Q41-P41)/1.35)</f>
        <v>0</v>
      </c>
      <c r="H41" s="4">
        <v>10</v>
      </c>
      <c r="I41" s="3">
        <f>IF(G41="","",G41/SQRT(H41))</f>
        <v>0</v>
      </c>
      <c r="J41" s="5"/>
      <c r="K41" s="3">
        <f>IF(OR(R41="",S41="",T41=""),"",(R41+S41+T41)/3)</f>
        <v>2.6333333333333333</v>
      </c>
      <c r="L41" s="3">
        <f>IF(OR(S41="",T41=""),"",(T41-S41)/1.35)</f>
        <v>2.8888888888888888</v>
      </c>
      <c r="M41" s="4">
        <v>8</v>
      </c>
      <c r="N41" s="3">
        <f>IF(L41="","",L41/SQRT(M41))</f>
        <v>1.0213764617139018</v>
      </c>
      <c r="O41" s="3">
        <v>0</v>
      </c>
      <c r="P41" s="3">
        <v>0</v>
      </c>
      <c r="Q41" s="3">
        <v>0</v>
      </c>
      <c r="R41" s="3">
        <v>1.8</v>
      </c>
      <c r="S41" s="3">
        <v>1.1000000000000001</v>
      </c>
      <c r="T41" s="3">
        <v>5</v>
      </c>
    </row>
    <row r="42" spans="1:20" ht="16" x14ac:dyDescent="0.2">
      <c r="A42" s="2" t="s">
        <v>48</v>
      </c>
      <c r="B42" s="2" t="s">
        <v>49</v>
      </c>
      <c r="C42" s="2" t="s">
        <v>22</v>
      </c>
      <c r="D42" s="2" t="s">
        <v>31</v>
      </c>
      <c r="E42" s="2" t="s">
        <v>29</v>
      </c>
      <c r="F42" s="3">
        <f>IF(OR(O42="",P42="",Q42=""),"",(O42+P42+Q42)/3)</f>
        <v>111.33333333333333</v>
      </c>
      <c r="G42" s="3">
        <f>IF(OR(P42="",Q42=""),"",(Q42-P42)/1.35)</f>
        <v>45.925925925925924</v>
      </c>
      <c r="H42" s="4">
        <v>9</v>
      </c>
      <c r="I42" s="3">
        <f>IF(G42="","",G42/SQRT(H42))</f>
        <v>15.308641975308641</v>
      </c>
      <c r="J42" s="5"/>
      <c r="K42" s="3">
        <f>IF(OR(R42="",S42="",T42=""),"",(R42+S42+T42)/3)</f>
        <v>135.33333333333334</v>
      </c>
      <c r="L42" s="3">
        <f>IF(OR(S42="",T42=""),"",(T42-S42)/1.35)</f>
        <v>45.925925925925924</v>
      </c>
      <c r="M42" s="4">
        <v>10</v>
      </c>
      <c r="N42" s="3">
        <f>IF(L42="","",L42/SQRT(M42))</f>
        <v>14.523052957810334</v>
      </c>
      <c r="O42" s="3">
        <v>110</v>
      </c>
      <c r="P42" s="3">
        <v>81</v>
      </c>
      <c r="Q42" s="3">
        <v>143</v>
      </c>
      <c r="R42" s="3">
        <v>140</v>
      </c>
      <c r="S42" s="3">
        <v>102</v>
      </c>
      <c r="T42" s="3">
        <v>164</v>
      </c>
    </row>
    <row r="43" spans="1:20" ht="16" x14ac:dyDescent="0.2">
      <c r="A43" s="2" t="s">
        <v>48</v>
      </c>
      <c r="B43" s="2" t="s">
        <v>49</v>
      </c>
      <c r="C43" s="2" t="s">
        <v>25</v>
      </c>
      <c r="D43" s="2" t="s">
        <v>31</v>
      </c>
      <c r="E43" s="2" t="s">
        <v>29</v>
      </c>
      <c r="F43" s="3">
        <f>IF(OR(O43="",P43="",Q43=""),"",(O43+P43+Q43)/3)</f>
        <v>64</v>
      </c>
      <c r="G43" s="3">
        <f>IF(OR(P43="",Q43=""),"",(Q43-P43)/1.35)</f>
        <v>28.148148148148145</v>
      </c>
      <c r="H43" s="4">
        <v>10</v>
      </c>
      <c r="I43" s="3">
        <f>IF(G43="","",G43/SQRT(H43))</f>
        <v>8.9012260063998809</v>
      </c>
      <c r="J43" s="5"/>
      <c r="K43" s="3">
        <f>IF(OR(R43="",S43="",T43=""),"",(R43+S43+T43)/3)</f>
        <v>98.666666666666671</v>
      </c>
      <c r="L43" s="3">
        <f>IF(OR(S43="",T43=""),"",(T43-S43)/1.35)</f>
        <v>16.296296296296294</v>
      </c>
      <c r="M43" s="4">
        <v>8</v>
      </c>
      <c r="N43" s="3">
        <f>IF(L43="","",L43/SQRT(M43))</f>
        <v>5.7616108096681637</v>
      </c>
      <c r="O43" s="3">
        <v>64</v>
      </c>
      <c r="P43" s="3">
        <v>45</v>
      </c>
      <c r="Q43" s="3">
        <v>83</v>
      </c>
      <c r="R43" s="3">
        <v>100</v>
      </c>
      <c r="S43" s="3">
        <v>87</v>
      </c>
      <c r="T43" s="3">
        <v>109</v>
      </c>
    </row>
    <row r="44" spans="1:20" ht="16" x14ac:dyDescent="0.2">
      <c r="A44" s="2" t="s">
        <v>48</v>
      </c>
      <c r="B44" s="2" t="s">
        <v>50</v>
      </c>
      <c r="C44" s="2" t="s">
        <v>22</v>
      </c>
      <c r="D44" s="2" t="s">
        <v>31</v>
      </c>
      <c r="E44" s="2" t="s">
        <v>24</v>
      </c>
      <c r="F44" s="3">
        <v>202</v>
      </c>
      <c r="G44" s="3">
        <f>IF(ISBLANK(I44),"",I44*SQRT(H44))</f>
        <v>39</v>
      </c>
      <c r="H44" s="4">
        <v>9</v>
      </c>
      <c r="I44" s="3">
        <v>13</v>
      </c>
      <c r="J44" s="5"/>
      <c r="K44" s="3">
        <v>201</v>
      </c>
      <c r="L44" s="3">
        <f>IF(ISBLANK(N44),"",N44*SQRT(M44))</f>
        <v>34.785054261852174</v>
      </c>
      <c r="M44" s="4">
        <v>10</v>
      </c>
      <c r="N44" s="3">
        <v>11</v>
      </c>
      <c r="O44" s="3"/>
      <c r="P44" s="3"/>
      <c r="Q44" s="3"/>
      <c r="R44" s="3"/>
      <c r="S44" s="3"/>
      <c r="T44" s="3"/>
    </row>
    <row r="45" spans="1:20" ht="16" x14ac:dyDescent="0.2">
      <c r="A45" s="2" t="s">
        <v>48</v>
      </c>
      <c r="B45" s="2" t="s">
        <v>50</v>
      </c>
      <c r="C45" s="2" t="s">
        <v>25</v>
      </c>
      <c r="D45" s="2" t="s">
        <v>31</v>
      </c>
      <c r="E45" s="2" t="s">
        <v>24</v>
      </c>
      <c r="F45" s="3">
        <v>223</v>
      </c>
      <c r="G45" s="3">
        <f>IF(ISBLANK(I45),"",I45*SQRT(H45))</f>
        <v>82.219219164377861</v>
      </c>
      <c r="H45" s="4">
        <v>10</v>
      </c>
      <c r="I45" s="3">
        <v>26</v>
      </c>
      <c r="J45" s="5"/>
      <c r="K45" s="3">
        <v>228</v>
      </c>
      <c r="L45" s="3">
        <f>IF(ISBLANK(N45),"",N45*SQRT(M45))</f>
        <v>22.627416997969522</v>
      </c>
      <c r="M45" s="4">
        <v>8</v>
      </c>
      <c r="N45" s="3">
        <v>8</v>
      </c>
      <c r="O45" s="3"/>
      <c r="P45" s="3"/>
      <c r="Q45" s="3"/>
      <c r="R45" s="3"/>
      <c r="S45" s="3"/>
      <c r="T45" s="3"/>
    </row>
    <row r="46" spans="1:20" ht="16" x14ac:dyDescent="0.2">
      <c r="A46" s="2" t="s">
        <v>48</v>
      </c>
      <c r="B46" s="2" t="s">
        <v>51</v>
      </c>
      <c r="C46" s="2" t="s">
        <v>22</v>
      </c>
      <c r="D46" s="2" t="s">
        <v>31</v>
      </c>
      <c r="E46" s="2" t="s">
        <v>24</v>
      </c>
      <c r="F46" s="3">
        <v>43</v>
      </c>
      <c r="G46" s="3">
        <f>IF(ISBLANK(I46),"",I46*SQRT(H46))</f>
        <v>21</v>
      </c>
      <c r="H46" s="4">
        <v>9</v>
      </c>
      <c r="I46" s="3">
        <v>7</v>
      </c>
      <c r="J46" s="5"/>
      <c r="K46" s="3">
        <v>22</v>
      </c>
      <c r="L46" s="3">
        <f>IF(ISBLANK(N46),"",N46*SQRT(M46))</f>
        <v>15.811388300841898</v>
      </c>
      <c r="M46" s="4">
        <v>10</v>
      </c>
      <c r="N46" s="3">
        <v>5</v>
      </c>
      <c r="O46" s="3"/>
      <c r="P46" s="3"/>
      <c r="Q46" s="3"/>
      <c r="R46" s="3"/>
      <c r="S46" s="3"/>
      <c r="T46" s="3"/>
    </row>
    <row r="47" spans="1:20" ht="16" x14ac:dyDescent="0.2">
      <c r="A47" s="2" t="s">
        <v>48</v>
      </c>
      <c r="B47" s="2" t="s">
        <v>51</v>
      </c>
      <c r="C47" s="2" t="s">
        <v>25</v>
      </c>
      <c r="D47" s="2" t="s">
        <v>31</v>
      </c>
      <c r="E47" s="2" t="s">
        <v>24</v>
      </c>
      <c r="F47" s="3">
        <v>47</v>
      </c>
      <c r="G47" s="3">
        <f>IF(ISBLANK(I47),"",I47*SQRT(H47))</f>
        <v>25.298221281347036</v>
      </c>
      <c r="H47" s="4">
        <v>10</v>
      </c>
      <c r="I47" s="3">
        <v>8</v>
      </c>
      <c r="J47" s="5"/>
      <c r="K47" s="3">
        <v>36</v>
      </c>
      <c r="L47" s="3">
        <f>IF(ISBLANK(N47),"",N47*SQRT(M47))</f>
        <v>19.798989873223331</v>
      </c>
      <c r="M47" s="4">
        <v>8</v>
      </c>
      <c r="N47" s="3">
        <v>7</v>
      </c>
      <c r="O47" s="3"/>
      <c r="P47" s="3"/>
      <c r="Q47" s="3"/>
      <c r="R47" s="3"/>
      <c r="S47" s="3"/>
      <c r="T47" s="3"/>
    </row>
    <row r="48" spans="1:20" ht="16" x14ac:dyDescent="0.2">
      <c r="A48" s="2" t="s">
        <v>48</v>
      </c>
      <c r="B48" s="2" t="s">
        <v>52</v>
      </c>
      <c r="C48" s="2" t="s">
        <v>22</v>
      </c>
      <c r="D48" s="2" t="s">
        <v>27</v>
      </c>
      <c r="E48" s="2" t="s">
        <v>29</v>
      </c>
      <c r="F48" s="3">
        <f>IF(OR(O48="",P48="",Q48=""),"",(O48+P48+Q48)/3)</f>
        <v>1.6666666666666667</v>
      </c>
      <c r="G48" s="3">
        <f>IF(OR(P48="",Q48=""),"",(Q48-P48)/1.35)</f>
        <v>2.9629629629629628</v>
      </c>
      <c r="H48" s="4">
        <v>9</v>
      </c>
      <c r="I48" s="3">
        <f>IF(G48="","",G48/SQRT(H48))</f>
        <v>0.98765432098765427</v>
      </c>
      <c r="J48" s="5"/>
      <c r="K48" s="3">
        <f>IF(OR(R48="",S48="",T48=""),"",(R48+S48+T48)/3)</f>
        <v>2.9</v>
      </c>
      <c r="L48" s="3">
        <f>IF(OR(S48="",T48=""),"",(T48-S48)/1.35)</f>
        <v>2.7407407407407405</v>
      </c>
      <c r="M48" s="4">
        <v>10</v>
      </c>
      <c r="N48" s="3">
        <f>IF(L48="","",L48/SQRT(M48))</f>
        <v>0.86669832167577787</v>
      </c>
      <c r="O48" s="3">
        <v>1</v>
      </c>
      <c r="P48" s="3">
        <v>0</v>
      </c>
      <c r="Q48" s="3">
        <v>4</v>
      </c>
      <c r="R48" s="3">
        <v>3</v>
      </c>
      <c r="S48" s="3">
        <v>1</v>
      </c>
      <c r="T48" s="3">
        <v>4.7</v>
      </c>
    </row>
    <row r="49" spans="1:20" ht="16" x14ac:dyDescent="0.2">
      <c r="A49" s="2" t="s">
        <v>48</v>
      </c>
      <c r="B49" s="2" t="s">
        <v>52</v>
      </c>
      <c r="C49" s="2" t="s">
        <v>25</v>
      </c>
      <c r="D49" s="2" t="s">
        <v>27</v>
      </c>
      <c r="E49" s="2" t="s">
        <v>29</v>
      </c>
      <c r="F49" s="3">
        <f>IF(OR(O49="",P49="",Q49=""),"",(O49+P49+Q49)/3)</f>
        <v>0.33333333333333331</v>
      </c>
      <c r="G49" s="3">
        <f>IF(OR(P49="",Q49=""),"",(Q49-P49)/1.35)</f>
        <v>0.7407407407407407</v>
      </c>
      <c r="H49" s="4">
        <v>10</v>
      </c>
      <c r="I49" s="3">
        <f>IF(G49="","",G49/SQRT(H49))</f>
        <v>0.23424278964210216</v>
      </c>
      <c r="J49" s="5"/>
      <c r="K49" s="3">
        <f>IF(OR(R49="",S49="",T49=""),"",(R49+S49+T49)/3)</f>
        <v>1</v>
      </c>
      <c r="L49" s="3">
        <f>IF(OR(S49="",T49=""),"",(T49-S49)/1.35)</f>
        <v>1.4814814814814814</v>
      </c>
      <c r="M49" s="4">
        <v>8</v>
      </c>
      <c r="N49" s="3">
        <f>IF(L49="","",L49/SQRT(M49))</f>
        <v>0.52378280087892404</v>
      </c>
      <c r="O49" s="3">
        <v>0</v>
      </c>
      <c r="P49" s="3">
        <v>0</v>
      </c>
      <c r="Q49" s="3">
        <v>1</v>
      </c>
      <c r="R49" s="3">
        <v>1</v>
      </c>
      <c r="S49" s="3">
        <v>0</v>
      </c>
      <c r="T49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18" customWidth="1"/>
    <col min="2" max="2" width="120" customWidth="1"/>
  </cols>
  <sheetData>
    <row r="1" spans="1:2" ht="16" x14ac:dyDescent="0.2">
      <c r="A1" s="7" t="s">
        <v>53</v>
      </c>
      <c r="B1" s="8" t="s">
        <v>54</v>
      </c>
    </row>
    <row r="2" spans="1:2" ht="32" x14ac:dyDescent="0.2">
      <c r="A2" s="7" t="s">
        <v>55</v>
      </c>
      <c r="B2" s="8" t="s">
        <v>56</v>
      </c>
    </row>
    <row r="3" spans="1:2" ht="16" x14ac:dyDescent="0.2">
      <c r="A3" s="7" t="s">
        <v>57</v>
      </c>
      <c r="B3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Table1_Extract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Lenz</cp:lastModifiedBy>
  <dcterms:created xsi:type="dcterms:W3CDTF">2026-01-13T23:34:12Z</dcterms:created>
  <dcterms:modified xsi:type="dcterms:W3CDTF">2026-02-24T23:34:00Z</dcterms:modified>
</cp:coreProperties>
</file>