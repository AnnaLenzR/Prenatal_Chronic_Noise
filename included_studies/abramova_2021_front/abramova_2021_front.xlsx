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filterPrivacy="1" defaultThemeVersion="124226"/>
  <xr:revisionPtr revIDLastSave="0" documentId="13_ncr:1_{A12792D0-B15A-3741-A287-CA41807A34F4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Лист1" sheetId="1" r:id="rId1"/>
    <sheet name="Control_female" sheetId="3" r:id="rId2"/>
    <sheet name="Control_male" sheetId="2" r:id="rId3"/>
    <sheet name="PS_female" sheetId="5" r:id="rId4"/>
    <sheet name="PS_mal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I22" i="4"/>
  <c r="J22" i="4"/>
  <c r="L22" i="4"/>
  <c r="L21" i="4"/>
  <c r="I21" i="4"/>
  <c r="H21" i="4"/>
  <c r="G21" i="4"/>
  <c r="F21" i="4"/>
  <c r="E21" i="4"/>
  <c r="E22" i="4"/>
  <c r="L23" i="4"/>
  <c r="J23" i="4"/>
  <c r="J24" i="4" s="1"/>
  <c r="I23" i="4"/>
  <c r="I24" i="4" s="1"/>
  <c r="H23" i="4"/>
  <c r="H24" i="4" s="1"/>
  <c r="G23" i="4"/>
  <c r="G24" i="4" s="1"/>
  <c r="F23" i="4"/>
  <c r="F24" i="4" s="1"/>
  <c r="E23" i="4"/>
  <c r="E24" i="4" s="1"/>
  <c r="H22" i="4"/>
  <c r="G22" i="4"/>
  <c r="F22" i="4"/>
  <c r="J21" i="4"/>
  <c r="F22" i="5"/>
  <c r="G22" i="5"/>
  <c r="H22" i="5"/>
  <c r="I22" i="5"/>
  <c r="J22" i="5"/>
  <c r="L22" i="5"/>
  <c r="F23" i="5"/>
  <c r="G23" i="5"/>
  <c r="H23" i="5"/>
  <c r="I23" i="5"/>
  <c r="J23" i="5"/>
  <c r="L23" i="5"/>
  <c r="F24" i="5"/>
  <c r="F25" i="5" s="1"/>
  <c r="G24" i="5"/>
  <c r="H24" i="5"/>
  <c r="I24" i="5"/>
  <c r="I25" i="5" s="1"/>
  <c r="J24" i="5"/>
  <c r="J25" i="5" s="1"/>
  <c r="L24" i="5"/>
  <c r="L25" i="5" s="1"/>
  <c r="G25" i="5"/>
  <c r="H25" i="5"/>
  <c r="E25" i="5"/>
  <c r="E24" i="5"/>
  <c r="E23" i="5"/>
  <c r="E32" i="2"/>
  <c r="F31" i="3"/>
  <c r="G31" i="3"/>
  <c r="H31" i="3"/>
  <c r="I31" i="3"/>
  <c r="J31" i="3"/>
  <c r="K31" i="3"/>
  <c r="L31" i="3"/>
  <c r="F32" i="3"/>
  <c r="G32" i="3"/>
  <c r="H32" i="3"/>
  <c r="I32" i="3"/>
  <c r="J32" i="3"/>
  <c r="K32" i="3"/>
  <c r="L32" i="3"/>
  <c r="F33" i="3"/>
  <c r="F34" i="3" s="1"/>
  <c r="G33" i="3"/>
  <c r="G34" i="3" s="1"/>
  <c r="H33" i="3"/>
  <c r="I33" i="3"/>
  <c r="I34" i="3" s="1"/>
  <c r="J33" i="3"/>
  <c r="J34" i="3" s="1"/>
  <c r="K33" i="3"/>
  <c r="K34" i="3" s="1"/>
  <c r="L33" i="3"/>
  <c r="L34" i="3" s="1"/>
  <c r="H34" i="3"/>
  <c r="E34" i="3"/>
  <c r="E33" i="3"/>
  <c r="E32" i="3"/>
  <c r="E31" i="3"/>
  <c r="F32" i="2"/>
  <c r="G32" i="2"/>
  <c r="H32" i="2"/>
  <c r="I32" i="2"/>
  <c r="J32" i="2"/>
  <c r="K32" i="2"/>
  <c r="L32" i="2"/>
  <c r="F33" i="2"/>
  <c r="G33" i="2"/>
  <c r="H33" i="2"/>
  <c r="I33" i="2"/>
  <c r="J33" i="2"/>
  <c r="J35" i="2" s="1"/>
  <c r="K33" i="2"/>
  <c r="L33" i="2"/>
  <c r="F34" i="2"/>
  <c r="F35" i="2" s="1"/>
  <c r="G34" i="2"/>
  <c r="G35" i="2" s="1"/>
  <c r="H34" i="2"/>
  <c r="I34" i="2"/>
  <c r="J34" i="2"/>
  <c r="K34" i="2"/>
  <c r="K35" i="2" s="1"/>
  <c r="L34" i="2"/>
  <c r="L35" i="2" s="1"/>
  <c r="H35" i="2"/>
  <c r="I35" i="2"/>
  <c r="E35" i="2"/>
  <c r="E34" i="2"/>
  <c r="E33" i="2"/>
  <c r="L24" i="4" l="1"/>
</calcChain>
</file>

<file path=xl/sharedStrings.xml><?xml version="1.0" encoding="utf-8"?>
<sst xmlns="http://schemas.openxmlformats.org/spreadsheetml/2006/main" count="911" uniqueCount="22">
  <si>
    <t>group</t>
  </si>
  <si>
    <t>sex</t>
  </si>
  <si>
    <t>handling</t>
  </si>
  <si>
    <t>gr_sex</t>
  </si>
  <si>
    <t>squares</t>
  </si>
  <si>
    <t>rearing</t>
  </si>
  <si>
    <t>grum_number</t>
  </si>
  <si>
    <t>grum_totalTime</t>
  </si>
  <si>
    <t>grum_meanDur</t>
  </si>
  <si>
    <t>freez_totalTime</t>
  </si>
  <si>
    <t>center_num</t>
  </si>
  <si>
    <t>center_totalTime</t>
  </si>
  <si>
    <t>Males</t>
  </si>
  <si>
    <t>Females</t>
  </si>
  <si>
    <t>Control</t>
  </si>
  <si>
    <t>PS</t>
  </si>
  <si>
    <t>Handling</t>
  </si>
  <si>
    <t>No handling</t>
  </si>
  <si>
    <t>Mean</t>
  </si>
  <si>
    <t>n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</si>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</sst>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0" borderId="2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opLeftCell="A2" workbookViewId="0">
      <selection activeCell="H33" sqref="H33"/>
    </sheetView>
  </sheetViews>
  <sheetFormatPr baseColWidth="10" defaultColWidth="8.83203125" defaultRowHeight="15" x14ac:dyDescent="0.2"/>
  <cols>
    <col min="1" max="2" width="9.1640625"/>
    <col min="3" max="3" width="13.33203125" customWidth="1"/>
    <col min="4" max="5" width="9.1640625"/>
    <col min="7" max="7" width="12.6640625" customWidth="1"/>
    <col min="8" max="8" width="17.6640625" customWidth="1"/>
    <col min="9" max="9" width="15.1640625" customWidth="1"/>
    <col min="10" max="10" width="16.33203125" customWidth="1"/>
    <col min="11" max="11" width="1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">
      <c r="A2" s="3" t="s">
        <v>14</v>
      </c>
      <c r="B2" s="3" t="s">
        <v>12</v>
      </c>
      <c r="C2" s="3" t="s">
        <v>16</v>
      </c>
      <c r="D2" s="3">
        <v>1</v>
      </c>
      <c r="E2" s="3">
        <v>49</v>
      </c>
      <c r="F2" s="3">
        <v>3</v>
      </c>
      <c r="G2" s="3">
        <v>6</v>
      </c>
      <c r="H2" s="3"/>
      <c r="I2" s="3">
        <v>9</v>
      </c>
      <c r="J2" s="3">
        <v>73.33</v>
      </c>
      <c r="K2" s="3">
        <v>8.15</v>
      </c>
      <c r="L2" s="3">
        <v>0</v>
      </c>
    </row>
    <row r="3" spans="1:12" x14ac:dyDescent="0.2">
      <c r="A3" s="3" t="s">
        <v>14</v>
      </c>
      <c r="B3" s="3" t="s">
        <v>12</v>
      </c>
      <c r="C3" s="3" t="s">
        <v>16</v>
      </c>
      <c r="D3" s="3">
        <v>1</v>
      </c>
      <c r="E3" s="3">
        <v>24</v>
      </c>
      <c r="F3" s="3">
        <v>2</v>
      </c>
      <c r="G3" s="3">
        <v>0</v>
      </c>
      <c r="H3" s="3"/>
      <c r="I3" s="3">
        <v>5</v>
      </c>
      <c r="J3" s="3">
        <v>20.54</v>
      </c>
      <c r="K3" s="3">
        <v>4.1100000000000003</v>
      </c>
      <c r="L3" s="3">
        <v>90.23</v>
      </c>
    </row>
    <row r="4" spans="1:12" x14ac:dyDescent="0.2">
      <c r="A4" s="3" t="s">
        <v>14</v>
      </c>
      <c r="B4" s="3" t="s">
        <v>12</v>
      </c>
      <c r="C4" s="3" t="s">
        <v>16</v>
      </c>
      <c r="D4" s="3">
        <v>1</v>
      </c>
      <c r="E4" s="3">
        <v>54</v>
      </c>
      <c r="F4" s="3">
        <v>5</v>
      </c>
      <c r="G4" s="3">
        <v>2</v>
      </c>
      <c r="H4" s="3"/>
      <c r="I4" s="3">
        <v>4</v>
      </c>
      <c r="J4" s="3">
        <v>46.05</v>
      </c>
      <c r="K4" s="3">
        <v>11.51</v>
      </c>
      <c r="L4" s="3">
        <v>0</v>
      </c>
    </row>
    <row r="5" spans="1:12" x14ac:dyDescent="0.2">
      <c r="A5" s="3" t="s">
        <v>14</v>
      </c>
      <c r="B5" s="3" t="s">
        <v>12</v>
      </c>
      <c r="C5" s="3" t="s">
        <v>16</v>
      </c>
      <c r="D5" s="3">
        <v>1</v>
      </c>
      <c r="E5" s="3">
        <v>34</v>
      </c>
      <c r="F5" s="3">
        <v>1</v>
      </c>
      <c r="G5" s="3">
        <v>0</v>
      </c>
      <c r="H5" s="3"/>
      <c r="I5" s="3">
        <v>2</v>
      </c>
      <c r="J5" s="3">
        <v>26.13</v>
      </c>
      <c r="K5" s="3">
        <v>13.06</v>
      </c>
      <c r="L5" s="3">
        <v>0</v>
      </c>
    </row>
    <row r="6" spans="1:12" x14ac:dyDescent="0.2">
      <c r="A6" s="3" t="s">
        <v>14</v>
      </c>
      <c r="B6" s="3" t="s">
        <v>12</v>
      </c>
      <c r="C6" s="3" t="s">
        <v>16</v>
      </c>
      <c r="D6" s="3">
        <v>1</v>
      </c>
      <c r="E6" s="3">
        <v>0</v>
      </c>
      <c r="F6" s="3">
        <v>0</v>
      </c>
      <c r="G6" s="3">
        <v>0</v>
      </c>
      <c r="H6" s="3"/>
      <c r="I6" s="3">
        <v>1</v>
      </c>
      <c r="J6" s="3">
        <v>15.88</v>
      </c>
      <c r="K6" s="3">
        <v>15.88</v>
      </c>
      <c r="L6" s="3">
        <v>184.08</v>
      </c>
    </row>
    <row r="7" spans="1:12" x14ac:dyDescent="0.2">
      <c r="A7" s="3" t="s">
        <v>14</v>
      </c>
      <c r="B7" s="3" t="s">
        <v>12</v>
      </c>
      <c r="C7" s="3" t="s">
        <v>16</v>
      </c>
      <c r="D7" s="3">
        <v>1</v>
      </c>
      <c r="E7" s="3">
        <v>48</v>
      </c>
      <c r="F7" s="3">
        <v>2</v>
      </c>
      <c r="G7" s="3">
        <v>3</v>
      </c>
      <c r="H7" s="3"/>
      <c r="I7" s="3">
        <v>5</v>
      </c>
      <c r="J7" s="3">
        <v>20.63</v>
      </c>
      <c r="K7" s="3">
        <v>4.13</v>
      </c>
      <c r="L7" s="3">
        <v>11</v>
      </c>
    </row>
    <row r="8" spans="1:12" x14ac:dyDescent="0.2">
      <c r="A8" s="3" t="s">
        <v>14</v>
      </c>
      <c r="B8" s="3" t="s">
        <v>12</v>
      </c>
      <c r="C8" s="3" t="s">
        <v>16</v>
      </c>
      <c r="D8" s="3">
        <v>1</v>
      </c>
      <c r="E8" s="3">
        <v>56</v>
      </c>
      <c r="F8" s="3">
        <v>1</v>
      </c>
      <c r="G8" s="3">
        <v>6</v>
      </c>
      <c r="H8" s="3"/>
      <c r="I8" s="3">
        <v>4</v>
      </c>
      <c r="J8" s="3">
        <v>22.03</v>
      </c>
      <c r="K8" s="3">
        <v>5.51</v>
      </c>
      <c r="L8" s="3">
        <v>37.26</v>
      </c>
    </row>
    <row r="9" spans="1:12" x14ac:dyDescent="0.2">
      <c r="A9" s="3" t="s">
        <v>14</v>
      </c>
      <c r="B9" s="3" t="s">
        <v>12</v>
      </c>
      <c r="C9" s="3" t="s">
        <v>16</v>
      </c>
      <c r="D9" s="3">
        <v>1</v>
      </c>
      <c r="E9" s="3">
        <v>79</v>
      </c>
      <c r="F9" s="3">
        <v>6</v>
      </c>
      <c r="G9" s="3">
        <v>2</v>
      </c>
      <c r="H9" s="3"/>
      <c r="I9" s="3">
        <v>3</v>
      </c>
      <c r="J9" s="3">
        <v>19.86</v>
      </c>
      <c r="K9" s="3">
        <v>6.62</v>
      </c>
      <c r="L9" s="3">
        <v>0</v>
      </c>
    </row>
    <row r="10" spans="1:12" x14ac:dyDescent="0.2">
      <c r="A10" s="3" t="s">
        <v>14</v>
      </c>
      <c r="B10" s="3" t="s">
        <v>12</v>
      </c>
      <c r="C10" s="3" t="s">
        <v>16</v>
      </c>
      <c r="D10" s="3">
        <v>1</v>
      </c>
      <c r="E10" s="3">
        <v>19</v>
      </c>
      <c r="F10" s="3">
        <v>2</v>
      </c>
      <c r="G10" s="3">
        <v>0</v>
      </c>
      <c r="H10" s="3"/>
      <c r="I10" s="3">
        <v>3</v>
      </c>
      <c r="J10" s="3">
        <v>23.52</v>
      </c>
      <c r="K10" s="3">
        <v>7.84</v>
      </c>
      <c r="L10" s="3">
        <v>12.92</v>
      </c>
    </row>
    <row r="11" spans="1:12" x14ac:dyDescent="0.2">
      <c r="A11" s="3" t="s">
        <v>14</v>
      </c>
      <c r="B11" s="3" t="s">
        <v>12</v>
      </c>
      <c r="C11" s="3" t="s">
        <v>16</v>
      </c>
      <c r="D11" s="3">
        <v>1</v>
      </c>
      <c r="E11" s="3">
        <v>4</v>
      </c>
      <c r="F11" s="3">
        <v>3</v>
      </c>
      <c r="G11" s="3">
        <v>0</v>
      </c>
      <c r="H11" s="3"/>
      <c r="I11" s="3">
        <v>6</v>
      </c>
      <c r="J11" s="3">
        <v>28.81</v>
      </c>
      <c r="K11" s="3">
        <v>4.8</v>
      </c>
      <c r="L11" s="3">
        <v>8.59</v>
      </c>
    </row>
    <row r="12" spans="1:12" x14ac:dyDescent="0.2">
      <c r="A12" s="3" t="s">
        <v>14</v>
      </c>
      <c r="B12" s="3" t="s">
        <v>12</v>
      </c>
      <c r="C12" s="3" t="s">
        <v>16</v>
      </c>
      <c r="D12" s="3">
        <v>1</v>
      </c>
      <c r="E12" s="3">
        <v>27</v>
      </c>
      <c r="F12" s="3">
        <v>1</v>
      </c>
      <c r="G12" s="3">
        <v>0</v>
      </c>
      <c r="H12" s="3"/>
      <c r="I12" s="3">
        <v>6</v>
      </c>
      <c r="J12" s="3">
        <v>27.73</v>
      </c>
      <c r="K12" s="3">
        <v>4.62</v>
      </c>
      <c r="L12" s="3">
        <v>0</v>
      </c>
    </row>
    <row r="13" spans="1:12" x14ac:dyDescent="0.2">
      <c r="A13" s="3" t="s">
        <v>14</v>
      </c>
      <c r="B13" s="3" t="s">
        <v>12</v>
      </c>
      <c r="C13" s="3" t="s">
        <v>16</v>
      </c>
      <c r="D13" s="3">
        <v>1</v>
      </c>
      <c r="E13" s="3">
        <v>24</v>
      </c>
      <c r="F13" s="3">
        <v>4</v>
      </c>
      <c r="G13" s="3">
        <v>3</v>
      </c>
      <c r="H13" s="3"/>
      <c r="I13" s="3">
        <v>6</v>
      </c>
      <c r="J13" s="3">
        <v>35.5</v>
      </c>
      <c r="K13" s="3">
        <v>5.92</v>
      </c>
      <c r="L13" s="3">
        <v>19.7</v>
      </c>
    </row>
    <row r="14" spans="1:12" x14ac:dyDescent="0.2">
      <c r="A14" s="3" t="s">
        <v>14</v>
      </c>
      <c r="B14" s="3" t="s">
        <v>12</v>
      </c>
      <c r="C14" s="3" t="s">
        <v>16</v>
      </c>
      <c r="D14" s="3">
        <v>1</v>
      </c>
      <c r="E14" s="3">
        <v>30</v>
      </c>
      <c r="F14" s="3">
        <v>8</v>
      </c>
      <c r="G14" s="3">
        <v>4</v>
      </c>
      <c r="H14" s="3"/>
      <c r="I14" s="3">
        <v>4</v>
      </c>
      <c r="J14" s="3">
        <v>36.53</v>
      </c>
      <c r="K14" s="3">
        <v>9.1300000000000008</v>
      </c>
      <c r="L14" s="3">
        <v>0</v>
      </c>
    </row>
    <row r="15" spans="1:12" x14ac:dyDescent="0.2">
      <c r="A15" s="3" t="s">
        <v>14</v>
      </c>
      <c r="B15" s="3" t="s">
        <v>12</v>
      </c>
      <c r="C15" s="3" t="s">
        <v>16</v>
      </c>
      <c r="D15" s="3">
        <v>1</v>
      </c>
      <c r="E15" s="3">
        <v>39</v>
      </c>
      <c r="F15" s="3">
        <v>6</v>
      </c>
      <c r="G15" s="3">
        <v>3</v>
      </c>
      <c r="H15" s="3"/>
      <c r="I15" s="3">
        <v>2</v>
      </c>
      <c r="J15" s="3">
        <v>24.28</v>
      </c>
      <c r="K15" s="3">
        <v>12.14</v>
      </c>
      <c r="L15" s="3">
        <v>0</v>
      </c>
    </row>
    <row r="16" spans="1:12" x14ac:dyDescent="0.2">
      <c r="A16" s="3" t="s">
        <v>14</v>
      </c>
      <c r="B16" s="3" t="s">
        <v>12</v>
      </c>
      <c r="C16" s="3" t="s">
        <v>16</v>
      </c>
      <c r="D16" s="3">
        <v>1</v>
      </c>
      <c r="E16" s="3">
        <v>0</v>
      </c>
      <c r="F16" s="3">
        <v>0</v>
      </c>
      <c r="G16" s="3">
        <v>0</v>
      </c>
      <c r="H16" s="3"/>
      <c r="I16" s="3">
        <v>4</v>
      </c>
      <c r="J16" s="3">
        <v>24.28</v>
      </c>
      <c r="K16" s="3">
        <v>6.07</v>
      </c>
      <c r="L16" s="3">
        <v>53.17</v>
      </c>
    </row>
    <row r="17" spans="1:12" x14ac:dyDescent="0.2">
      <c r="A17" s="3" t="s">
        <v>14</v>
      </c>
      <c r="B17" s="3" t="s">
        <v>12</v>
      </c>
      <c r="C17" s="3" t="s">
        <v>16</v>
      </c>
      <c r="D17" s="3">
        <v>1</v>
      </c>
      <c r="E17" s="3">
        <v>16</v>
      </c>
      <c r="F17" s="3">
        <v>5</v>
      </c>
      <c r="G17" s="3">
        <v>0</v>
      </c>
      <c r="H17" s="3"/>
      <c r="I17" s="3">
        <v>7</v>
      </c>
      <c r="J17" s="3">
        <v>27</v>
      </c>
      <c r="K17" s="3">
        <v>3.86</v>
      </c>
      <c r="L17" s="3">
        <v>0.79</v>
      </c>
    </row>
    <row r="18" spans="1:12" x14ac:dyDescent="0.2">
      <c r="A18" s="3" t="s">
        <v>14</v>
      </c>
      <c r="B18" s="3" t="s">
        <v>12</v>
      </c>
      <c r="C18" s="3" t="s">
        <v>16</v>
      </c>
      <c r="D18" s="3">
        <v>1</v>
      </c>
      <c r="E18" s="3">
        <v>54</v>
      </c>
      <c r="F18" s="3">
        <v>13</v>
      </c>
      <c r="G18" s="3">
        <v>3</v>
      </c>
      <c r="H18" s="3"/>
      <c r="I18" s="3">
        <v>7</v>
      </c>
      <c r="J18" s="3">
        <v>53.59</v>
      </c>
      <c r="K18" s="3">
        <v>7.66</v>
      </c>
      <c r="L18" s="3">
        <v>0</v>
      </c>
    </row>
    <row r="19" spans="1:12" x14ac:dyDescent="0.2">
      <c r="A19" s="3" t="s">
        <v>14</v>
      </c>
      <c r="B19" s="3" t="s">
        <v>12</v>
      </c>
      <c r="C19" s="3" t="s">
        <v>16</v>
      </c>
      <c r="D19" s="3">
        <v>1</v>
      </c>
      <c r="E19" s="3">
        <v>39</v>
      </c>
      <c r="F19" s="3">
        <v>17</v>
      </c>
      <c r="G19" s="3">
        <v>7</v>
      </c>
      <c r="H19" s="3"/>
      <c r="I19" s="3">
        <v>4</v>
      </c>
      <c r="J19" s="3">
        <v>22</v>
      </c>
      <c r="K19" s="3">
        <v>5.5</v>
      </c>
      <c r="L19" s="3">
        <v>0</v>
      </c>
    </row>
    <row r="20" spans="1:12" x14ac:dyDescent="0.2">
      <c r="A20" s="3" t="s">
        <v>14</v>
      </c>
      <c r="B20" s="3" t="s">
        <v>12</v>
      </c>
      <c r="C20" s="3" t="s">
        <v>16</v>
      </c>
      <c r="D20" s="3">
        <v>1</v>
      </c>
      <c r="E20" s="3">
        <v>31</v>
      </c>
      <c r="F20" s="3">
        <v>4</v>
      </c>
      <c r="G20" s="3">
        <v>1</v>
      </c>
      <c r="H20" s="3"/>
      <c r="I20" s="3">
        <v>4</v>
      </c>
      <c r="J20" s="3">
        <v>11.16</v>
      </c>
      <c r="K20" s="3">
        <v>2.79</v>
      </c>
      <c r="L20" s="3">
        <v>74.78</v>
      </c>
    </row>
    <row r="21" spans="1:12" x14ac:dyDescent="0.2">
      <c r="A21" s="3" t="s">
        <v>14</v>
      </c>
      <c r="B21" s="3" t="s">
        <v>12</v>
      </c>
      <c r="C21" s="3" t="s">
        <v>16</v>
      </c>
      <c r="D21" s="3">
        <v>1</v>
      </c>
      <c r="E21" s="3">
        <v>24</v>
      </c>
      <c r="F21" s="3">
        <v>1</v>
      </c>
      <c r="G21" s="3">
        <v>3</v>
      </c>
      <c r="H21" s="3"/>
      <c r="I21" s="3">
        <v>2</v>
      </c>
      <c r="J21" s="3">
        <v>14.35</v>
      </c>
      <c r="K21" s="3">
        <v>7.17</v>
      </c>
      <c r="L21" s="3">
        <v>89.85</v>
      </c>
    </row>
    <row r="22" spans="1:12" x14ac:dyDescent="0.2">
      <c r="A22" s="3" t="s">
        <v>14</v>
      </c>
      <c r="B22" s="3" t="s">
        <v>12</v>
      </c>
      <c r="C22" s="3" t="s">
        <v>16</v>
      </c>
      <c r="D22" s="3">
        <v>1</v>
      </c>
      <c r="E22" s="3">
        <v>35</v>
      </c>
      <c r="F22" s="3">
        <v>5</v>
      </c>
      <c r="G22" s="3">
        <v>2</v>
      </c>
      <c r="H22" s="3"/>
      <c r="I22" s="3">
        <v>3</v>
      </c>
      <c r="J22" s="3">
        <v>23.43</v>
      </c>
      <c r="K22" s="3">
        <v>7.81</v>
      </c>
      <c r="L22" s="3">
        <v>0</v>
      </c>
    </row>
    <row r="23" spans="1:12" x14ac:dyDescent="0.2">
      <c r="A23" s="3" t="s">
        <v>14</v>
      </c>
      <c r="B23" s="3" t="s">
        <v>12</v>
      </c>
      <c r="C23" s="3" t="s">
        <v>16</v>
      </c>
      <c r="D23" s="3">
        <v>1</v>
      </c>
      <c r="E23" s="3">
        <v>37</v>
      </c>
      <c r="F23" s="3">
        <v>2</v>
      </c>
      <c r="G23" s="3">
        <v>1</v>
      </c>
      <c r="H23" s="3"/>
      <c r="I23" s="3">
        <v>4</v>
      </c>
      <c r="J23" s="3">
        <v>37.28</v>
      </c>
      <c r="K23" s="3">
        <v>9.32</v>
      </c>
      <c r="L23" s="3">
        <v>45.04</v>
      </c>
    </row>
    <row r="24" spans="1:12" x14ac:dyDescent="0.2">
      <c r="A24" s="3" t="s">
        <v>14</v>
      </c>
      <c r="B24" s="3" t="s">
        <v>12</v>
      </c>
      <c r="C24" s="3" t="s">
        <v>16</v>
      </c>
      <c r="D24" s="3">
        <v>1</v>
      </c>
      <c r="E24" s="3">
        <v>30</v>
      </c>
      <c r="F24" s="3">
        <v>10</v>
      </c>
      <c r="G24" s="3">
        <v>7</v>
      </c>
      <c r="H24" s="3"/>
      <c r="I24" s="3">
        <v>2</v>
      </c>
      <c r="J24" s="3">
        <v>17.809999999999999</v>
      </c>
      <c r="K24" s="3">
        <v>8.91</v>
      </c>
      <c r="L24" s="3">
        <v>30.34</v>
      </c>
    </row>
    <row r="25" spans="1:12" x14ac:dyDescent="0.2">
      <c r="A25" s="3" t="s">
        <v>14</v>
      </c>
      <c r="B25" s="3" t="s">
        <v>12</v>
      </c>
      <c r="C25" s="3" t="s">
        <v>16</v>
      </c>
      <c r="D25" s="3">
        <v>1</v>
      </c>
      <c r="E25" s="3">
        <v>22</v>
      </c>
      <c r="F25" s="3">
        <v>0</v>
      </c>
      <c r="G25" s="3">
        <v>1</v>
      </c>
      <c r="H25" s="3"/>
      <c r="I25" s="3">
        <v>4</v>
      </c>
      <c r="J25" s="3">
        <v>29.53</v>
      </c>
      <c r="K25" s="3">
        <v>7.38</v>
      </c>
      <c r="L25" s="3">
        <v>109.76</v>
      </c>
    </row>
    <row r="26" spans="1:12" x14ac:dyDescent="0.2">
      <c r="A26" s="3" t="s">
        <v>14</v>
      </c>
      <c r="B26" s="3" t="s">
        <v>12</v>
      </c>
      <c r="C26" s="3" t="s">
        <v>16</v>
      </c>
      <c r="D26" s="3">
        <v>1</v>
      </c>
      <c r="E26" s="3">
        <v>35</v>
      </c>
      <c r="F26" s="3">
        <v>1</v>
      </c>
      <c r="G26" s="3">
        <v>2</v>
      </c>
      <c r="H26" s="3"/>
      <c r="I26" s="3">
        <v>3</v>
      </c>
      <c r="J26" s="3">
        <v>32.33</v>
      </c>
      <c r="K26" s="3">
        <v>10.78</v>
      </c>
      <c r="L26" s="3">
        <v>55.94</v>
      </c>
    </row>
    <row r="27" spans="1:12" x14ac:dyDescent="0.2">
      <c r="A27" s="3" t="s">
        <v>14</v>
      </c>
      <c r="B27" s="3" t="s">
        <v>13</v>
      </c>
      <c r="C27" s="3" t="s">
        <v>16</v>
      </c>
      <c r="D27" s="3">
        <v>2</v>
      </c>
      <c r="E27" s="3">
        <v>27</v>
      </c>
      <c r="F27" s="3">
        <v>3</v>
      </c>
      <c r="G27" s="3">
        <v>2</v>
      </c>
      <c r="H27" s="3"/>
      <c r="I27" s="3">
        <v>5</v>
      </c>
      <c r="J27" s="3">
        <v>11.76</v>
      </c>
      <c r="K27" s="3">
        <v>2.35</v>
      </c>
      <c r="L27" s="3">
        <v>39.56</v>
      </c>
    </row>
    <row r="28" spans="1:12" x14ac:dyDescent="0.2">
      <c r="A28" s="3" t="s">
        <v>14</v>
      </c>
      <c r="B28" s="3" t="s">
        <v>13</v>
      </c>
      <c r="C28" s="3" t="s">
        <v>16</v>
      </c>
      <c r="D28" s="3">
        <v>2</v>
      </c>
      <c r="E28" s="3">
        <v>16</v>
      </c>
      <c r="F28" s="3">
        <v>2</v>
      </c>
      <c r="G28" s="3">
        <v>1</v>
      </c>
      <c r="H28" s="3"/>
      <c r="I28" s="3">
        <v>3</v>
      </c>
      <c r="J28" s="3">
        <v>33.15</v>
      </c>
      <c r="K28" s="3">
        <v>11.05</v>
      </c>
      <c r="L28" s="3">
        <v>0</v>
      </c>
    </row>
    <row r="29" spans="1:12" x14ac:dyDescent="0.2">
      <c r="A29" s="3" t="s">
        <v>14</v>
      </c>
      <c r="B29" s="3" t="s">
        <v>13</v>
      </c>
      <c r="C29" s="3" t="s">
        <v>16</v>
      </c>
      <c r="D29" s="3">
        <v>2</v>
      </c>
      <c r="E29" s="3">
        <v>59</v>
      </c>
      <c r="F29" s="3">
        <v>1</v>
      </c>
      <c r="G29" s="3">
        <v>0</v>
      </c>
      <c r="H29" s="3"/>
      <c r="I29" s="3">
        <v>4</v>
      </c>
      <c r="J29" s="3">
        <v>46.52</v>
      </c>
      <c r="K29" s="3">
        <v>11.63</v>
      </c>
      <c r="L29" s="3">
        <v>26.03</v>
      </c>
    </row>
    <row r="30" spans="1:12" x14ac:dyDescent="0.2">
      <c r="A30" s="3" t="s">
        <v>14</v>
      </c>
      <c r="B30" s="3" t="s">
        <v>13</v>
      </c>
      <c r="C30" s="3" t="s">
        <v>16</v>
      </c>
      <c r="D30" s="3">
        <v>2</v>
      </c>
      <c r="E30" s="3">
        <v>23</v>
      </c>
      <c r="F30" s="3">
        <v>19</v>
      </c>
      <c r="G30" s="3">
        <v>5</v>
      </c>
      <c r="H30" s="3"/>
      <c r="I30" s="3">
        <v>4</v>
      </c>
      <c r="J30" s="3">
        <v>43.9</v>
      </c>
      <c r="K30" s="3">
        <v>10.98</v>
      </c>
      <c r="L30" s="3">
        <v>0</v>
      </c>
    </row>
    <row r="31" spans="1:12" x14ac:dyDescent="0.2">
      <c r="A31" s="3" t="s">
        <v>14</v>
      </c>
      <c r="B31" s="3" t="s">
        <v>13</v>
      </c>
      <c r="C31" s="3" t="s">
        <v>16</v>
      </c>
      <c r="D31" s="3">
        <v>2</v>
      </c>
      <c r="E31" s="3">
        <v>20</v>
      </c>
      <c r="F31" s="3">
        <v>2</v>
      </c>
      <c r="G31" s="3">
        <v>1</v>
      </c>
      <c r="H31" s="3"/>
      <c r="I31" s="3">
        <v>4</v>
      </c>
      <c r="J31" s="3">
        <v>58.43</v>
      </c>
      <c r="K31" s="3">
        <v>14.61</v>
      </c>
      <c r="L31" s="3">
        <v>0</v>
      </c>
    </row>
    <row r="32" spans="1:12" x14ac:dyDescent="0.2">
      <c r="A32" s="3" t="s">
        <v>14</v>
      </c>
      <c r="B32" s="3" t="s">
        <v>13</v>
      </c>
      <c r="C32" s="3" t="s">
        <v>16</v>
      </c>
      <c r="D32" s="3">
        <v>2</v>
      </c>
      <c r="E32" s="3">
        <v>54</v>
      </c>
      <c r="F32" s="3">
        <v>2</v>
      </c>
      <c r="G32" s="3">
        <v>10</v>
      </c>
      <c r="H32" s="3"/>
      <c r="I32" s="3">
        <v>2</v>
      </c>
      <c r="J32" s="3">
        <v>5.0199999999999996</v>
      </c>
      <c r="K32" s="3">
        <v>2.5099999999999998</v>
      </c>
      <c r="L32" s="3">
        <v>70.38</v>
      </c>
    </row>
    <row r="33" spans="1:12" x14ac:dyDescent="0.2">
      <c r="A33" s="3" t="s">
        <v>14</v>
      </c>
      <c r="B33" s="3" t="s">
        <v>13</v>
      </c>
      <c r="C33" s="3" t="s">
        <v>16</v>
      </c>
      <c r="D33" s="3">
        <v>2</v>
      </c>
      <c r="E33" s="3">
        <v>28</v>
      </c>
      <c r="F33" s="3">
        <v>1</v>
      </c>
      <c r="G33" s="3">
        <v>2</v>
      </c>
      <c r="H33" s="3"/>
      <c r="I33" s="3">
        <v>5</v>
      </c>
      <c r="J33" s="3">
        <v>30.54</v>
      </c>
      <c r="K33" s="3">
        <v>6.11</v>
      </c>
      <c r="L33" s="3">
        <v>73.83</v>
      </c>
    </row>
    <row r="34" spans="1:12" x14ac:dyDescent="0.2">
      <c r="A34" s="3" t="s">
        <v>14</v>
      </c>
      <c r="B34" s="3" t="s">
        <v>13</v>
      </c>
      <c r="C34" s="3" t="s">
        <v>16</v>
      </c>
      <c r="D34" s="3">
        <v>2</v>
      </c>
      <c r="E34" s="3">
        <v>66</v>
      </c>
      <c r="F34" s="3">
        <v>5</v>
      </c>
      <c r="G34" s="3">
        <v>2</v>
      </c>
      <c r="H34" s="3"/>
      <c r="I34" s="3">
        <v>4</v>
      </c>
      <c r="J34" s="3">
        <v>27.72</v>
      </c>
      <c r="K34" s="3">
        <v>6.93</v>
      </c>
      <c r="L34" s="3">
        <v>3.35</v>
      </c>
    </row>
    <row r="35" spans="1:12" x14ac:dyDescent="0.2">
      <c r="A35" s="3" t="s">
        <v>14</v>
      </c>
      <c r="B35" s="3" t="s">
        <v>13</v>
      </c>
      <c r="C35" s="3" t="s">
        <v>16</v>
      </c>
      <c r="D35" s="3">
        <v>2</v>
      </c>
      <c r="E35" s="3">
        <v>45</v>
      </c>
      <c r="F35" s="3">
        <v>5</v>
      </c>
      <c r="G35" s="3">
        <v>4</v>
      </c>
      <c r="H35" s="3"/>
      <c r="I35" s="3">
        <v>3</v>
      </c>
      <c r="J35" s="3">
        <v>16.32</v>
      </c>
      <c r="K35" s="3">
        <v>5.44</v>
      </c>
      <c r="L35" s="3">
        <v>31.21</v>
      </c>
    </row>
    <row r="36" spans="1:12" x14ac:dyDescent="0.2">
      <c r="A36" s="3" t="s">
        <v>14</v>
      </c>
      <c r="B36" s="3" t="s">
        <v>13</v>
      </c>
      <c r="C36" s="3" t="s">
        <v>16</v>
      </c>
      <c r="D36" s="3">
        <v>2</v>
      </c>
      <c r="E36" s="3">
        <v>36</v>
      </c>
      <c r="F36" s="3">
        <v>0</v>
      </c>
      <c r="G36" s="3">
        <v>0</v>
      </c>
      <c r="H36" s="3"/>
      <c r="I36" s="3">
        <v>10</v>
      </c>
      <c r="J36" s="3">
        <v>64.28</v>
      </c>
      <c r="K36" s="3">
        <v>6.43</v>
      </c>
      <c r="L36" s="3">
        <v>4.3099999999999996</v>
      </c>
    </row>
    <row r="37" spans="1:12" x14ac:dyDescent="0.2">
      <c r="A37" s="3" t="s">
        <v>14</v>
      </c>
      <c r="B37" s="3" t="s">
        <v>13</v>
      </c>
      <c r="C37" s="3" t="s">
        <v>16</v>
      </c>
      <c r="D37" s="3">
        <v>2</v>
      </c>
      <c r="E37" s="3">
        <v>13</v>
      </c>
      <c r="F37" s="3">
        <v>0</v>
      </c>
      <c r="G37" s="3">
        <v>1</v>
      </c>
      <c r="H37" s="3"/>
      <c r="I37" s="3">
        <v>3</v>
      </c>
      <c r="J37" s="3">
        <v>28.82</v>
      </c>
      <c r="K37" s="3">
        <v>9.61</v>
      </c>
      <c r="L37" s="3">
        <v>143.19</v>
      </c>
    </row>
    <row r="38" spans="1:12" x14ac:dyDescent="0.2">
      <c r="A38" s="3" t="s">
        <v>14</v>
      </c>
      <c r="B38" s="3" t="s">
        <v>13</v>
      </c>
      <c r="C38" s="3" t="s">
        <v>16</v>
      </c>
      <c r="D38" s="3">
        <v>2</v>
      </c>
      <c r="E38" s="3">
        <v>26</v>
      </c>
      <c r="F38" s="3">
        <v>0</v>
      </c>
      <c r="G38" s="3">
        <v>0</v>
      </c>
      <c r="H38" s="3"/>
      <c r="I38" s="3">
        <v>4</v>
      </c>
      <c r="J38" s="3">
        <v>40.75</v>
      </c>
      <c r="K38" s="3">
        <v>10.19</v>
      </c>
      <c r="L38" s="3">
        <v>5.42</v>
      </c>
    </row>
    <row r="39" spans="1:12" x14ac:dyDescent="0.2">
      <c r="A39" s="3" t="s">
        <v>14</v>
      </c>
      <c r="B39" s="3" t="s">
        <v>13</v>
      </c>
      <c r="C39" s="3" t="s">
        <v>16</v>
      </c>
      <c r="D39" s="3">
        <v>2</v>
      </c>
      <c r="E39" s="3">
        <v>4</v>
      </c>
      <c r="F39" s="3">
        <v>0</v>
      </c>
      <c r="G39" s="3">
        <v>0</v>
      </c>
      <c r="H39" s="3"/>
      <c r="I39" s="3">
        <v>4</v>
      </c>
      <c r="J39" s="3">
        <v>42.69</v>
      </c>
      <c r="K39" s="3">
        <v>10.67</v>
      </c>
      <c r="L39" s="3">
        <v>130.86000000000001</v>
      </c>
    </row>
    <row r="40" spans="1:12" x14ac:dyDescent="0.2">
      <c r="A40" s="3" t="s">
        <v>14</v>
      </c>
      <c r="B40" s="3" t="s">
        <v>13</v>
      </c>
      <c r="C40" s="3" t="s">
        <v>16</v>
      </c>
      <c r="D40" s="3">
        <v>2</v>
      </c>
      <c r="E40" s="3">
        <v>7</v>
      </c>
      <c r="F40" s="3">
        <v>0</v>
      </c>
      <c r="G40" s="3">
        <v>0</v>
      </c>
      <c r="H40" s="3"/>
      <c r="I40" s="3">
        <v>4</v>
      </c>
      <c r="J40" s="3">
        <v>12.86</v>
      </c>
      <c r="K40" s="3">
        <v>3.21</v>
      </c>
      <c r="L40" s="3">
        <v>26.93</v>
      </c>
    </row>
    <row r="41" spans="1:12" x14ac:dyDescent="0.2">
      <c r="A41" s="3" t="s">
        <v>14</v>
      </c>
      <c r="B41" s="3" t="s">
        <v>13</v>
      </c>
      <c r="C41" s="3" t="s">
        <v>16</v>
      </c>
      <c r="D41" s="3">
        <v>2</v>
      </c>
      <c r="E41" s="3">
        <v>15</v>
      </c>
      <c r="F41" s="3">
        <v>1</v>
      </c>
      <c r="G41" s="3">
        <v>1</v>
      </c>
      <c r="H41" s="3"/>
      <c r="I41" s="3">
        <v>3</v>
      </c>
      <c r="J41" s="3">
        <v>13.31</v>
      </c>
      <c r="K41" s="3">
        <v>4.4400000000000004</v>
      </c>
      <c r="L41" s="3">
        <v>1.44</v>
      </c>
    </row>
    <row r="42" spans="1:12" x14ac:dyDescent="0.2">
      <c r="A42" s="3" t="s">
        <v>14</v>
      </c>
      <c r="B42" s="3" t="s">
        <v>13</v>
      </c>
      <c r="C42" s="3" t="s">
        <v>16</v>
      </c>
      <c r="D42" s="3">
        <v>2</v>
      </c>
      <c r="E42" s="3">
        <v>1</v>
      </c>
      <c r="F42" s="3">
        <v>2</v>
      </c>
      <c r="G42" s="3">
        <v>0</v>
      </c>
      <c r="H42" s="3"/>
      <c r="I42" s="3">
        <v>2</v>
      </c>
      <c r="J42" s="3">
        <v>5.22</v>
      </c>
      <c r="K42" s="3">
        <v>2.61</v>
      </c>
      <c r="L42" s="3">
        <v>89.66</v>
      </c>
    </row>
    <row r="43" spans="1:12" x14ac:dyDescent="0.2">
      <c r="A43" s="3" t="s">
        <v>14</v>
      </c>
      <c r="B43" s="3" t="s">
        <v>13</v>
      </c>
      <c r="C43" s="3" t="s">
        <v>16</v>
      </c>
      <c r="D43" s="3">
        <v>2</v>
      </c>
      <c r="E43" s="3">
        <v>15</v>
      </c>
      <c r="F43" s="3">
        <v>1</v>
      </c>
      <c r="G43" s="3">
        <v>2</v>
      </c>
      <c r="H43" s="3"/>
      <c r="I43" s="3">
        <v>7</v>
      </c>
      <c r="J43" s="3">
        <v>58.72</v>
      </c>
      <c r="K43" s="3">
        <v>8.39</v>
      </c>
      <c r="L43" s="3">
        <v>25.33</v>
      </c>
    </row>
    <row r="44" spans="1:12" x14ac:dyDescent="0.2">
      <c r="A44" s="3" t="s">
        <v>14</v>
      </c>
      <c r="B44" s="3" t="s">
        <v>13</v>
      </c>
      <c r="C44" s="3" t="s">
        <v>16</v>
      </c>
      <c r="D44" s="3">
        <v>2</v>
      </c>
      <c r="E44" s="3">
        <v>12</v>
      </c>
      <c r="F44" s="3">
        <v>4</v>
      </c>
      <c r="G44" s="3">
        <v>0</v>
      </c>
      <c r="H44" s="3"/>
      <c r="I44" s="3">
        <v>7</v>
      </c>
      <c r="J44" s="3">
        <v>22.54</v>
      </c>
      <c r="K44" s="3">
        <v>3.22</v>
      </c>
      <c r="L44" s="3">
        <v>30.98</v>
      </c>
    </row>
    <row r="45" spans="1:12" x14ac:dyDescent="0.2">
      <c r="A45" s="3" t="s">
        <v>14</v>
      </c>
      <c r="B45" s="3" t="s">
        <v>13</v>
      </c>
      <c r="C45" s="3" t="s">
        <v>16</v>
      </c>
      <c r="D45" s="3">
        <v>2</v>
      </c>
      <c r="E45" s="3">
        <v>13</v>
      </c>
      <c r="F45" s="3">
        <v>1</v>
      </c>
      <c r="G45" s="3">
        <v>0</v>
      </c>
      <c r="H45" s="3"/>
      <c r="I45" s="3">
        <v>7</v>
      </c>
      <c r="J45" s="3">
        <v>40.15</v>
      </c>
      <c r="K45" s="3">
        <v>5.74</v>
      </c>
      <c r="L45" s="3">
        <v>5.57</v>
      </c>
    </row>
    <row r="46" spans="1:12" x14ac:dyDescent="0.2">
      <c r="A46" s="3" t="s">
        <v>14</v>
      </c>
      <c r="B46" s="3" t="s">
        <v>13</v>
      </c>
      <c r="C46" s="3" t="s">
        <v>16</v>
      </c>
      <c r="D46" s="3">
        <v>2</v>
      </c>
      <c r="E46" s="3">
        <v>30</v>
      </c>
      <c r="F46" s="3">
        <v>7</v>
      </c>
      <c r="G46" s="3">
        <v>4</v>
      </c>
      <c r="H46" s="3"/>
      <c r="I46" s="3">
        <v>6</v>
      </c>
      <c r="J46" s="3">
        <v>19.87</v>
      </c>
      <c r="K46" s="3">
        <v>3.31</v>
      </c>
      <c r="L46" s="3">
        <v>0</v>
      </c>
    </row>
    <row r="47" spans="1:12" x14ac:dyDescent="0.2">
      <c r="A47" s="3" t="s">
        <v>14</v>
      </c>
      <c r="B47" s="3" t="s">
        <v>13</v>
      </c>
      <c r="C47" s="3" t="s">
        <v>16</v>
      </c>
      <c r="D47" s="3">
        <v>2</v>
      </c>
      <c r="E47" s="3">
        <v>28</v>
      </c>
      <c r="F47" s="3">
        <v>5</v>
      </c>
      <c r="G47" s="3">
        <v>3</v>
      </c>
      <c r="H47" s="3"/>
      <c r="I47" s="3">
        <v>7</v>
      </c>
      <c r="J47" s="3">
        <v>51.04</v>
      </c>
      <c r="K47" s="3">
        <v>7.29</v>
      </c>
      <c r="L47" s="3">
        <v>0</v>
      </c>
    </row>
    <row r="48" spans="1:12" x14ac:dyDescent="0.2">
      <c r="A48" s="3" t="s">
        <v>14</v>
      </c>
      <c r="B48" s="3" t="s">
        <v>13</v>
      </c>
      <c r="C48" s="3" t="s">
        <v>16</v>
      </c>
      <c r="D48" s="3">
        <v>2</v>
      </c>
      <c r="E48" s="3">
        <v>7</v>
      </c>
      <c r="F48" s="3">
        <v>0</v>
      </c>
      <c r="G48" s="3">
        <v>0</v>
      </c>
      <c r="H48" s="3"/>
      <c r="I48" s="3">
        <v>2</v>
      </c>
      <c r="J48" s="3">
        <v>15.8</v>
      </c>
      <c r="K48" s="3">
        <v>7.9</v>
      </c>
      <c r="L48" s="3">
        <v>32.49</v>
      </c>
    </row>
    <row r="49" spans="1:12" x14ac:dyDescent="0.2">
      <c r="A49" s="3" t="s">
        <v>14</v>
      </c>
      <c r="B49" s="3" t="s">
        <v>13</v>
      </c>
      <c r="C49" s="3" t="s">
        <v>16</v>
      </c>
      <c r="D49" s="3">
        <v>2</v>
      </c>
      <c r="E49" s="3">
        <v>51</v>
      </c>
      <c r="F49" s="3">
        <v>9</v>
      </c>
      <c r="G49" s="3">
        <v>1</v>
      </c>
      <c r="H49" s="3"/>
      <c r="I49" s="3">
        <v>4</v>
      </c>
      <c r="J49" s="3">
        <v>28.54</v>
      </c>
      <c r="K49" s="3">
        <v>7.13</v>
      </c>
      <c r="L49" s="3">
        <v>0</v>
      </c>
    </row>
    <row r="50" spans="1:12" x14ac:dyDescent="0.2">
      <c r="A50" s="3" t="s">
        <v>14</v>
      </c>
      <c r="B50" s="3" t="s">
        <v>13</v>
      </c>
      <c r="C50" s="3" t="s">
        <v>16</v>
      </c>
      <c r="D50" s="3">
        <v>2</v>
      </c>
      <c r="E50" s="3">
        <v>22</v>
      </c>
      <c r="F50" s="3">
        <v>0</v>
      </c>
      <c r="G50" s="3">
        <v>0</v>
      </c>
      <c r="H50" s="3"/>
      <c r="I50" s="3">
        <v>4</v>
      </c>
      <c r="J50" s="3">
        <v>47.75</v>
      </c>
      <c r="K50" s="3">
        <v>11.94</v>
      </c>
      <c r="L50" s="3">
        <v>82.64</v>
      </c>
    </row>
    <row r="51" spans="1:12" x14ac:dyDescent="0.2">
      <c r="A51" s="3" t="s">
        <v>14</v>
      </c>
      <c r="B51" s="3" t="s">
        <v>13</v>
      </c>
      <c r="C51" s="3" t="s">
        <v>16</v>
      </c>
      <c r="D51" s="3">
        <v>2</v>
      </c>
      <c r="E51" s="3">
        <v>40</v>
      </c>
      <c r="F51" s="3">
        <v>9</v>
      </c>
      <c r="G51" s="3">
        <v>5</v>
      </c>
      <c r="H51" s="3"/>
      <c r="I51" s="3">
        <v>4</v>
      </c>
      <c r="J51" s="3">
        <v>21.05</v>
      </c>
      <c r="K51" s="3">
        <v>5.26</v>
      </c>
      <c r="L51" s="3">
        <v>53.76</v>
      </c>
    </row>
    <row r="52" spans="1:12" x14ac:dyDescent="0.2">
      <c r="A52" s="3" t="s">
        <v>14</v>
      </c>
      <c r="B52" s="3" t="s">
        <v>13</v>
      </c>
      <c r="C52" s="3" t="s">
        <v>16</v>
      </c>
      <c r="D52" s="3">
        <v>2</v>
      </c>
      <c r="E52" s="3">
        <v>22</v>
      </c>
      <c r="F52" s="3">
        <v>21</v>
      </c>
      <c r="G52" s="3">
        <v>6</v>
      </c>
      <c r="H52" s="3"/>
      <c r="I52" s="3">
        <v>2</v>
      </c>
      <c r="J52" s="3">
        <v>12.21</v>
      </c>
      <c r="K52" s="3">
        <v>6.11</v>
      </c>
      <c r="L52" s="3">
        <v>49.75</v>
      </c>
    </row>
    <row r="53" spans="1:12" x14ac:dyDescent="0.2">
      <c r="A53" s="3" t="s">
        <v>15</v>
      </c>
      <c r="B53" s="3" t="s">
        <v>12</v>
      </c>
      <c r="C53" s="3" t="s">
        <v>16</v>
      </c>
      <c r="D53" s="3">
        <v>3</v>
      </c>
      <c r="E53" s="3">
        <v>46</v>
      </c>
      <c r="F53" s="3">
        <v>10</v>
      </c>
      <c r="G53" s="3">
        <v>2</v>
      </c>
      <c r="H53" s="3"/>
      <c r="I53" s="3">
        <v>3</v>
      </c>
      <c r="J53" s="3">
        <v>26.4</v>
      </c>
      <c r="K53" s="3">
        <v>8.8000000000000007</v>
      </c>
      <c r="L53" s="3">
        <v>16.440000000000001</v>
      </c>
    </row>
    <row r="54" spans="1:12" x14ac:dyDescent="0.2">
      <c r="A54" s="3" t="s">
        <v>15</v>
      </c>
      <c r="B54" s="3" t="s">
        <v>12</v>
      </c>
      <c r="C54" s="3" t="s">
        <v>16</v>
      </c>
      <c r="D54" s="3">
        <v>3</v>
      </c>
      <c r="E54" s="3">
        <v>39</v>
      </c>
      <c r="F54" s="3">
        <v>4</v>
      </c>
      <c r="G54" s="3">
        <v>1</v>
      </c>
      <c r="H54" s="3"/>
      <c r="I54" s="3">
        <v>8</v>
      </c>
      <c r="J54" s="3">
        <v>45.33</v>
      </c>
      <c r="K54" s="3">
        <v>5.67</v>
      </c>
      <c r="L54" s="3">
        <v>5.37</v>
      </c>
    </row>
    <row r="55" spans="1:12" x14ac:dyDescent="0.2">
      <c r="A55" s="3" t="s">
        <v>15</v>
      </c>
      <c r="B55" s="3" t="s">
        <v>12</v>
      </c>
      <c r="C55" s="3" t="s">
        <v>16</v>
      </c>
      <c r="D55" s="3">
        <v>3</v>
      </c>
      <c r="E55" s="3">
        <v>42</v>
      </c>
      <c r="F55" s="3">
        <v>8</v>
      </c>
      <c r="G55" s="3">
        <v>0</v>
      </c>
      <c r="H55" s="3"/>
      <c r="I55" s="3">
        <v>3</v>
      </c>
      <c r="J55" s="3">
        <v>24.21</v>
      </c>
      <c r="K55" s="3">
        <v>0</v>
      </c>
      <c r="L55" s="3">
        <v>0</v>
      </c>
    </row>
    <row r="56" spans="1:12" x14ac:dyDescent="0.2">
      <c r="A56" s="3" t="s">
        <v>15</v>
      </c>
      <c r="B56" s="3" t="s">
        <v>12</v>
      </c>
      <c r="C56" s="3" t="s">
        <v>16</v>
      </c>
      <c r="D56" s="3">
        <v>3</v>
      </c>
      <c r="E56" s="3">
        <v>50</v>
      </c>
      <c r="F56" s="3">
        <v>4</v>
      </c>
      <c r="G56" s="3">
        <v>0</v>
      </c>
      <c r="H56" s="3"/>
      <c r="I56" s="3">
        <v>2</v>
      </c>
      <c r="J56" s="3">
        <v>17.170000000000002</v>
      </c>
      <c r="K56" s="3">
        <v>14.87</v>
      </c>
      <c r="L56" s="3">
        <v>59.49</v>
      </c>
    </row>
    <row r="57" spans="1:12" x14ac:dyDescent="0.2">
      <c r="A57" s="3" t="s">
        <v>15</v>
      </c>
      <c r="B57" s="3" t="s">
        <v>12</v>
      </c>
      <c r="C57" s="3" t="s">
        <v>16</v>
      </c>
      <c r="D57" s="3">
        <v>3</v>
      </c>
      <c r="E57" s="3">
        <v>27</v>
      </c>
      <c r="F57" s="3">
        <v>2</v>
      </c>
      <c r="G57" s="3">
        <v>0</v>
      </c>
      <c r="H57" s="3"/>
      <c r="I57" s="3">
        <v>7</v>
      </c>
      <c r="J57" s="3">
        <v>54.54</v>
      </c>
      <c r="K57" s="3">
        <v>0</v>
      </c>
      <c r="L57" s="3">
        <v>0</v>
      </c>
    </row>
    <row r="58" spans="1:12" x14ac:dyDescent="0.2">
      <c r="A58" s="3" t="s">
        <v>15</v>
      </c>
      <c r="B58" s="3" t="s">
        <v>12</v>
      </c>
      <c r="C58" s="3" t="s">
        <v>16</v>
      </c>
      <c r="D58" s="3">
        <v>3</v>
      </c>
      <c r="E58" s="3">
        <v>14</v>
      </c>
      <c r="F58" s="3">
        <v>0</v>
      </c>
      <c r="G58" s="3">
        <v>0</v>
      </c>
      <c r="H58" s="3"/>
      <c r="I58" s="3">
        <v>3</v>
      </c>
      <c r="J58" s="3">
        <v>58.99</v>
      </c>
      <c r="K58" s="3">
        <v>9</v>
      </c>
      <c r="L58" s="3">
        <v>36</v>
      </c>
    </row>
    <row r="59" spans="1:12" x14ac:dyDescent="0.2">
      <c r="A59" s="3" t="s">
        <v>15</v>
      </c>
      <c r="B59" s="3" t="s">
        <v>12</v>
      </c>
      <c r="C59" s="3" t="s">
        <v>16</v>
      </c>
      <c r="D59" s="3">
        <v>3</v>
      </c>
      <c r="E59" s="3">
        <v>0</v>
      </c>
      <c r="F59" s="3">
        <v>2</v>
      </c>
      <c r="G59" s="3">
        <v>0</v>
      </c>
      <c r="H59" s="3"/>
      <c r="I59" s="3">
        <v>4</v>
      </c>
      <c r="J59" s="3">
        <v>31.42</v>
      </c>
      <c r="K59" s="3">
        <v>7.85</v>
      </c>
      <c r="L59" s="3">
        <v>50.06</v>
      </c>
    </row>
    <row r="60" spans="1:12" x14ac:dyDescent="0.2">
      <c r="A60" s="3" t="s">
        <v>15</v>
      </c>
      <c r="B60" s="3" t="s">
        <v>12</v>
      </c>
      <c r="C60" s="3" t="s">
        <v>16</v>
      </c>
      <c r="D60" s="3">
        <v>3</v>
      </c>
      <c r="E60" s="3">
        <v>22</v>
      </c>
      <c r="F60" s="3">
        <v>5</v>
      </c>
      <c r="G60" s="3">
        <v>0</v>
      </c>
      <c r="H60" s="3"/>
      <c r="I60" s="3">
        <v>12</v>
      </c>
      <c r="J60" s="3">
        <v>46.02</v>
      </c>
      <c r="K60" s="3">
        <v>5.48</v>
      </c>
      <c r="L60" s="3">
        <v>27.42</v>
      </c>
    </row>
    <row r="61" spans="1:12" x14ac:dyDescent="0.2">
      <c r="A61" s="3" t="s">
        <v>15</v>
      </c>
      <c r="B61" s="3" t="s">
        <v>12</v>
      </c>
      <c r="C61" s="3" t="s">
        <v>16</v>
      </c>
      <c r="D61" s="3">
        <v>3</v>
      </c>
      <c r="E61" s="3">
        <v>2</v>
      </c>
      <c r="F61" s="3">
        <v>1</v>
      </c>
      <c r="G61" s="3">
        <v>0</v>
      </c>
      <c r="H61" s="3"/>
      <c r="I61" s="3">
        <v>9</v>
      </c>
      <c r="J61" s="3">
        <v>58.92</v>
      </c>
      <c r="K61" s="3">
        <v>54.92</v>
      </c>
      <c r="L61" s="3">
        <v>54.92</v>
      </c>
    </row>
    <row r="62" spans="1:12" x14ac:dyDescent="0.2">
      <c r="A62" s="3" t="s">
        <v>15</v>
      </c>
      <c r="B62" s="3" t="s">
        <v>12</v>
      </c>
      <c r="C62" s="3" t="s">
        <v>16</v>
      </c>
      <c r="D62" s="3">
        <v>3</v>
      </c>
      <c r="E62" s="3">
        <v>26</v>
      </c>
      <c r="F62" s="3">
        <v>2</v>
      </c>
      <c r="G62" s="3">
        <v>0</v>
      </c>
      <c r="H62" s="3"/>
      <c r="I62" s="3">
        <v>4</v>
      </c>
      <c r="J62" s="3">
        <v>28.92</v>
      </c>
      <c r="K62" s="3">
        <v>7.23</v>
      </c>
      <c r="L62" s="3">
        <v>65.11</v>
      </c>
    </row>
    <row r="63" spans="1:12" x14ac:dyDescent="0.2">
      <c r="A63" s="3" t="s">
        <v>15</v>
      </c>
      <c r="B63" s="3" t="s">
        <v>12</v>
      </c>
      <c r="C63" s="3" t="s">
        <v>16</v>
      </c>
      <c r="D63" s="3">
        <v>3</v>
      </c>
      <c r="E63" s="3">
        <v>2</v>
      </c>
      <c r="F63" s="3">
        <v>3</v>
      </c>
      <c r="G63" s="3">
        <v>0</v>
      </c>
      <c r="H63" s="3"/>
      <c r="I63" s="3">
        <v>3</v>
      </c>
      <c r="J63" s="3">
        <v>25.42</v>
      </c>
      <c r="K63" s="3">
        <v>8.4700000000000006</v>
      </c>
      <c r="L63" s="3">
        <v>86.07</v>
      </c>
    </row>
    <row r="64" spans="1:12" x14ac:dyDescent="0.2">
      <c r="A64" s="3" t="s">
        <v>15</v>
      </c>
      <c r="B64" s="3" t="s">
        <v>12</v>
      </c>
      <c r="C64" s="3" t="s">
        <v>16</v>
      </c>
      <c r="D64" s="3">
        <v>3</v>
      </c>
      <c r="E64" s="3">
        <v>42</v>
      </c>
      <c r="F64" s="3">
        <v>0</v>
      </c>
      <c r="G64" s="3">
        <v>0</v>
      </c>
      <c r="H64" s="3"/>
      <c r="I64" s="3">
        <v>5</v>
      </c>
      <c r="J64" s="3">
        <v>60.17</v>
      </c>
      <c r="K64" s="3">
        <v>12.03</v>
      </c>
      <c r="L64" s="3">
        <v>6.39</v>
      </c>
    </row>
    <row r="65" spans="1:12" x14ac:dyDescent="0.2">
      <c r="A65" s="3" t="s">
        <v>15</v>
      </c>
      <c r="B65" s="3" t="s">
        <v>12</v>
      </c>
      <c r="C65" s="3" t="s">
        <v>16</v>
      </c>
      <c r="D65" s="3">
        <v>3</v>
      </c>
      <c r="E65" s="3">
        <v>2</v>
      </c>
      <c r="F65" s="3">
        <v>2</v>
      </c>
      <c r="G65" s="3">
        <v>0</v>
      </c>
      <c r="H65" s="3"/>
      <c r="I65" s="3">
        <v>3</v>
      </c>
      <c r="J65" s="3">
        <v>26.56</v>
      </c>
      <c r="K65" s="3">
        <v>8.85</v>
      </c>
      <c r="L65" s="3">
        <v>35.049999999999997</v>
      </c>
    </row>
    <row r="66" spans="1:12" x14ac:dyDescent="0.2">
      <c r="A66" s="3" t="s">
        <v>15</v>
      </c>
      <c r="B66" s="3" t="s">
        <v>12</v>
      </c>
      <c r="C66" s="3" t="s">
        <v>16</v>
      </c>
      <c r="D66" s="3">
        <v>3</v>
      </c>
      <c r="E66" s="3">
        <v>20</v>
      </c>
      <c r="F66" s="3">
        <v>1</v>
      </c>
      <c r="G66" s="3">
        <v>1</v>
      </c>
      <c r="H66" s="3"/>
      <c r="I66" s="3">
        <v>4</v>
      </c>
      <c r="J66" s="3">
        <v>24.58</v>
      </c>
      <c r="K66" s="3">
        <v>6.14</v>
      </c>
      <c r="L66" s="3">
        <v>62.8</v>
      </c>
    </row>
    <row r="67" spans="1:12" x14ac:dyDescent="0.2">
      <c r="A67" s="3" t="s">
        <v>15</v>
      </c>
      <c r="B67" s="3" t="s">
        <v>12</v>
      </c>
      <c r="C67" s="3" t="s">
        <v>16</v>
      </c>
      <c r="D67" s="3">
        <v>3</v>
      </c>
      <c r="E67" s="3">
        <v>40</v>
      </c>
      <c r="F67" s="3">
        <v>6</v>
      </c>
      <c r="G67" s="3">
        <v>0</v>
      </c>
      <c r="H67" s="3"/>
      <c r="I67" s="3">
        <v>4</v>
      </c>
      <c r="J67" s="3">
        <v>31.06</v>
      </c>
      <c r="K67" s="3">
        <v>7.77</v>
      </c>
      <c r="L67" s="3">
        <v>5.21</v>
      </c>
    </row>
    <row r="68" spans="1:12" x14ac:dyDescent="0.2">
      <c r="A68" s="3" t="s">
        <v>15</v>
      </c>
      <c r="B68" s="3" t="s">
        <v>12</v>
      </c>
      <c r="C68" s="3" t="s">
        <v>16</v>
      </c>
      <c r="D68" s="3">
        <v>3</v>
      </c>
      <c r="E68" s="3">
        <v>2</v>
      </c>
      <c r="F68" s="3">
        <v>1</v>
      </c>
      <c r="G68" s="3">
        <v>0</v>
      </c>
      <c r="H68" s="3"/>
      <c r="I68" s="3">
        <v>7</v>
      </c>
      <c r="J68" s="3">
        <v>50.83</v>
      </c>
      <c r="K68" s="3">
        <v>7.26</v>
      </c>
      <c r="L68" s="3">
        <v>12.28</v>
      </c>
    </row>
    <row r="69" spans="1:12" x14ac:dyDescent="0.2">
      <c r="A69" s="3" t="s">
        <v>15</v>
      </c>
      <c r="B69" s="3" t="s">
        <v>12</v>
      </c>
      <c r="C69" s="3" t="s">
        <v>16</v>
      </c>
      <c r="D69" s="3">
        <v>3</v>
      </c>
      <c r="E69" s="3">
        <v>28</v>
      </c>
      <c r="F69" s="3">
        <v>2</v>
      </c>
      <c r="G69" s="3">
        <v>2</v>
      </c>
      <c r="H69" s="3"/>
      <c r="I69" s="3">
        <v>2</v>
      </c>
      <c r="J69" s="3">
        <v>30.56</v>
      </c>
      <c r="K69" s="3">
        <v>15.28</v>
      </c>
      <c r="L69" s="3">
        <v>42.23</v>
      </c>
    </row>
    <row r="70" spans="1:12" x14ac:dyDescent="0.2">
      <c r="A70" s="3" t="s">
        <v>15</v>
      </c>
      <c r="B70" s="3" t="s">
        <v>12</v>
      </c>
      <c r="C70" s="3" t="s">
        <v>16</v>
      </c>
      <c r="D70" s="3">
        <v>3</v>
      </c>
      <c r="E70" s="3">
        <v>28</v>
      </c>
      <c r="F70" s="3">
        <v>2</v>
      </c>
      <c r="G70" s="3">
        <v>1</v>
      </c>
      <c r="H70" s="3"/>
      <c r="I70" s="3">
        <v>6</v>
      </c>
      <c r="J70" s="3">
        <v>41.29</v>
      </c>
      <c r="K70" s="3">
        <v>6.88</v>
      </c>
      <c r="L70" s="3">
        <v>14.25</v>
      </c>
    </row>
    <row r="71" spans="1:12" x14ac:dyDescent="0.2">
      <c r="A71" s="3" t="s">
        <v>15</v>
      </c>
      <c r="B71" s="3" t="s">
        <v>12</v>
      </c>
      <c r="C71" s="3" t="s">
        <v>16</v>
      </c>
      <c r="D71" s="3">
        <v>3</v>
      </c>
      <c r="E71" s="3">
        <v>62</v>
      </c>
      <c r="F71" s="3">
        <v>0</v>
      </c>
      <c r="G71" s="3">
        <v>0</v>
      </c>
      <c r="H71" s="3"/>
      <c r="I71" s="3">
        <v>4</v>
      </c>
      <c r="J71" s="3">
        <v>49.67</v>
      </c>
      <c r="K71" s="3">
        <v>12.42</v>
      </c>
      <c r="L71" s="3">
        <v>0</v>
      </c>
    </row>
    <row r="72" spans="1:12" x14ac:dyDescent="0.2">
      <c r="A72" s="3" t="s">
        <v>15</v>
      </c>
      <c r="B72" s="3" t="s">
        <v>12</v>
      </c>
      <c r="C72" s="3" t="s">
        <v>16</v>
      </c>
      <c r="D72" s="3">
        <v>3</v>
      </c>
      <c r="E72" s="3">
        <v>49</v>
      </c>
      <c r="F72" s="3">
        <v>0</v>
      </c>
      <c r="G72" s="3">
        <v>1</v>
      </c>
      <c r="H72" s="3"/>
      <c r="I72" s="3">
        <v>6</v>
      </c>
      <c r="J72" s="3">
        <v>34.58</v>
      </c>
      <c r="K72" s="3">
        <v>5.76</v>
      </c>
      <c r="L72" s="3">
        <v>5.0599999999999996</v>
      </c>
    </row>
    <row r="73" spans="1:12" x14ac:dyDescent="0.2">
      <c r="A73" s="3" t="s">
        <v>15</v>
      </c>
      <c r="B73" s="3" t="s">
        <v>12</v>
      </c>
      <c r="C73" s="3" t="s">
        <v>16</v>
      </c>
      <c r="D73" s="3">
        <v>3</v>
      </c>
      <c r="E73" s="3">
        <v>18</v>
      </c>
      <c r="F73" s="3">
        <v>2</v>
      </c>
      <c r="G73" s="3">
        <v>0</v>
      </c>
      <c r="H73" s="3"/>
      <c r="I73" s="3">
        <v>2</v>
      </c>
      <c r="J73" s="3">
        <v>16.45</v>
      </c>
      <c r="K73" s="3">
        <v>8.2200000000000006</v>
      </c>
      <c r="L73" s="3">
        <v>52.44</v>
      </c>
    </row>
    <row r="74" spans="1:12" x14ac:dyDescent="0.2">
      <c r="A74" s="3" t="s">
        <v>15</v>
      </c>
      <c r="B74" s="3" t="s">
        <v>12</v>
      </c>
      <c r="C74" s="3" t="s">
        <v>16</v>
      </c>
      <c r="D74" s="3">
        <v>3</v>
      </c>
      <c r="E74" s="3">
        <v>27</v>
      </c>
      <c r="F74" s="3">
        <v>2</v>
      </c>
      <c r="G74" s="3">
        <v>0</v>
      </c>
      <c r="H74" s="3"/>
      <c r="I74" s="3">
        <v>7</v>
      </c>
      <c r="J74" s="3">
        <v>54.68</v>
      </c>
      <c r="K74" s="3">
        <v>7.81</v>
      </c>
      <c r="L74" s="3">
        <v>0</v>
      </c>
    </row>
    <row r="75" spans="1:12" x14ac:dyDescent="0.2">
      <c r="A75" s="3" t="s">
        <v>15</v>
      </c>
      <c r="B75" s="3" t="s">
        <v>12</v>
      </c>
      <c r="C75" s="3" t="s">
        <v>16</v>
      </c>
      <c r="D75" s="3">
        <v>3</v>
      </c>
      <c r="E75" s="3">
        <v>40</v>
      </c>
      <c r="F75" s="3">
        <v>2</v>
      </c>
      <c r="G75" s="3">
        <v>1</v>
      </c>
      <c r="H75" s="3"/>
      <c r="I75" s="3">
        <v>4</v>
      </c>
      <c r="J75" s="3">
        <v>37.35</v>
      </c>
      <c r="K75" s="3">
        <v>9.34</v>
      </c>
      <c r="L75" s="3">
        <v>8.31</v>
      </c>
    </row>
    <row r="76" spans="1:12" x14ac:dyDescent="0.2">
      <c r="A76" s="3" t="s">
        <v>15</v>
      </c>
      <c r="B76" s="3" t="s">
        <v>12</v>
      </c>
      <c r="C76" s="3" t="s">
        <v>16</v>
      </c>
      <c r="D76" s="3">
        <v>3</v>
      </c>
      <c r="E76" s="3">
        <v>37</v>
      </c>
      <c r="F76" s="3">
        <v>2</v>
      </c>
      <c r="G76" s="3">
        <v>2</v>
      </c>
      <c r="H76" s="3"/>
      <c r="I76" s="3">
        <v>2</v>
      </c>
      <c r="J76" s="3">
        <v>13.12</v>
      </c>
      <c r="K76" s="3">
        <v>6.56</v>
      </c>
      <c r="L76" s="3">
        <v>15.23</v>
      </c>
    </row>
    <row r="77" spans="1:12" x14ac:dyDescent="0.2">
      <c r="A77" s="3" t="s">
        <v>15</v>
      </c>
      <c r="B77" s="3" t="s">
        <v>13</v>
      </c>
      <c r="C77" s="3" t="s">
        <v>16</v>
      </c>
      <c r="D77" s="3">
        <v>4</v>
      </c>
      <c r="E77" s="3">
        <v>44</v>
      </c>
      <c r="F77" s="3">
        <v>3</v>
      </c>
      <c r="G77" s="3">
        <v>3</v>
      </c>
      <c r="H77" s="3"/>
      <c r="I77" s="3">
        <v>6</v>
      </c>
      <c r="J77" s="3">
        <v>61.35</v>
      </c>
      <c r="K77" s="3">
        <v>10.220000000000001</v>
      </c>
      <c r="L77" s="3">
        <v>39.36</v>
      </c>
    </row>
    <row r="78" spans="1:12" x14ac:dyDescent="0.2">
      <c r="A78" s="3" t="s">
        <v>15</v>
      </c>
      <c r="B78" s="3" t="s">
        <v>13</v>
      </c>
      <c r="C78" s="3" t="s">
        <v>16</v>
      </c>
      <c r="D78" s="3">
        <v>4</v>
      </c>
      <c r="E78" s="3">
        <v>67</v>
      </c>
      <c r="F78" s="3">
        <v>1</v>
      </c>
      <c r="G78" s="3">
        <v>1</v>
      </c>
      <c r="H78" s="3"/>
      <c r="I78" s="3">
        <v>4</v>
      </c>
      <c r="J78" s="3">
        <v>33.11</v>
      </c>
      <c r="K78" s="3">
        <v>8.2799999999999994</v>
      </c>
      <c r="L78" s="3">
        <v>0</v>
      </c>
    </row>
    <row r="79" spans="1:12" x14ac:dyDescent="0.2">
      <c r="A79" s="3" t="s">
        <v>15</v>
      </c>
      <c r="B79" s="3" t="s">
        <v>13</v>
      </c>
      <c r="C79" s="3" t="s">
        <v>16</v>
      </c>
      <c r="D79" s="3">
        <v>4</v>
      </c>
      <c r="E79" s="3">
        <v>41</v>
      </c>
      <c r="F79" s="3">
        <v>3</v>
      </c>
      <c r="G79" s="3">
        <v>1</v>
      </c>
      <c r="H79" s="3"/>
      <c r="I79" s="3">
        <v>6</v>
      </c>
      <c r="J79" s="3">
        <v>42.76</v>
      </c>
      <c r="K79" s="3">
        <v>7.13</v>
      </c>
      <c r="L79" s="3">
        <v>28.36</v>
      </c>
    </row>
    <row r="80" spans="1:12" x14ac:dyDescent="0.2">
      <c r="A80" s="3" t="s">
        <v>15</v>
      </c>
      <c r="B80" s="3" t="s">
        <v>13</v>
      </c>
      <c r="C80" s="3" t="s">
        <v>16</v>
      </c>
      <c r="D80" s="3">
        <v>4</v>
      </c>
      <c r="E80" s="3">
        <v>49</v>
      </c>
      <c r="F80" s="3">
        <v>2</v>
      </c>
      <c r="G80" s="3">
        <v>0</v>
      </c>
      <c r="H80" s="3"/>
      <c r="I80" s="3">
        <v>3</v>
      </c>
      <c r="J80" s="3">
        <v>19.510000000000002</v>
      </c>
      <c r="K80" s="3">
        <v>24.66</v>
      </c>
      <c r="L80" s="3">
        <v>73.97</v>
      </c>
    </row>
    <row r="81" spans="1:12" x14ac:dyDescent="0.2">
      <c r="A81" s="3" t="s">
        <v>15</v>
      </c>
      <c r="B81" s="3" t="s">
        <v>13</v>
      </c>
      <c r="C81" s="3" t="s">
        <v>16</v>
      </c>
      <c r="D81" s="3">
        <v>4</v>
      </c>
      <c r="E81" s="3">
        <v>19</v>
      </c>
      <c r="F81" s="3">
        <v>7</v>
      </c>
      <c r="G81" s="3">
        <v>0</v>
      </c>
      <c r="H81" s="3"/>
      <c r="I81" s="3">
        <v>3</v>
      </c>
      <c r="J81" s="3">
        <v>28.39</v>
      </c>
      <c r="K81" s="3">
        <v>126.02</v>
      </c>
      <c r="L81" s="3">
        <v>126.02</v>
      </c>
    </row>
    <row r="82" spans="1:12" x14ac:dyDescent="0.2">
      <c r="A82" s="3" t="s">
        <v>15</v>
      </c>
      <c r="B82" s="3" t="s">
        <v>13</v>
      </c>
      <c r="C82" s="3" t="s">
        <v>16</v>
      </c>
      <c r="D82" s="3">
        <v>4</v>
      </c>
      <c r="E82" s="3">
        <v>29</v>
      </c>
      <c r="F82" s="3">
        <v>2</v>
      </c>
      <c r="G82" s="3">
        <v>0</v>
      </c>
      <c r="H82" s="3"/>
      <c r="I82" s="3">
        <v>3</v>
      </c>
      <c r="J82" s="3">
        <v>21.05</v>
      </c>
      <c r="K82" s="3">
        <v>22.01</v>
      </c>
      <c r="L82" s="3">
        <v>66.03</v>
      </c>
    </row>
    <row r="83" spans="1:12" x14ac:dyDescent="0.2">
      <c r="A83" s="3" t="s">
        <v>15</v>
      </c>
      <c r="B83" s="3" t="s">
        <v>13</v>
      </c>
      <c r="C83" s="3" t="s">
        <v>16</v>
      </c>
      <c r="D83" s="3">
        <v>4</v>
      </c>
      <c r="E83" s="3">
        <v>18</v>
      </c>
      <c r="F83" s="3">
        <v>1</v>
      </c>
      <c r="G83" s="3">
        <v>0</v>
      </c>
      <c r="H83" s="3"/>
      <c r="I83" s="3">
        <v>4</v>
      </c>
      <c r="J83" s="3">
        <v>39.909999999999997</v>
      </c>
      <c r="K83" s="3">
        <v>9.98</v>
      </c>
      <c r="L83" s="3">
        <v>25.67</v>
      </c>
    </row>
    <row r="84" spans="1:12" x14ac:dyDescent="0.2">
      <c r="A84" s="3" t="s">
        <v>15</v>
      </c>
      <c r="B84" s="3" t="s">
        <v>13</v>
      </c>
      <c r="C84" s="3" t="s">
        <v>16</v>
      </c>
      <c r="D84" s="3">
        <v>4</v>
      </c>
      <c r="E84" s="3">
        <v>28</v>
      </c>
      <c r="F84" s="3">
        <v>4</v>
      </c>
      <c r="G84" s="3">
        <v>1</v>
      </c>
      <c r="H84" s="3"/>
      <c r="I84" s="3">
        <v>5</v>
      </c>
      <c r="J84" s="3">
        <v>40.549999999999997</v>
      </c>
      <c r="K84" s="3">
        <v>8.11</v>
      </c>
      <c r="L84" s="3">
        <v>8.19</v>
      </c>
    </row>
    <row r="85" spans="1:12" x14ac:dyDescent="0.2">
      <c r="A85" s="3" t="s">
        <v>15</v>
      </c>
      <c r="B85" s="3" t="s">
        <v>13</v>
      </c>
      <c r="C85" s="3" t="s">
        <v>16</v>
      </c>
      <c r="D85" s="3">
        <v>4</v>
      </c>
      <c r="E85" s="3">
        <v>35</v>
      </c>
      <c r="F85" s="3">
        <v>2</v>
      </c>
      <c r="G85" s="3">
        <v>1</v>
      </c>
      <c r="H85" s="3"/>
      <c r="I85" s="3">
        <v>3</v>
      </c>
      <c r="J85" s="3">
        <v>35.81</v>
      </c>
      <c r="K85" s="3">
        <v>11.94</v>
      </c>
      <c r="L85" s="3">
        <v>23.91</v>
      </c>
    </row>
    <row r="86" spans="1:12" x14ac:dyDescent="0.2">
      <c r="A86" s="3" t="s">
        <v>15</v>
      </c>
      <c r="B86" s="3" t="s">
        <v>13</v>
      </c>
      <c r="C86" s="3" t="s">
        <v>16</v>
      </c>
      <c r="D86" s="3">
        <v>4</v>
      </c>
      <c r="E86" s="3">
        <v>10</v>
      </c>
      <c r="F86" s="3">
        <v>9</v>
      </c>
      <c r="G86" s="3">
        <v>0</v>
      </c>
      <c r="H86" s="3"/>
      <c r="I86" s="3">
        <v>3</v>
      </c>
      <c r="J86" s="3">
        <v>35.409999999999997</v>
      </c>
      <c r="K86" s="3">
        <v>3.36</v>
      </c>
      <c r="L86" s="3">
        <v>6.71</v>
      </c>
    </row>
    <row r="87" spans="1:12" x14ac:dyDescent="0.2">
      <c r="A87" s="3" t="s">
        <v>15</v>
      </c>
      <c r="B87" s="3" t="s">
        <v>13</v>
      </c>
      <c r="C87" s="3" t="s">
        <v>16</v>
      </c>
      <c r="D87" s="3">
        <v>4</v>
      </c>
      <c r="E87" s="3">
        <v>2</v>
      </c>
      <c r="F87" s="3">
        <v>3</v>
      </c>
      <c r="G87" s="3">
        <v>0</v>
      </c>
      <c r="H87" s="3"/>
      <c r="I87" s="3">
        <v>6</v>
      </c>
      <c r="J87" s="3">
        <v>31.27</v>
      </c>
      <c r="K87" s="3">
        <v>10.28</v>
      </c>
      <c r="L87" s="3">
        <v>51.39</v>
      </c>
    </row>
    <row r="88" spans="1:12" x14ac:dyDescent="0.2">
      <c r="A88" s="3" t="s">
        <v>15</v>
      </c>
      <c r="B88" s="3" t="s">
        <v>13</v>
      </c>
      <c r="C88" s="3" t="s">
        <v>16</v>
      </c>
      <c r="D88" s="3">
        <v>4</v>
      </c>
      <c r="E88" s="3">
        <v>14</v>
      </c>
      <c r="F88" s="3">
        <v>8</v>
      </c>
      <c r="G88" s="3">
        <v>0</v>
      </c>
      <c r="H88" s="3"/>
      <c r="I88" s="3">
        <v>4</v>
      </c>
      <c r="J88" s="3">
        <v>54.04</v>
      </c>
      <c r="K88" s="3">
        <v>5.25</v>
      </c>
      <c r="L88" s="3">
        <v>20.98</v>
      </c>
    </row>
    <row r="89" spans="1:12" x14ac:dyDescent="0.2">
      <c r="A89" s="3" t="s">
        <v>15</v>
      </c>
      <c r="B89" s="3" t="s">
        <v>13</v>
      </c>
      <c r="C89" s="3" t="s">
        <v>16</v>
      </c>
      <c r="D89" s="3">
        <v>4</v>
      </c>
      <c r="E89" s="3">
        <v>17</v>
      </c>
      <c r="F89" s="3">
        <v>14</v>
      </c>
      <c r="G89" s="3">
        <v>1</v>
      </c>
      <c r="H89" s="3"/>
      <c r="I89" s="3">
        <v>6</v>
      </c>
      <c r="J89" s="3">
        <v>39.450000000000003</v>
      </c>
      <c r="K89" s="3">
        <v>16.52</v>
      </c>
      <c r="L89" s="3">
        <v>33.049999999999997</v>
      </c>
    </row>
    <row r="90" spans="1:12" x14ac:dyDescent="0.2">
      <c r="A90" s="3" t="s">
        <v>15</v>
      </c>
      <c r="B90" s="3" t="s">
        <v>13</v>
      </c>
      <c r="C90" s="3" t="s">
        <v>16</v>
      </c>
      <c r="D90" s="3">
        <v>4</v>
      </c>
      <c r="E90" s="3">
        <v>14</v>
      </c>
      <c r="F90" s="3">
        <v>3</v>
      </c>
      <c r="G90" s="3">
        <v>0</v>
      </c>
      <c r="H90" s="3"/>
      <c r="I90" s="3">
        <v>3</v>
      </c>
      <c r="J90" s="3">
        <v>27.1</v>
      </c>
      <c r="K90" s="3">
        <v>9.0299999999999994</v>
      </c>
      <c r="L90" s="3">
        <v>43.88</v>
      </c>
    </row>
    <row r="91" spans="1:12" x14ac:dyDescent="0.2">
      <c r="A91" s="3" t="s">
        <v>15</v>
      </c>
      <c r="B91" s="3" t="s">
        <v>13</v>
      </c>
      <c r="C91" s="3" t="s">
        <v>16</v>
      </c>
      <c r="D91" s="3">
        <v>4</v>
      </c>
      <c r="E91" s="3">
        <v>37</v>
      </c>
      <c r="F91" s="3">
        <v>7</v>
      </c>
      <c r="G91" s="3">
        <v>6</v>
      </c>
      <c r="H91" s="3"/>
      <c r="I91" s="3">
        <v>5</v>
      </c>
      <c r="J91" s="3">
        <v>31.31</v>
      </c>
      <c r="K91" s="3">
        <v>6.26</v>
      </c>
      <c r="L91" s="3">
        <v>0</v>
      </c>
    </row>
    <row r="92" spans="1:12" x14ac:dyDescent="0.2">
      <c r="A92" s="3" t="s">
        <v>15</v>
      </c>
      <c r="B92" s="3" t="s">
        <v>13</v>
      </c>
      <c r="C92" s="3" t="s">
        <v>16</v>
      </c>
      <c r="D92" s="3">
        <v>4</v>
      </c>
      <c r="E92" s="3">
        <v>28</v>
      </c>
      <c r="F92" s="3">
        <v>4</v>
      </c>
      <c r="G92" s="3">
        <v>1</v>
      </c>
      <c r="H92" s="3"/>
      <c r="I92" s="3">
        <v>5</v>
      </c>
      <c r="J92" s="3">
        <v>28.26</v>
      </c>
      <c r="K92" s="3">
        <v>5.65</v>
      </c>
      <c r="L92" s="3">
        <v>6.87</v>
      </c>
    </row>
    <row r="93" spans="1:12" x14ac:dyDescent="0.2">
      <c r="A93" s="3" t="s">
        <v>15</v>
      </c>
      <c r="B93" s="3" t="s">
        <v>13</v>
      </c>
      <c r="C93" s="3" t="s">
        <v>16</v>
      </c>
      <c r="D93" s="3">
        <v>4</v>
      </c>
      <c r="E93" s="3">
        <v>50</v>
      </c>
      <c r="F93" s="3">
        <v>11</v>
      </c>
      <c r="G93" s="3">
        <v>5</v>
      </c>
      <c r="H93" s="3"/>
      <c r="I93" s="3">
        <v>4</v>
      </c>
      <c r="J93" s="3">
        <v>20.95</v>
      </c>
      <c r="K93" s="3">
        <v>5.24</v>
      </c>
      <c r="L93" s="3">
        <v>1.44</v>
      </c>
    </row>
    <row r="94" spans="1:12" x14ac:dyDescent="0.2">
      <c r="A94" s="3" t="s">
        <v>15</v>
      </c>
      <c r="B94" s="3" t="s">
        <v>13</v>
      </c>
      <c r="C94" s="3" t="s">
        <v>16</v>
      </c>
      <c r="D94" s="3">
        <v>4</v>
      </c>
      <c r="E94" s="3">
        <v>42</v>
      </c>
      <c r="F94" s="3">
        <v>4</v>
      </c>
      <c r="G94" s="3">
        <v>2</v>
      </c>
      <c r="H94" s="3"/>
      <c r="I94" s="3">
        <v>5</v>
      </c>
      <c r="J94" s="3">
        <v>35.44</v>
      </c>
      <c r="K94" s="3">
        <v>7.09</v>
      </c>
      <c r="L94" s="3">
        <v>0</v>
      </c>
    </row>
    <row r="95" spans="1:12" x14ac:dyDescent="0.2">
      <c r="A95" s="3" t="s">
        <v>15</v>
      </c>
      <c r="B95" s="3" t="s">
        <v>13</v>
      </c>
      <c r="C95" s="3" t="s">
        <v>16</v>
      </c>
      <c r="D95" s="3">
        <v>4</v>
      </c>
      <c r="E95" s="3">
        <v>30</v>
      </c>
      <c r="F95" s="3">
        <v>6</v>
      </c>
      <c r="G95" s="3">
        <v>0</v>
      </c>
      <c r="H95" s="3"/>
      <c r="I95" s="3">
        <v>3</v>
      </c>
      <c r="J95" s="3">
        <v>16.61</v>
      </c>
      <c r="K95" s="3">
        <v>5.54</v>
      </c>
      <c r="L95" s="3">
        <v>25.97</v>
      </c>
    </row>
    <row r="96" spans="1:12" x14ac:dyDescent="0.2">
      <c r="A96" s="3" t="s">
        <v>15</v>
      </c>
      <c r="B96" s="3" t="s">
        <v>13</v>
      </c>
      <c r="C96" s="3" t="s">
        <v>16</v>
      </c>
      <c r="D96" s="3">
        <v>4</v>
      </c>
      <c r="E96" s="3">
        <v>36</v>
      </c>
      <c r="F96" s="3">
        <v>7</v>
      </c>
      <c r="G96" s="3">
        <v>0</v>
      </c>
      <c r="H96" s="3"/>
      <c r="I96" s="3">
        <v>3</v>
      </c>
      <c r="J96" s="3">
        <v>31.38</v>
      </c>
      <c r="K96" s="3">
        <v>10.46</v>
      </c>
      <c r="L96" s="3">
        <v>11.68</v>
      </c>
    </row>
    <row r="97" spans="1:12" x14ac:dyDescent="0.2">
      <c r="A97" s="3" t="s">
        <v>15</v>
      </c>
      <c r="B97" s="3" t="s">
        <v>13</v>
      </c>
      <c r="C97" s="3" t="s">
        <v>16</v>
      </c>
      <c r="D97" s="3">
        <v>4</v>
      </c>
      <c r="E97" s="3">
        <v>18</v>
      </c>
      <c r="F97" s="3">
        <v>1</v>
      </c>
      <c r="G97" s="3">
        <v>1</v>
      </c>
      <c r="H97" s="3"/>
      <c r="I97" s="3">
        <v>5</v>
      </c>
      <c r="J97" s="3">
        <v>38.549999999999997</v>
      </c>
      <c r="K97" s="3">
        <v>7.71</v>
      </c>
      <c r="L97" s="3">
        <v>34.049999999999997</v>
      </c>
    </row>
    <row r="98" spans="1:12" x14ac:dyDescent="0.2">
      <c r="A98" s="3" t="s">
        <v>15</v>
      </c>
      <c r="B98" s="3" t="s">
        <v>13</v>
      </c>
      <c r="C98" s="3" t="s">
        <v>16</v>
      </c>
      <c r="D98" s="3">
        <v>4</v>
      </c>
      <c r="E98" s="3">
        <v>47</v>
      </c>
      <c r="F98" s="3">
        <v>3</v>
      </c>
      <c r="G98" s="3">
        <v>0</v>
      </c>
      <c r="H98" s="3"/>
      <c r="I98" s="3">
        <v>4</v>
      </c>
      <c r="J98" s="3">
        <v>27.19</v>
      </c>
      <c r="K98" s="3">
        <v>6.8</v>
      </c>
      <c r="L98" s="3">
        <v>10.09</v>
      </c>
    </row>
    <row r="99" spans="1:12" x14ac:dyDescent="0.2">
      <c r="A99" s="3" t="s">
        <v>15</v>
      </c>
      <c r="B99" s="3" t="s">
        <v>13</v>
      </c>
      <c r="C99" s="3" t="s">
        <v>16</v>
      </c>
      <c r="D99" s="3">
        <v>4</v>
      </c>
      <c r="E99" s="3">
        <v>31</v>
      </c>
      <c r="F99" s="3">
        <v>1</v>
      </c>
      <c r="G99" s="3">
        <v>2</v>
      </c>
      <c r="H99" s="3"/>
      <c r="I99" s="3">
        <v>4</v>
      </c>
      <c r="J99" s="3">
        <v>36.909999999999997</v>
      </c>
      <c r="K99" s="3">
        <v>9.23</v>
      </c>
      <c r="L99" s="3">
        <v>29.01</v>
      </c>
    </row>
    <row r="100" spans="1:12" x14ac:dyDescent="0.2">
      <c r="A100" s="3" t="s">
        <v>15</v>
      </c>
      <c r="B100" s="3" t="s">
        <v>13</v>
      </c>
      <c r="C100" s="3" t="s">
        <v>16</v>
      </c>
      <c r="D100" s="3">
        <v>4</v>
      </c>
      <c r="E100" s="3">
        <v>47</v>
      </c>
      <c r="F100" s="3">
        <v>9</v>
      </c>
      <c r="G100" s="3">
        <v>0</v>
      </c>
      <c r="H100" s="3"/>
      <c r="I100" s="3">
        <v>4</v>
      </c>
      <c r="J100" s="3">
        <v>20.92</v>
      </c>
      <c r="K100" s="3">
        <v>5.23</v>
      </c>
      <c r="L100" s="3">
        <v>1.31</v>
      </c>
    </row>
    <row r="101" spans="1:12" x14ac:dyDescent="0.2">
      <c r="A101" s="3" t="s">
        <v>15</v>
      </c>
      <c r="B101" s="3" t="s">
        <v>13</v>
      </c>
      <c r="C101" s="3" t="s">
        <v>16</v>
      </c>
      <c r="D101" s="3">
        <v>4</v>
      </c>
      <c r="E101" s="3">
        <v>44</v>
      </c>
      <c r="F101" s="3">
        <v>3</v>
      </c>
      <c r="G101" s="3">
        <v>0</v>
      </c>
      <c r="H101" s="3"/>
      <c r="I101" s="3">
        <v>4</v>
      </c>
      <c r="J101" s="3">
        <v>24.67</v>
      </c>
      <c r="K101" s="3">
        <v>6.17</v>
      </c>
      <c r="L101" s="3">
        <v>0</v>
      </c>
    </row>
    <row r="102" spans="1:12" x14ac:dyDescent="0.2">
      <c r="A102" s="3" t="s">
        <v>15</v>
      </c>
      <c r="B102" s="3" t="s">
        <v>13</v>
      </c>
      <c r="C102" s="3" t="s">
        <v>16</v>
      </c>
      <c r="D102" s="3">
        <v>4</v>
      </c>
      <c r="E102" s="3">
        <v>35</v>
      </c>
      <c r="F102" s="3">
        <v>0</v>
      </c>
      <c r="G102" s="3">
        <v>2</v>
      </c>
      <c r="H102" s="3"/>
      <c r="I102" s="3">
        <v>3</v>
      </c>
      <c r="J102" s="3">
        <v>31.18</v>
      </c>
      <c r="K102" s="3">
        <v>10.39</v>
      </c>
      <c r="L102" s="3">
        <v>56.3</v>
      </c>
    </row>
    <row r="103" spans="1:12" x14ac:dyDescent="0.2">
      <c r="A103" s="2" t="s">
        <v>14</v>
      </c>
      <c r="B103" s="2" t="s">
        <v>12</v>
      </c>
      <c r="C103" s="2" t="s">
        <v>17</v>
      </c>
      <c r="D103" s="2">
        <v>5</v>
      </c>
      <c r="E103" s="2">
        <v>45</v>
      </c>
      <c r="F103" s="2">
        <v>16</v>
      </c>
      <c r="G103" s="2">
        <v>4</v>
      </c>
      <c r="H103" s="2">
        <v>4.95</v>
      </c>
      <c r="I103" s="2">
        <v>7</v>
      </c>
      <c r="J103" s="2">
        <v>99.42</v>
      </c>
      <c r="K103" s="2">
        <v>14.2</v>
      </c>
      <c r="L103" s="2">
        <v>0</v>
      </c>
    </row>
    <row r="104" spans="1:12" x14ac:dyDescent="0.2">
      <c r="A104" s="2" t="s">
        <v>14</v>
      </c>
      <c r="B104" s="2" t="s">
        <v>12</v>
      </c>
      <c r="C104" s="2" t="s">
        <v>17</v>
      </c>
      <c r="D104" s="2">
        <v>5</v>
      </c>
      <c r="E104" s="2">
        <v>27</v>
      </c>
      <c r="F104" s="2">
        <v>2</v>
      </c>
      <c r="G104" s="2">
        <v>1</v>
      </c>
      <c r="H104" s="2">
        <v>1.43</v>
      </c>
      <c r="I104" s="2">
        <v>4</v>
      </c>
      <c r="J104" s="2">
        <v>49.36</v>
      </c>
      <c r="K104" s="2">
        <v>12.34</v>
      </c>
      <c r="L104" s="2">
        <v>33.840000000000003</v>
      </c>
    </row>
    <row r="105" spans="1:12" x14ac:dyDescent="0.2">
      <c r="A105" s="2" t="s">
        <v>14</v>
      </c>
      <c r="B105" s="2" t="s">
        <v>12</v>
      </c>
      <c r="C105" s="2" t="s">
        <v>17</v>
      </c>
      <c r="D105" s="2">
        <v>5</v>
      </c>
      <c r="E105" s="2">
        <v>30</v>
      </c>
      <c r="F105" s="2">
        <v>6</v>
      </c>
      <c r="G105" s="2">
        <v>0</v>
      </c>
      <c r="H105" s="2">
        <v>0</v>
      </c>
      <c r="I105" s="2">
        <v>5</v>
      </c>
      <c r="J105" s="2">
        <v>63.08</v>
      </c>
      <c r="K105" s="2">
        <v>12.62</v>
      </c>
      <c r="L105" s="2">
        <v>6.83</v>
      </c>
    </row>
    <row r="106" spans="1:12" x14ac:dyDescent="0.2">
      <c r="A106" s="2" t="s">
        <v>14</v>
      </c>
      <c r="B106" s="2" t="s">
        <v>12</v>
      </c>
      <c r="C106" s="2" t="s">
        <v>17</v>
      </c>
      <c r="D106" s="2">
        <v>5</v>
      </c>
      <c r="E106" s="2">
        <v>29</v>
      </c>
      <c r="F106" s="2">
        <v>2</v>
      </c>
      <c r="G106" s="2">
        <v>1</v>
      </c>
      <c r="H106" s="2">
        <v>0.89</v>
      </c>
      <c r="I106" s="2">
        <v>3</v>
      </c>
      <c r="J106" s="2">
        <v>47.31</v>
      </c>
      <c r="K106" s="2">
        <v>15.77</v>
      </c>
      <c r="L106" s="2">
        <v>17.739999999999998</v>
      </c>
    </row>
    <row r="107" spans="1:12" x14ac:dyDescent="0.2">
      <c r="A107" s="2" t="s">
        <v>14</v>
      </c>
      <c r="B107" s="2" t="s">
        <v>12</v>
      </c>
      <c r="C107" s="2" t="s">
        <v>17</v>
      </c>
      <c r="D107" s="2">
        <v>5</v>
      </c>
      <c r="E107" s="2">
        <v>34</v>
      </c>
      <c r="F107" s="2">
        <v>6</v>
      </c>
      <c r="G107" s="2">
        <v>1</v>
      </c>
      <c r="H107" s="2">
        <v>1.1599999999999999</v>
      </c>
      <c r="I107" s="2">
        <v>4</v>
      </c>
      <c r="J107" s="2">
        <v>54.3</v>
      </c>
      <c r="K107" s="2">
        <v>13.57</v>
      </c>
      <c r="L107" s="2">
        <v>5.25</v>
      </c>
    </row>
    <row r="108" spans="1:12" x14ac:dyDescent="0.2">
      <c r="A108" s="2" t="s">
        <v>14</v>
      </c>
      <c r="B108" s="2" t="s">
        <v>12</v>
      </c>
      <c r="C108" s="2" t="s">
        <v>17</v>
      </c>
      <c r="D108" s="2">
        <v>5</v>
      </c>
      <c r="E108" s="2">
        <v>3</v>
      </c>
      <c r="F108" s="2">
        <v>2</v>
      </c>
      <c r="G108" s="2">
        <v>0</v>
      </c>
      <c r="H108" s="2">
        <v>0</v>
      </c>
      <c r="I108" s="2">
        <v>5</v>
      </c>
      <c r="J108" s="2">
        <v>56.48</v>
      </c>
      <c r="K108" s="2">
        <v>11.3</v>
      </c>
      <c r="L108" s="2">
        <v>74.260000000000005</v>
      </c>
    </row>
    <row r="109" spans="1:12" x14ac:dyDescent="0.2">
      <c r="A109" s="2" t="s">
        <v>14</v>
      </c>
      <c r="B109" s="2" t="s">
        <v>12</v>
      </c>
      <c r="C109" s="2" t="s">
        <v>17</v>
      </c>
      <c r="D109" s="2">
        <v>5</v>
      </c>
      <c r="E109" s="2">
        <v>21</v>
      </c>
      <c r="F109" s="2">
        <v>10</v>
      </c>
      <c r="G109" s="2">
        <v>0</v>
      </c>
      <c r="H109" s="2">
        <v>0</v>
      </c>
      <c r="I109" s="2">
        <v>4</v>
      </c>
      <c r="J109" s="2">
        <v>40.409999999999997</v>
      </c>
      <c r="K109" s="2">
        <v>10.1</v>
      </c>
      <c r="L109" s="2">
        <v>20.16</v>
      </c>
    </row>
    <row r="110" spans="1:12" x14ac:dyDescent="0.2">
      <c r="A110" s="2" t="s">
        <v>14</v>
      </c>
      <c r="B110" s="2" t="s">
        <v>12</v>
      </c>
      <c r="C110" s="2" t="s">
        <v>17</v>
      </c>
      <c r="D110" s="2">
        <v>5</v>
      </c>
      <c r="E110" s="2">
        <v>31</v>
      </c>
      <c r="F110" s="2">
        <v>17</v>
      </c>
      <c r="G110" s="2">
        <v>5</v>
      </c>
      <c r="H110" s="2">
        <v>12.07</v>
      </c>
      <c r="I110" s="2">
        <v>2</v>
      </c>
      <c r="J110" s="2">
        <v>11.39</v>
      </c>
      <c r="K110" s="2">
        <v>5.7</v>
      </c>
      <c r="L110" s="2">
        <v>54.49</v>
      </c>
    </row>
    <row r="111" spans="1:12" x14ac:dyDescent="0.2">
      <c r="A111" s="2" t="s">
        <v>14</v>
      </c>
      <c r="B111" s="2" t="s">
        <v>12</v>
      </c>
      <c r="C111" s="2" t="s">
        <v>17</v>
      </c>
      <c r="D111" s="2">
        <v>5</v>
      </c>
      <c r="E111" s="2">
        <v>40</v>
      </c>
      <c r="F111" s="2">
        <v>11</v>
      </c>
      <c r="G111" s="2">
        <v>3</v>
      </c>
      <c r="H111" s="2">
        <v>4.07</v>
      </c>
      <c r="I111" s="2">
        <v>3</v>
      </c>
      <c r="J111" s="2">
        <v>14.1</v>
      </c>
      <c r="K111" s="2">
        <v>4.7</v>
      </c>
      <c r="L111" s="2">
        <v>0</v>
      </c>
    </row>
    <row r="112" spans="1:12" x14ac:dyDescent="0.2">
      <c r="A112" s="2" t="s">
        <v>14</v>
      </c>
      <c r="B112" s="2" t="s">
        <v>12</v>
      </c>
      <c r="C112" s="2" t="s">
        <v>17</v>
      </c>
      <c r="D112" s="2">
        <v>5</v>
      </c>
      <c r="E112" s="2">
        <v>19</v>
      </c>
      <c r="F112" s="2">
        <v>8</v>
      </c>
      <c r="G112" s="2">
        <v>0</v>
      </c>
      <c r="H112" s="2">
        <v>0</v>
      </c>
      <c r="I112" s="2">
        <v>4</v>
      </c>
      <c r="J112" s="2">
        <v>9.73</v>
      </c>
      <c r="K112" s="2">
        <v>2.4300000000000002</v>
      </c>
      <c r="L112" s="2">
        <v>118.17</v>
      </c>
    </row>
    <row r="113" spans="1:12" x14ac:dyDescent="0.2">
      <c r="A113" s="2" t="s">
        <v>14</v>
      </c>
      <c r="B113" s="2" t="s">
        <v>12</v>
      </c>
      <c r="C113" s="2" t="s">
        <v>17</v>
      </c>
      <c r="D113" s="2">
        <v>5</v>
      </c>
      <c r="E113" s="2">
        <v>43</v>
      </c>
      <c r="F113" s="2">
        <v>9</v>
      </c>
      <c r="G113" s="2">
        <v>1</v>
      </c>
      <c r="H113" s="2">
        <v>1.75</v>
      </c>
      <c r="I113" s="2">
        <v>5</v>
      </c>
      <c r="J113" s="2">
        <v>16.41</v>
      </c>
      <c r="K113" s="2">
        <v>3.28</v>
      </c>
      <c r="L113" s="2">
        <v>15.16</v>
      </c>
    </row>
    <row r="114" spans="1:12" x14ac:dyDescent="0.2">
      <c r="A114" s="2" t="s">
        <v>14</v>
      </c>
      <c r="B114" s="2" t="s">
        <v>12</v>
      </c>
      <c r="C114" s="2" t="s">
        <v>17</v>
      </c>
      <c r="D114" s="2">
        <v>5</v>
      </c>
      <c r="E114" s="2">
        <v>32</v>
      </c>
      <c r="F114" s="2">
        <v>9</v>
      </c>
      <c r="G114" s="2">
        <v>0</v>
      </c>
      <c r="H114" s="2">
        <v>0</v>
      </c>
      <c r="I114" s="2">
        <v>1</v>
      </c>
      <c r="J114" s="2">
        <v>3.2</v>
      </c>
      <c r="K114" s="2">
        <v>3.2</v>
      </c>
      <c r="L114" s="2">
        <v>16.100000000000001</v>
      </c>
    </row>
    <row r="115" spans="1:12" x14ac:dyDescent="0.2">
      <c r="A115" s="2" t="s">
        <v>14</v>
      </c>
      <c r="B115" s="2" t="s">
        <v>12</v>
      </c>
      <c r="C115" s="2" t="s">
        <v>17</v>
      </c>
      <c r="D115" s="2">
        <v>5</v>
      </c>
      <c r="E115" s="2">
        <v>45</v>
      </c>
      <c r="F115" s="2">
        <v>26</v>
      </c>
      <c r="G115" s="2">
        <v>0</v>
      </c>
      <c r="H115" s="2">
        <v>0</v>
      </c>
      <c r="I115" s="2">
        <v>4</v>
      </c>
      <c r="J115" s="2">
        <v>21.13</v>
      </c>
      <c r="K115" s="2">
        <v>5.28</v>
      </c>
      <c r="L115" s="2">
        <v>0</v>
      </c>
    </row>
    <row r="116" spans="1:12" x14ac:dyDescent="0.2">
      <c r="A116" s="2" t="s">
        <v>14</v>
      </c>
      <c r="B116" s="2" t="s">
        <v>12</v>
      </c>
      <c r="C116" s="2" t="s">
        <v>17</v>
      </c>
      <c r="D116" s="2">
        <v>5</v>
      </c>
      <c r="E116" s="2">
        <v>29</v>
      </c>
      <c r="F116" s="2">
        <v>17</v>
      </c>
      <c r="G116" s="2">
        <v>1</v>
      </c>
      <c r="H116" s="2">
        <v>1.52</v>
      </c>
      <c r="I116" s="2">
        <v>4</v>
      </c>
      <c r="J116" s="2">
        <v>13.14</v>
      </c>
      <c r="K116" s="2">
        <v>3.29</v>
      </c>
      <c r="L116" s="2">
        <v>29.52</v>
      </c>
    </row>
    <row r="117" spans="1:12" x14ac:dyDescent="0.2">
      <c r="A117" s="2" t="s">
        <v>14</v>
      </c>
      <c r="B117" s="2" t="s">
        <v>12</v>
      </c>
      <c r="C117" s="2" t="s">
        <v>17</v>
      </c>
      <c r="D117" s="2">
        <v>5</v>
      </c>
      <c r="E117" s="2">
        <v>26</v>
      </c>
      <c r="F117" s="2">
        <v>2</v>
      </c>
      <c r="G117" s="2">
        <v>1</v>
      </c>
      <c r="H117" s="2">
        <v>0.33</v>
      </c>
      <c r="I117" s="2">
        <v>3</v>
      </c>
      <c r="J117" s="2">
        <v>10.77</v>
      </c>
      <c r="K117" s="2">
        <v>3.59</v>
      </c>
      <c r="L117" s="2">
        <v>47.45</v>
      </c>
    </row>
    <row r="118" spans="1:12" x14ac:dyDescent="0.2">
      <c r="A118" s="2" t="s">
        <v>14</v>
      </c>
      <c r="B118" s="2" t="s">
        <v>12</v>
      </c>
      <c r="C118" s="2" t="s">
        <v>17</v>
      </c>
      <c r="D118" s="2">
        <v>5</v>
      </c>
      <c r="E118" s="2">
        <v>20</v>
      </c>
      <c r="F118" s="2">
        <v>7</v>
      </c>
      <c r="G118" s="2">
        <v>0</v>
      </c>
      <c r="H118" s="2">
        <v>0</v>
      </c>
      <c r="I118" s="2">
        <v>4</v>
      </c>
      <c r="J118" s="2">
        <v>60.99</v>
      </c>
      <c r="K118" s="2">
        <v>15.25</v>
      </c>
      <c r="L118" s="2">
        <v>45</v>
      </c>
    </row>
    <row r="119" spans="1:12" x14ac:dyDescent="0.2">
      <c r="A119" s="2" t="s">
        <v>14</v>
      </c>
      <c r="B119" s="2" t="s">
        <v>12</v>
      </c>
      <c r="C119" s="2" t="s">
        <v>17</v>
      </c>
      <c r="D119" s="2">
        <v>5</v>
      </c>
      <c r="E119" s="2">
        <v>6</v>
      </c>
      <c r="F119" s="2">
        <v>4</v>
      </c>
      <c r="G119" s="2">
        <v>0</v>
      </c>
      <c r="H119" s="2">
        <v>0</v>
      </c>
      <c r="I119" s="2">
        <v>8</v>
      </c>
      <c r="J119" s="2">
        <v>57.61</v>
      </c>
      <c r="K119" s="2">
        <v>7.2</v>
      </c>
      <c r="L119" s="2">
        <v>75.760000000000005</v>
      </c>
    </row>
    <row r="120" spans="1:12" x14ac:dyDescent="0.2">
      <c r="A120" s="2" t="s">
        <v>14</v>
      </c>
      <c r="B120" s="2" t="s">
        <v>12</v>
      </c>
      <c r="C120" s="2" t="s">
        <v>17</v>
      </c>
      <c r="D120" s="2">
        <v>5</v>
      </c>
      <c r="E120" s="2">
        <v>38</v>
      </c>
      <c r="F120" s="2">
        <v>8</v>
      </c>
      <c r="G120" s="2">
        <v>3</v>
      </c>
      <c r="H120" s="2">
        <v>4.83</v>
      </c>
      <c r="I120" s="2">
        <v>3</v>
      </c>
      <c r="J120" s="2">
        <v>28.69</v>
      </c>
      <c r="K120" s="2">
        <v>9.56</v>
      </c>
      <c r="L120" s="2">
        <v>14.77</v>
      </c>
    </row>
    <row r="121" spans="1:12" x14ac:dyDescent="0.2">
      <c r="A121" s="2" t="s">
        <v>14</v>
      </c>
      <c r="B121" s="2" t="s">
        <v>12</v>
      </c>
      <c r="C121" s="2" t="s">
        <v>17</v>
      </c>
      <c r="D121" s="2">
        <v>5</v>
      </c>
      <c r="E121" s="2">
        <v>43</v>
      </c>
      <c r="F121" s="2">
        <v>2</v>
      </c>
      <c r="G121" s="2">
        <v>0</v>
      </c>
      <c r="H121" s="2">
        <v>0</v>
      </c>
      <c r="I121" s="2">
        <v>2</v>
      </c>
      <c r="J121" s="2">
        <v>13.24</v>
      </c>
      <c r="K121" s="2">
        <v>6.62</v>
      </c>
      <c r="L121" s="2">
        <v>125.1</v>
      </c>
    </row>
    <row r="122" spans="1:12" x14ac:dyDescent="0.2">
      <c r="A122" s="2" t="s">
        <v>14</v>
      </c>
      <c r="B122" s="2" t="s">
        <v>12</v>
      </c>
      <c r="C122" s="2" t="s">
        <v>17</v>
      </c>
      <c r="D122" s="2">
        <v>5</v>
      </c>
      <c r="E122" s="2">
        <v>54</v>
      </c>
      <c r="F122" s="2">
        <v>15</v>
      </c>
      <c r="G122" s="2">
        <v>1</v>
      </c>
      <c r="H122" s="2">
        <v>0.68</v>
      </c>
      <c r="I122" s="2">
        <v>1</v>
      </c>
      <c r="J122" s="2">
        <v>5.66</v>
      </c>
      <c r="K122" s="2">
        <v>5.66</v>
      </c>
      <c r="L122" s="2">
        <v>96.32</v>
      </c>
    </row>
    <row r="123" spans="1:12" x14ac:dyDescent="0.2">
      <c r="A123" s="2" t="s">
        <v>14</v>
      </c>
      <c r="B123" s="2" t="s">
        <v>12</v>
      </c>
      <c r="C123" s="2" t="s">
        <v>17</v>
      </c>
      <c r="D123" s="2">
        <v>5</v>
      </c>
      <c r="E123" s="2">
        <v>5</v>
      </c>
      <c r="F123" s="2">
        <v>1</v>
      </c>
      <c r="G123" s="2">
        <v>0</v>
      </c>
      <c r="H123" s="2">
        <v>0</v>
      </c>
      <c r="I123" s="2">
        <v>5</v>
      </c>
      <c r="J123" s="2">
        <v>62.68</v>
      </c>
      <c r="K123" s="2">
        <v>12.54</v>
      </c>
      <c r="L123" s="2">
        <v>36.43</v>
      </c>
    </row>
    <row r="124" spans="1:12" x14ac:dyDescent="0.2">
      <c r="A124" s="2" t="s">
        <v>14</v>
      </c>
      <c r="B124" s="2" t="s">
        <v>12</v>
      </c>
      <c r="C124" s="2" t="s">
        <v>17</v>
      </c>
      <c r="D124" s="2">
        <v>5</v>
      </c>
      <c r="E124" s="2">
        <v>0</v>
      </c>
      <c r="F124" s="2">
        <v>4</v>
      </c>
      <c r="G124" s="2">
        <v>0</v>
      </c>
      <c r="H124" s="2">
        <v>0</v>
      </c>
      <c r="I124" s="2">
        <v>4</v>
      </c>
      <c r="J124" s="2">
        <v>34.06</v>
      </c>
      <c r="K124" s="2">
        <v>8.52</v>
      </c>
      <c r="L124" s="2">
        <v>46.29</v>
      </c>
    </row>
    <row r="125" spans="1:12" x14ac:dyDescent="0.2">
      <c r="A125" s="2" t="s">
        <v>14</v>
      </c>
      <c r="B125" s="2" t="s">
        <v>12</v>
      </c>
      <c r="C125" s="2" t="s">
        <v>17</v>
      </c>
      <c r="D125" s="2">
        <v>5</v>
      </c>
      <c r="E125" s="2">
        <v>16</v>
      </c>
      <c r="F125" s="2">
        <v>7</v>
      </c>
      <c r="G125" s="2">
        <v>1</v>
      </c>
      <c r="H125" s="2">
        <v>3.08</v>
      </c>
      <c r="I125" s="2">
        <v>4</v>
      </c>
      <c r="J125" s="2">
        <v>52.83</v>
      </c>
      <c r="K125" s="2">
        <v>13.21</v>
      </c>
      <c r="L125" s="2">
        <v>0</v>
      </c>
    </row>
    <row r="126" spans="1:12" x14ac:dyDescent="0.2">
      <c r="A126" s="2" t="s">
        <v>14</v>
      </c>
      <c r="B126" s="2" t="s">
        <v>12</v>
      </c>
      <c r="C126" s="2" t="s">
        <v>17</v>
      </c>
      <c r="D126" s="2">
        <v>5</v>
      </c>
      <c r="E126" s="2">
        <v>63</v>
      </c>
      <c r="F126" s="2">
        <v>25</v>
      </c>
      <c r="G126" s="2">
        <v>4</v>
      </c>
      <c r="H126" s="2">
        <v>11.92</v>
      </c>
      <c r="I126" s="2">
        <v>4</v>
      </c>
      <c r="J126" s="2">
        <v>18.52</v>
      </c>
      <c r="K126" s="2">
        <v>4.63</v>
      </c>
      <c r="L126" s="2">
        <v>0</v>
      </c>
    </row>
    <row r="127" spans="1:12" x14ac:dyDescent="0.2">
      <c r="A127" s="2" t="s">
        <v>14</v>
      </c>
      <c r="B127" s="2" t="s">
        <v>12</v>
      </c>
      <c r="C127" s="2" t="s">
        <v>17</v>
      </c>
      <c r="D127" s="2">
        <v>5</v>
      </c>
      <c r="E127" s="2">
        <v>26</v>
      </c>
      <c r="F127" s="2">
        <v>7</v>
      </c>
      <c r="G127" s="2">
        <v>2</v>
      </c>
      <c r="H127" s="2">
        <v>3.73</v>
      </c>
      <c r="I127" s="2">
        <v>1</v>
      </c>
      <c r="J127" s="2">
        <v>6.69</v>
      </c>
      <c r="K127" s="2">
        <v>6.69</v>
      </c>
      <c r="L127" s="2">
        <v>38.31</v>
      </c>
    </row>
    <row r="128" spans="1:12" x14ac:dyDescent="0.2">
      <c r="A128" s="2" t="s">
        <v>14</v>
      </c>
      <c r="B128" s="2" t="s">
        <v>13</v>
      </c>
      <c r="C128" s="2" t="s">
        <v>17</v>
      </c>
      <c r="D128" s="2">
        <v>6</v>
      </c>
      <c r="E128" s="2">
        <v>22</v>
      </c>
      <c r="F128" s="2">
        <v>6</v>
      </c>
      <c r="G128" s="2">
        <v>3</v>
      </c>
      <c r="H128" s="2">
        <v>5.62</v>
      </c>
      <c r="I128" s="2">
        <v>3</v>
      </c>
      <c r="J128" s="2">
        <v>22.44</v>
      </c>
      <c r="K128" s="2">
        <v>7.48</v>
      </c>
      <c r="L128" s="2">
        <v>16.75</v>
      </c>
    </row>
    <row r="129" spans="1:12" x14ac:dyDescent="0.2">
      <c r="A129" s="2" t="s">
        <v>14</v>
      </c>
      <c r="B129" s="2" t="s">
        <v>13</v>
      </c>
      <c r="C129" s="2" t="s">
        <v>17</v>
      </c>
      <c r="D129" s="2">
        <v>6</v>
      </c>
      <c r="E129" s="2">
        <v>27</v>
      </c>
      <c r="F129" s="2">
        <v>10</v>
      </c>
      <c r="G129" s="2">
        <v>0</v>
      </c>
      <c r="H129" s="2">
        <v>0</v>
      </c>
      <c r="I129" s="2">
        <v>5</v>
      </c>
      <c r="J129" s="2">
        <v>32.29</v>
      </c>
      <c r="K129" s="2">
        <v>6.46</v>
      </c>
      <c r="L129" s="2">
        <v>85.77</v>
      </c>
    </row>
    <row r="130" spans="1:12" x14ac:dyDescent="0.2">
      <c r="A130" s="2" t="s">
        <v>14</v>
      </c>
      <c r="B130" s="2" t="s">
        <v>13</v>
      </c>
      <c r="C130" s="2" t="s">
        <v>17</v>
      </c>
      <c r="D130" s="2">
        <v>6</v>
      </c>
      <c r="E130" s="2">
        <v>20</v>
      </c>
      <c r="F130" s="2">
        <v>1</v>
      </c>
      <c r="G130" s="2">
        <v>0</v>
      </c>
      <c r="H130" s="2">
        <v>0</v>
      </c>
      <c r="I130" s="2">
        <v>1</v>
      </c>
      <c r="J130" s="2">
        <v>6.87</v>
      </c>
      <c r="K130" s="2">
        <v>6.87</v>
      </c>
      <c r="L130" s="2">
        <v>97.14</v>
      </c>
    </row>
    <row r="131" spans="1:12" x14ac:dyDescent="0.2">
      <c r="A131" s="2" t="s">
        <v>14</v>
      </c>
      <c r="B131" s="2" t="s">
        <v>13</v>
      </c>
      <c r="C131" s="2" t="s">
        <v>17</v>
      </c>
      <c r="D131" s="2">
        <v>6</v>
      </c>
      <c r="E131" s="2">
        <v>6</v>
      </c>
      <c r="F131" s="2">
        <v>2</v>
      </c>
      <c r="G131" s="2">
        <v>0</v>
      </c>
      <c r="H131" s="2">
        <v>0</v>
      </c>
      <c r="I131" s="2">
        <v>3</v>
      </c>
      <c r="J131" s="2">
        <v>35.03</v>
      </c>
      <c r="K131" s="2">
        <v>11.68</v>
      </c>
      <c r="L131" s="2">
        <v>58.63</v>
      </c>
    </row>
    <row r="132" spans="1:12" x14ac:dyDescent="0.2">
      <c r="A132" s="2" t="s">
        <v>14</v>
      </c>
      <c r="B132" s="2" t="s">
        <v>13</v>
      </c>
      <c r="C132" s="2" t="s">
        <v>17</v>
      </c>
      <c r="D132" s="2">
        <v>6</v>
      </c>
      <c r="E132" s="2">
        <v>29</v>
      </c>
      <c r="F132" s="2">
        <v>0</v>
      </c>
      <c r="G132" s="2">
        <v>2</v>
      </c>
      <c r="H132" s="2">
        <v>1.88</v>
      </c>
      <c r="I132" s="2">
        <v>3</v>
      </c>
      <c r="J132" s="2">
        <v>57.98</v>
      </c>
      <c r="K132" s="2">
        <v>19.329999999999998</v>
      </c>
      <c r="L132" s="2">
        <v>12.4</v>
      </c>
    </row>
    <row r="133" spans="1:12" x14ac:dyDescent="0.2">
      <c r="A133" s="2" t="s">
        <v>14</v>
      </c>
      <c r="B133" s="2" t="s">
        <v>13</v>
      </c>
      <c r="C133" s="2" t="s">
        <v>17</v>
      </c>
      <c r="D133" s="2">
        <v>6</v>
      </c>
      <c r="E133" s="2">
        <v>49</v>
      </c>
      <c r="F133" s="2">
        <v>30</v>
      </c>
      <c r="G133" s="2">
        <v>11</v>
      </c>
      <c r="H133" s="2">
        <v>21.88</v>
      </c>
      <c r="I133" s="2">
        <v>2</v>
      </c>
      <c r="J133" s="2">
        <v>8.32</v>
      </c>
      <c r="K133" s="2">
        <v>4.16</v>
      </c>
      <c r="L133" s="2">
        <v>0</v>
      </c>
    </row>
    <row r="134" spans="1:12" x14ac:dyDescent="0.2">
      <c r="A134" s="2" t="s">
        <v>14</v>
      </c>
      <c r="B134" s="2" t="s">
        <v>13</v>
      </c>
      <c r="C134" s="2" t="s">
        <v>17</v>
      </c>
      <c r="D134" s="2">
        <v>6</v>
      </c>
      <c r="E134" s="2">
        <v>53</v>
      </c>
      <c r="F134" s="2">
        <v>32</v>
      </c>
      <c r="G134" s="2">
        <v>4</v>
      </c>
      <c r="H134" s="2">
        <v>14.98</v>
      </c>
      <c r="I134" s="2">
        <v>2</v>
      </c>
      <c r="J134" s="2">
        <v>8.84</v>
      </c>
      <c r="K134" s="2">
        <v>4.42</v>
      </c>
      <c r="L134" s="2">
        <v>0</v>
      </c>
    </row>
    <row r="135" spans="1:12" x14ac:dyDescent="0.2">
      <c r="A135" s="2" t="s">
        <v>14</v>
      </c>
      <c r="B135" s="2" t="s">
        <v>13</v>
      </c>
      <c r="C135" s="2" t="s">
        <v>17</v>
      </c>
      <c r="D135" s="2">
        <v>6</v>
      </c>
      <c r="E135" s="2">
        <v>50</v>
      </c>
      <c r="F135" s="2">
        <v>24</v>
      </c>
      <c r="G135" s="2">
        <v>3</v>
      </c>
      <c r="H135" s="2">
        <v>4.32</v>
      </c>
      <c r="I135" s="2">
        <v>1</v>
      </c>
      <c r="J135" s="2">
        <v>11.43</v>
      </c>
      <c r="K135" s="2">
        <v>11.43</v>
      </c>
      <c r="L135" s="2">
        <v>0</v>
      </c>
    </row>
    <row r="136" spans="1:12" x14ac:dyDescent="0.2">
      <c r="A136" s="2" t="s">
        <v>14</v>
      </c>
      <c r="B136" s="2" t="s">
        <v>13</v>
      </c>
      <c r="C136" s="2" t="s">
        <v>17</v>
      </c>
      <c r="D136" s="2">
        <v>6</v>
      </c>
      <c r="E136" s="2">
        <v>28</v>
      </c>
      <c r="F136" s="2">
        <v>13</v>
      </c>
      <c r="G136" s="2">
        <v>0</v>
      </c>
      <c r="H136" s="2">
        <v>0</v>
      </c>
      <c r="I136" s="2">
        <v>3</v>
      </c>
      <c r="J136" s="2">
        <v>9.36</v>
      </c>
      <c r="K136" s="2">
        <v>3.12</v>
      </c>
      <c r="L136" s="2">
        <v>0</v>
      </c>
    </row>
    <row r="137" spans="1:12" x14ac:dyDescent="0.2">
      <c r="A137" s="2" t="s">
        <v>14</v>
      </c>
      <c r="B137" s="2" t="s">
        <v>13</v>
      </c>
      <c r="C137" s="2" t="s">
        <v>17</v>
      </c>
      <c r="D137" s="2">
        <v>6</v>
      </c>
      <c r="E137" s="2">
        <v>31</v>
      </c>
      <c r="F137" s="2">
        <v>6</v>
      </c>
      <c r="G137" s="2">
        <v>0</v>
      </c>
      <c r="H137" s="2">
        <v>0</v>
      </c>
      <c r="I137" s="2">
        <v>3</v>
      </c>
      <c r="J137" s="2">
        <v>21.56</v>
      </c>
      <c r="K137" s="2">
        <v>7.19</v>
      </c>
      <c r="L137" s="2">
        <v>65.069999999999993</v>
      </c>
    </row>
    <row r="138" spans="1:12" x14ac:dyDescent="0.2">
      <c r="A138" s="2" t="s">
        <v>14</v>
      </c>
      <c r="B138" s="2" t="s">
        <v>13</v>
      </c>
      <c r="C138" s="2" t="s">
        <v>17</v>
      </c>
      <c r="D138" s="2">
        <v>6</v>
      </c>
      <c r="E138" s="2">
        <v>56</v>
      </c>
      <c r="F138" s="2">
        <v>10</v>
      </c>
      <c r="G138" s="2">
        <v>3</v>
      </c>
      <c r="H138" s="2">
        <v>2.93</v>
      </c>
      <c r="I138" s="2">
        <v>5</v>
      </c>
      <c r="J138" s="2">
        <v>20.49</v>
      </c>
      <c r="K138" s="2">
        <v>4.0999999999999996</v>
      </c>
      <c r="L138" s="2">
        <v>9.59</v>
      </c>
    </row>
    <row r="139" spans="1:12" x14ac:dyDescent="0.2">
      <c r="A139" s="2" t="s">
        <v>14</v>
      </c>
      <c r="B139" s="2" t="s">
        <v>13</v>
      </c>
      <c r="C139" s="2" t="s">
        <v>17</v>
      </c>
      <c r="D139" s="2">
        <v>6</v>
      </c>
      <c r="E139" s="2">
        <v>46</v>
      </c>
      <c r="F139" s="2">
        <v>13</v>
      </c>
      <c r="G139" s="2">
        <v>3</v>
      </c>
      <c r="H139" s="2">
        <v>3.5</v>
      </c>
      <c r="I139" s="2">
        <v>1</v>
      </c>
      <c r="J139" s="2">
        <v>5.94</v>
      </c>
      <c r="K139" s="2">
        <v>5.94</v>
      </c>
      <c r="L139" s="2">
        <v>2.04</v>
      </c>
    </row>
    <row r="140" spans="1:12" x14ac:dyDescent="0.2">
      <c r="A140" s="2" t="s">
        <v>14</v>
      </c>
      <c r="B140" s="2" t="s">
        <v>13</v>
      </c>
      <c r="C140" s="2" t="s">
        <v>17</v>
      </c>
      <c r="D140" s="2">
        <v>6</v>
      </c>
      <c r="E140" s="2">
        <v>32</v>
      </c>
      <c r="F140" s="2">
        <v>10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54.44</v>
      </c>
    </row>
    <row r="141" spans="1:12" x14ac:dyDescent="0.2">
      <c r="A141" s="2" t="s">
        <v>14</v>
      </c>
      <c r="B141" s="2" t="s">
        <v>13</v>
      </c>
      <c r="C141" s="2" t="s">
        <v>17</v>
      </c>
      <c r="D141" s="2">
        <v>6</v>
      </c>
      <c r="E141" s="2">
        <v>39</v>
      </c>
      <c r="F141" s="2">
        <v>13</v>
      </c>
      <c r="G141" s="2">
        <v>3</v>
      </c>
      <c r="H141" s="2">
        <v>9.5299999999999994</v>
      </c>
      <c r="I141" s="2">
        <v>4</v>
      </c>
      <c r="J141" s="2">
        <v>23.91</v>
      </c>
      <c r="K141" s="2">
        <v>5.98</v>
      </c>
      <c r="L141" s="2">
        <v>17.920000000000002</v>
      </c>
    </row>
    <row r="142" spans="1:12" x14ac:dyDescent="0.2">
      <c r="A142" s="2" t="s">
        <v>14</v>
      </c>
      <c r="B142" s="2" t="s">
        <v>13</v>
      </c>
      <c r="C142" s="2" t="s">
        <v>17</v>
      </c>
      <c r="D142" s="2">
        <v>6</v>
      </c>
      <c r="E142" s="2">
        <v>30</v>
      </c>
      <c r="F142" s="2">
        <v>6</v>
      </c>
      <c r="G142" s="2">
        <v>0</v>
      </c>
      <c r="H142" s="2">
        <v>0</v>
      </c>
      <c r="I142" s="2">
        <v>2</v>
      </c>
      <c r="J142" s="2">
        <v>13.77</v>
      </c>
      <c r="K142" s="2">
        <v>6.88</v>
      </c>
      <c r="L142" s="2">
        <v>63.93</v>
      </c>
    </row>
    <row r="143" spans="1:12" x14ac:dyDescent="0.2">
      <c r="A143" s="2" t="s">
        <v>14</v>
      </c>
      <c r="B143" s="2" t="s">
        <v>13</v>
      </c>
      <c r="C143" s="2" t="s">
        <v>17</v>
      </c>
      <c r="D143" s="2">
        <v>6</v>
      </c>
      <c r="E143" s="2">
        <v>19</v>
      </c>
      <c r="F143" s="2">
        <v>0</v>
      </c>
      <c r="G143" s="2">
        <v>3</v>
      </c>
      <c r="H143" s="2">
        <v>4.57</v>
      </c>
      <c r="I143" s="2">
        <v>4</v>
      </c>
      <c r="J143" s="2">
        <v>9.24</v>
      </c>
      <c r="K143" s="2">
        <v>2.31</v>
      </c>
      <c r="L143" s="2">
        <v>120.04</v>
      </c>
    </row>
    <row r="144" spans="1:12" x14ac:dyDescent="0.2">
      <c r="A144" s="2" t="s">
        <v>14</v>
      </c>
      <c r="B144" s="2" t="s">
        <v>13</v>
      </c>
      <c r="C144" s="2" t="s">
        <v>17</v>
      </c>
      <c r="D144" s="2">
        <v>6</v>
      </c>
      <c r="E144" s="2">
        <v>79</v>
      </c>
      <c r="F144" s="2">
        <v>6</v>
      </c>
      <c r="G144" s="2">
        <v>1</v>
      </c>
      <c r="H144" s="2">
        <v>2.0299999999999998</v>
      </c>
      <c r="I144" s="2">
        <v>1</v>
      </c>
      <c r="J144" s="2">
        <v>2.0499999999999998</v>
      </c>
      <c r="K144" s="2">
        <v>2.0499999999999998</v>
      </c>
      <c r="L144" s="2">
        <v>0</v>
      </c>
    </row>
    <row r="145" spans="1:12" x14ac:dyDescent="0.2">
      <c r="A145" s="2" t="s">
        <v>14</v>
      </c>
      <c r="B145" s="2" t="s">
        <v>13</v>
      </c>
      <c r="C145" s="2" t="s">
        <v>17</v>
      </c>
      <c r="D145" s="2">
        <v>6</v>
      </c>
      <c r="E145" s="2">
        <v>30</v>
      </c>
      <c r="F145" s="2">
        <v>2</v>
      </c>
      <c r="G145" s="2">
        <v>2</v>
      </c>
      <c r="H145" s="2">
        <v>1.83</v>
      </c>
      <c r="I145" s="2">
        <v>3</v>
      </c>
      <c r="J145" s="2">
        <v>28.52</v>
      </c>
      <c r="K145" s="2">
        <v>9.51</v>
      </c>
      <c r="L145" s="2">
        <v>69.84</v>
      </c>
    </row>
    <row r="146" spans="1:12" x14ac:dyDescent="0.2">
      <c r="A146" s="2" t="s">
        <v>14</v>
      </c>
      <c r="B146" s="2" t="s">
        <v>13</v>
      </c>
      <c r="C146" s="2" t="s">
        <v>17</v>
      </c>
      <c r="D146" s="2">
        <v>6</v>
      </c>
      <c r="E146" s="2">
        <v>38</v>
      </c>
      <c r="F146" s="2">
        <v>14</v>
      </c>
      <c r="G146" s="2">
        <v>0</v>
      </c>
      <c r="H146" s="2">
        <v>0</v>
      </c>
      <c r="I146" s="2">
        <v>6</v>
      </c>
      <c r="J146" s="2">
        <v>5.82</v>
      </c>
      <c r="K146" s="2">
        <v>0.97</v>
      </c>
      <c r="L146" s="2">
        <v>133.51</v>
      </c>
    </row>
    <row r="147" spans="1:12" x14ac:dyDescent="0.2">
      <c r="A147" s="2" t="s">
        <v>14</v>
      </c>
      <c r="B147" s="2" t="s">
        <v>13</v>
      </c>
      <c r="C147" s="2" t="s">
        <v>17</v>
      </c>
      <c r="D147" s="2">
        <v>6</v>
      </c>
      <c r="E147" s="2">
        <v>7</v>
      </c>
      <c r="F147" s="2">
        <v>1</v>
      </c>
      <c r="G147" s="2">
        <v>1</v>
      </c>
      <c r="H147" s="2">
        <v>0.88</v>
      </c>
      <c r="I147" s="2">
        <v>2</v>
      </c>
      <c r="J147" s="2">
        <v>6.87</v>
      </c>
      <c r="K147" s="2">
        <v>3.44</v>
      </c>
      <c r="L147" s="2">
        <v>57.41</v>
      </c>
    </row>
    <row r="148" spans="1:12" x14ac:dyDescent="0.2">
      <c r="A148" s="2" t="s">
        <v>14</v>
      </c>
      <c r="B148" s="2" t="s">
        <v>13</v>
      </c>
      <c r="C148" s="2" t="s">
        <v>17</v>
      </c>
      <c r="D148" s="2">
        <v>6</v>
      </c>
      <c r="E148" s="2">
        <v>20</v>
      </c>
      <c r="F148" s="2">
        <v>11</v>
      </c>
      <c r="G148" s="2">
        <v>4</v>
      </c>
      <c r="H148" s="2">
        <v>16.96</v>
      </c>
      <c r="I148" s="2">
        <v>2</v>
      </c>
      <c r="J148" s="2">
        <v>17.71</v>
      </c>
      <c r="K148" s="2">
        <v>8.86</v>
      </c>
      <c r="L148" s="2">
        <v>30.13</v>
      </c>
    </row>
    <row r="149" spans="1:12" x14ac:dyDescent="0.2">
      <c r="A149" s="2" t="s">
        <v>14</v>
      </c>
      <c r="B149" s="2" t="s">
        <v>13</v>
      </c>
      <c r="C149" s="2" t="s">
        <v>17</v>
      </c>
      <c r="D149" s="2">
        <v>6</v>
      </c>
      <c r="E149" s="2">
        <v>20</v>
      </c>
      <c r="F149" s="2">
        <v>13</v>
      </c>
      <c r="G149" s="2">
        <v>5</v>
      </c>
      <c r="H149" s="2">
        <v>19.7</v>
      </c>
      <c r="I149" s="2">
        <v>3</v>
      </c>
      <c r="J149" s="2">
        <v>18.53</v>
      </c>
      <c r="K149" s="2">
        <v>6.18</v>
      </c>
      <c r="L149" s="2">
        <v>0</v>
      </c>
    </row>
    <row r="150" spans="1:12" x14ac:dyDescent="0.2">
      <c r="A150" s="2" t="s">
        <v>14</v>
      </c>
      <c r="B150" s="2" t="s">
        <v>13</v>
      </c>
      <c r="C150" s="2" t="s">
        <v>17</v>
      </c>
      <c r="D150" s="2">
        <v>6</v>
      </c>
      <c r="E150" s="2">
        <v>45</v>
      </c>
      <c r="F150" s="2">
        <v>10</v>
      </c>
      <c r="G150" s="2">
        <v>4</v>
      </c>
      <c r="H150" s="2">
        <v>8.4600000000000009</v>
      </c>
      <c r="I150" s="2">
        <v>2</v>
      </c>
      <c r="J150" s="2">
        <v>9.74</v>
      </c>
      <c r="K150" s="2">
        <v>4.87</v>
      </c>
      <c r="L150" s="2">
        <v>8.3000000000000007</v>
      </c>
    </row>
    <row r="151" spans="1:12" x14ac:dyDescent="0.2">
      <c r="A151" s="2" t="s">
        <v>15</v>
      </c>
      <c r="B151" s="2" t="s">
        <v>12</v>
      </c>
      <c r="C151" s="2" t="s">
        <v>17</v>
      </c>
      <c r="D151" s="2">
        <v>7</v>
      </c>
      <c r="E151" s="2">
        <v>15</v>
      </c>
      <c r="F151" s="2">
        <v>5</v>
      </c>
      <c r="G151" s="2">
        <v>1</v>
      </c>
      <c r="H151" s="2">
        <v>0.81</v>
      </c>
      <c r="I151" s="2">
        <v>6</v>
      </c>
      <c r="J151" s="2">
        <v>48.02</v>
      </c>
      <c r="K151" s="2">
        <v>8</v>
      </c>
      <c r="L151" s="2">
        <v>77.290000000000006</v>
      </c>
    </row>
    <row r="152" spans="1:12" x14ac:dyDescent="0.2">
      <c r="A152" s="2" t="s">
        <v>15</v>
      </c>
      <c r="B152" s="2" t="s">
        <v>12</v>
      </c>
      <c r="C152" s="2" t="s">
        <v>17</v>
      </c>
      <c r="D152" s="2">
        <v>7</v>
      </c>
      <c r="E152" s="2">
        <v>11</v>
      </c>
      <c r="F152" s="2">
        <v>3</v>
      </c>
      <c r="G152" s="2">
        <v>0</v>
      </c>
      <c r="H152" s="2">
        <v>0</v>
      </c>
      <c r="I152" s="2">
        <v>7</v>
      </c>
      <c r="J152" s="2">
        <v>62.73</v>
      </c>
      <c r="K152" s="2">
        <v>8.9600000000000009</v>
      </c>
      <c r="L152" s="2">
        <v>62.73</v>
      </c>
    </row>
    <row r="153" spans="1:12" x14ac:dyDescent="0.2">
      <c r="A153" s="2" t="s">
        <v>15</v>
      </c>
      <c r="B153" s="2" t="s">
        <v>12</v>
      </c>
      <c r="C153" s="2" t="s">
        <v>17</v>
      </c>
      <c r="D153" s="2">
        <v>7</v>
      </c>
      <c r="E153" s="2">
        <v>18</v>
      </c>
      <c r="F153" s="2">
        <v>9</v>
      </c>
      <c r="G153" s="2">
        <v>1</v>
      </c>
      <c r="H153" s="2">
        <v>0.2</v>
      </c>
      <c r="I153" s="2">
        <v>3</v>
      </c>
      <c r="J153" s="2">
        <v>27.08</v>
      </c>
      <c r="K153" s="2">
        <v>9.0299999999999994</v>
      </c>
      <c r="L153" s="2">
        <v>0</v>
      </c>
    </row>
    <row r="154" spans="1:12" x14ac:dyDescent="0.2">
      <c r="A154" s="2" t="s">
        <v>15</v>
      </c>
      <c r="B154" s="2" t="s">
        <v>12</v>
      </c>
      <c r="C154" s="2" t="s">
        <v>17</v>
      </c>
      <c r="D154" s="2">
        <v>7</v>
      </c>
      <c r="E154" s="2">
        <v>4</v>
      </c>
      <c r="F154" s="2">
        <v>2</v>
      </c>
      <c r="G154" s="2">
        <v>0</v>
      </c>
      <c r="H154" s="2">
        <v>0</v>
      </c>
      <c r="I154" s="2">
        <v>1</v>
      </c>
      <c r="J154" s="2">
        <v>3.79</v>
      </c>
      <c r="K154" s="2">
        <v>3.79</v>
      </c>
      <c r="L154" s="2">
        <v>182.65</v>
      </c>
    </row>
    <row r="155" spans="1:12" x14ac:dyDescent="0.2">
      <c r="A155" s="2" t="s">
        <v>15</v>
      </c>
      <c r="B155" s="2" t="s">
        <v>12</v>
      </c>
      <c r="C155" s="2" t="s">
        <v>17</v>
      </c>
      <c r="D155" s="2">
        <v>7</v>
      </c>
      <c r="E155" s="2">
        <v>19</v>
      </c>
      <c r="F155" s="2">
        <v>1</v>
      </c>
      <c r="G155" s="2">
        <v>0</v>
      </c>
      <c r="H155" s="2">
        <v>0</v>
      </c>
      <c r="I155" s="2">
        <v>2</v>
      </c>
      <c r="J155" s="2">
        <v>14.15</v>
      </c>
      <c r="K155" s="2">
        <v>7.08</v>
      </c>
      <c r="L155" s="2">
        <v>82.76</v>
      </c>
    </row>
    <row r="156" spans="1:12" x14ac:dyDescent="0.2">
      <c r="A156" s="2" t="s">
        <v>15</v>
      </c>
      <c r="B156" s="2" t="s">
        <v>12</v>
      </c>
      <c r="C156" s="2" t="s">
        <v>17</v>
      </c>
      <c r="D156" s="2">
        <v>7</v>
      </c>
      <c r="E156" s="2">
        <v>28</v>
      </c>
      <c r="F156" s="2">
        <v>6</v>
      </c>
      <c r="G156" s="2">
        <v>1</v>
      </c>
      <c r="H156" s="2">
        <v>0.86</v>
      </c>
      <c r="I156" s="2">
        <v>4</v>
      </c>
      <c r="J156" s="2">
        <v>33.01</v>
      </c>
      <c r="K156" s="2">
        <v>8.25</v>
      </c>
      <c r="L156" s="2">
        <v>19.7</v>
      </c>
    </row>
    <row r="157" spans="1:12" x14ac:dyDescent="0.2">
      <c r="A157" s="2" t="s">
        <v>15</v>
      </c>
      <c r="B157" s="2" t="s">
        <v>12</v>
      </c>
      <c r="C157" s="2" t="s">
        <v>17</v>
      </c>
      <c r="D157" s="2">
        <v>7</v>
      </c>
      <c r="E157" s="2">
        <v>62</v>
      </c>
      <c r="F157" s="2">
        <v>12</v>
      </c>
      <c r="G157" s="2">
        <v>10</v>
      </c>
      <c r="H157" s="2">
        <v>9.3699999999999992</v>
      </c>
      <c r="I157" s="2">
        <v>1</v>
      </c>
      <c r="J157" s="2">
        <v>3.37</v>
      </c>
      <c r="K157" s="2">
        <v>3.37</v>
      </c>
      <c r="L157" s="2">
        <v>95.48</v>
      </c>
    </row>
    <row r="158" spans="1:12" x14ac:dyDescent="0.2">
      <c r="A158" s="2" t="s">
        <v>15</v>
      </c>
      <c r="B158" s="2" t="s">
        <v>12</v>
      </c>
      <c r="C158" s="2" t="s">
        <v>17</v>
      </c>
      <c r="D158" s="2">
        <v>7</v>
      </c>
      <c r="E158" s="2">
        <v>22</v>
      </c>
      <c r="F158" s="2">
        <v>2</v>
      </c>
      <c r="G158" s="2">
        <v>0</v>
      </c>
      <c r="H158" s="2">
        <v>0</v>
      </c>
      <c r="I158" s="2">
        <v>3</v>
      </c>
      <c r="J158" s="2">
        <v>19.510000000000002</v>
      </c>
      <c r="K158" s="2">
        <v>6.5</v>
      </c>
      <c r="L158" s="2">
        <v>52.14</v>
      </c>
    </row>
    <row r="159" spans="1:12" x14ac:dyDescent="0.2">
      <c r="A159" s="2" t="s">
        <v>15</v>
      </c>
      <c r="B159" s="2" t="s">
        <v>12</v>
      </c>
      <c r="C159" s="2" t="s">
        <v>17</v>
      </c>
      <c r="D159" s="2">
        <v>7</v>
      </c>
      <c r="E159" s="2">
        <v>32</v>
      </c>
      <c r="F159" s="2">
        <v>2</v>
      </c>
      <c r="G159" s="2">
        <v>1</v>
      </c>
      <c r="H159" s="2">
        <v>1.28</v>
      </c>
      <c r="I159" s="2">
        <v>1</v>
      </c>
      <c r="J159" s="2">
        <v>3.09</v>
      </c>
      <c r="K159" s="2">
        <v>3.09</v>
      </c>
      <c r="L159" s="2">
        <v>162.38</v>
      </c>
    </row>
    <row r="160" spans="1:12" x14ac:dyDescent="0.2">
      <c r="A160" s="2" t="s">
        <v>15</v>
      </c>
      <c r="B160" s="2" t="s">
        <v>12</v>
      </c>
      <c r="C160" s="2" t="s">
        <v>17</v>
      </c>
      <c r="D160" s="2">
        <v>7</v>
      </c>
      <c r="E160" s="2">
        <v>7</v>
      </c>
      <c r="F160" s="2">
        <v>1</v>
      </c>
      <c r="G160" s="2">
        <v>0</v>
      </c>
      <c r="H160" s="2">
        <v>0</v>
      </c>
      <c r="I160" s="2">
        <v>4</v>
      </c>
      <c r="J160" s="2">
        <v>19.32</v>
      </c>
      <c r="K160" s="2">
        <v>4.83</v>
      </c>
      <c r="L160" s="2">
        <v>109.44</v>
      </c>
    </row>
    <row r="161" spans="1:12" x14ac:dyDescent="0.2">
      <c r="A161" s="2" t="s">
        <v>15</v>
      </c>
      <c r="B161" s="2" t="s">
        <v>12</v>
      </c>
      <c r="C161" s="2" t="s">
        <v>17</v>
      </c>
      <c r="D161" s="2">
        <v>7</v>
      </c>
      <c r="E161" s="2">
        <v>41</v>
      </c>
      <c r="F161" s="2">
        <v>6</v>
      </c>
      <c r="G161" s="2">
        <v>0</v>
      </c>
      <c r="H161" s="2">
        <v>0</v>
      </c>
      <c r="I161" s="2">
        <v>5</v>
      </c>
      <c r="J161" s="2">
        <v>24.36</v>
      </c>
      <c r="K161" s="2">
        <v>4.87</v>
      </c>
      <c r="L161" s="2">
        <v>78.11</v>
      </c>
    </row>
    <row r="162" spans="1:12" x14ac:dyDescent="0.2">
      <c r="A162" s="2" t="s">
        <v>15</v>
      </c>
      <c r="B162" s="2" t="s">
        <v>12</v>
      </c>
      <c r="C162" s="2" t="s">
        <v>17</v>
      </c>
      <c r="D162" s="2">
        <v>7</v>
      </c>
      <c r="E162" s="2">
        <v>21</v>
      </c>
      <c r="F162" s="2">
        <v>2</v>
      </c>
      <c r="G162" s="2">
        <v>1</v>
      </c>
      <c r="H162" s="2">
        <v>1.27</v>
      </c>
      <c r="I162" s="2">
        <v>3</v>
      </c>
      <c r="J162" s="2">
        <v>21.67</v>
      </c>
      <c r="K162" s="2">
        <v>7.22</v>
      </c>
      <c r="L162" s="2">
        <v>20.100000000000001</v>
      </c>
    </row>
    <row r="163" spans="1:12" x14ac:dyDescent="0.2">
      <c r="A163" s="2" t="s">
        <v>15</v>
      </c>
      <c r="B163" s="2" t="s">
        <v>12</v>
      </c>
      <c r="C163" s="2" t="s">
        <v>17</v>
      </c>
      <c r="D163" s="2">
        <v>7</v>
      </c>
      <c r="E163" s="2">
        <v>24</v>
      </c>
      <c r="F163" s="2">
        <v>4</v>
      </c>
      <c r="G163" s="2">
        <v>0</v>
      </c>
      <c r="H163" s="2">
        <v>0</v>
      </c>
      <c r="I163" s="2">
        <v>2</v>
      </c>
      <c r="J163" s="2">
        <v>15.25</v>
      </c>
      <c r="K163" s="2">
        <v>7.62</v>
      </c>
      <c r="L163" s="2">
        <v>125.79</v>
      </c>
    </row>
    <row r="164" spans="1:12" x14ac:dyDescent="0.2">
      <c r="A164" s="2" t="s">
        <v>15</v>
      </c>
      <c r="B164" s="2" t="s">
        <v>12</v>
      </c>
      <c r="C164" s="2" t="s">
        <v>17</v>
      </c>
      <c r="D164" s="2">
        <v>7</v>
      </c>
      <c r="E164" s="2">
        <v>26</v>
      </c>
      <c r="F164" s="2">
        <v>2</v>
      </c>
      <c r="G164" s="2">
        <v>1</v>
      </c>
      <c r="H164" s="2">
        <v>0.14000000000000001</v>
      </c>
      <c r="I164" s="2">
        <v>3</v>
      </c>
      <c r="J164" s="2">
        <v>44.22</v>
      </c>
      <c r="K164" s="2">
        <v>14.74</v>
      </c>
      <c r="L164" s="2">
        <v>29.02</v>
      </c>
    </row>
    <row r="165" spans="1:12" x14ac:dyDescent="0.2">
      <c r="A165" s="2" t="s">
        <v>15</v>
      </c>
      <c r="B165" s="2" t="s">
        <v>12</v>
      </c>
      <c r="C165" s="2" t="s">
        <v>17</v>
      </c>
      <c r="D165" s="2">
        <v>7</v>
      </c>
      <c r="E165" s="2">
        <v>38</v>
      </c>
      <c r="F165" s="2">
        <v>1</v>
      </c>
      <c r="G165" s="2">
        <v>0</v>
      </c>
      <c r="H165" s="2">
        <v>0</v>
      </c>
      <c r="I165" s="2">
        <v>2</v>
      </c>
      <c r="J165" s="2">
        <v>17.350000000000001</v>
      </c>
      <c r="K165" s="2">
        <v>8.68</v>
      </c>
      <c r="L165" s="2">
        <v>71.599999999999994</v>
      </c>
    </row>
    <row r="166" spans="1:12" x14ac:dyDescent="0.2">
      <c r="A166" s="2" t="s">
        <v>15</v>
      </c>
      <c r="B166" s="2" t="s">
        <v>12</v>
      </c>
      <c r="C166" s="2" t="s">
        <v>17</v>
      </c>
      <c r="D166" s="2">
        <v>7</v>
      </c>
      <c r="E166" s="2">
        <v>4</v>
      </c>
      <c r="F166" s="2">
        <v>1</v>
      </c>
      <c r="G166" s="2">
        <v>0</v>
      </c>
      <c r="H166" s="2">
        <v>0</v>
      </c>
      <c r="I166" s="2">
        <v>1</v>
      </c>
      <c r="J166" s="2">
        <v>3.53</v>
      </c>
      <c r="K166" s="2">
        <v>3.53</v>
      </c>
      <c r="L166" s="2">
        <v>184.44</v>
      </c>
    </row>
    <row r="167" spans="1:12" x14ac:dyDescent="0.2">
      <c r="A167" s="2" t="s">
        <v>15</v>
      </c>
      <c r="B167" s="2" t="s">
        <v>12</v>
      </c>
      <c r="C167" s="2" t="s">
        <v>17</v>
      </c>
      <c r="D167" s="2">
        <v>7</v>
      </c>
      <c r="E167" s="2">
        <v>10</v>
      </c>
      <c r="F167" s="2">
        <v>16</v>
      </c>
      <c r="G167" s="2">
        <v>0</v>
      </c>
      <c r="H167" s="2">
        <v>0</v>
      </c>
      <c r="I167" s="2">
        <v>4</v>
      </c>
      <c r="J167" s="2">
        <v>47.2</v>
      </c>
      <c r="K167" s="2">
        <v>11.8</v>
      </c>
      <c r="L167" s="2">
        <v>24.24</v>
      </c>
    </row>
    <row r="168" spans="1:12" x14ac:dyDescent="0.2">
      <c r="A168" s="2" t="s">
        <v>15</v>
      </c>
      <c r="B168" s="2" t="s">
        <v>12</v>
      </c>
      <c r="C168" s="2" t="s">
        <v>17</v>
      </c>
      <c r="D168" s="2">
        <v>7</v>
      </c>
      <c r="E168" s="2">
        <v>17</v>
      </c>
      <c r="F168" s="2">
        <v>4</v>
      </c>
      <c r="G168" s="2">
        <v>0</v>
      </c>
      <c r="H168" s="2">
        <v>0</v>
      </c>
      <c r="I168" s="2">
        <v>2</v>
      </c>
      <c r="J168" s="2">
        <v>28.06</v>
      </c>
      <c r="K168" s="2">
        <v>14.03</v>
      </c>
      <c r="L168" s="2">
        <v>59.94</v>
      </c>
    </row>
    <row r="169" spans="1:12" x14ac:dyDescent="0.2">
      <c r="A169" s="2" t="s">
        <v>15</v>
      </c>
      <c r="B169" s="2" t="s">
        <v>13</v>
      </c>
      <c r="C169" s="2" t="s">
        <v>17</v>
      </c>
      <c r="D169" s="2">
        <v>8</v>
      </c>
      <c r="E169" s="2">
        <v>12</v>
      </c>
      <c r="F169" s="2">
        <v>4</v>
      </c>
      <c r="G169" s="2">
        <v>0</v>
      </c>
      <c r="H169" s="2">
        <v>0</v>
      </c>
      <c r="I169" s="2">
        <v>7</v>
      </c>
      <c r="J169" s="2">
        <v>44.45</v>
      </c>
      <c r="K169" s="2">
        <v>6.35</v>
      </c>
      <c r="L169" s="2">
        <v>28.47</v>
      </c>
    </row>
    <row r="170" spans="1:12" x14ac:dyDescent="0.2">
      <c r="A170" s="2" t="s">
        <v>15</v>
      </c>
      <c r="B170" s="2" t="s">
        <v>13</v>
      </c>
      <c r="C170" s="2" t="s">
        <v>17</v>
      </c>
      <c r="D170" s="2">
        <v>8</v>
      </c>
      <c r="E170" s="2">
        <v>6</v>
      </c>
      <c r="F170" s="2">
        <v>3</v>
      </c>
      <c r="G170" s="2">
        <v>0</v>
      </c>
      <c r="H170" s="2">
        <v>0</v>
      </c>
      <c r="I170" s="2">
        <v>1</v>
      </c>
      <c r="J170" s="2">
        <v>10.119999999999999</v>
      </c>
      <c r="K170" s="2">
        <v>10.119999999999999</v>
      </c>
      <c r="L170" s="2">
        <v>135.62</v>
      </c>
    </row>
    <row r="171" spans="1:12" x14ac:dyDescent="0.2">
      <c r="A171" s="2" t="s">
        <v>15</v>
      </c>
      <c r="B171" s="2" t="s">
        <v>13</v>
      </c>
      <c r="C171" s="2" t="s">
        <v>17</v>
      </c>
      <c r="D171" s="2">
        <v>8</v>
      </c>
      <c r="E171" s="2">
        <v>22</v>
      </c>
      <c r="F171" s="2">
        <v>9</v>
      </c>
      <c r="G171" s="2">
        <v>2</v>
      </c>
      <c r="H171" s="2">
        <v>17.8</v>
      </c>
      <c r="I171" s="2">
        <v>3</v>
      </c>
      <c r="J171" s="2">
        <v>10.72</v>
      </c>
      <c r="K171" s="2">
        <v>3.57</v>
      </c>
      <c r="L171" s="2">
        <v>94.04</v>
      </c>
    </row>
    <row r="172" spans="1:12" x14ac:dyDescent="0.2">
      <c r="A172" s="2" t="s">
        <v>15</v>
      </c>
      <c r="B172" s="2" t="s">
        <v>13</v>
      </c>
      <c r="C172" s="2" t="s">
        <v>17</v>
      </c>
      <c r="D172" s="2">
        <v>8</v>
      </c>
      <c r="E172" s="2">
        <v>16</v>
      </c>
      <c r="F172" s="2">
        <v>3</v>
      </c>
      <c r="G172" s="2">
        <v>0</v>
      </c>
      <c r="H172" s="2">
        <v>0</v>
      </c>
      <c r="I172" s="2">
        <v>2</v>
      </c>
      <c r="J172" s="2">
        <v>14.42</v>
      </c>
      <c r="K172" s="2">
        <v>7.21</v>
      </c>
      <c r="L172" s="2">
        <v>168.58</v>
      </c>
    </row>
    <row r="173" spans="1:12" x14ac:dyDescent="0.2">
      <c r="A173" s="2" t="s">
        <v>15</v>
      </c>
      <c r="B173" s="2" t="s">
        <v>13</v>
      </c>
      <c r="C173" s="2" t="s">
        <v>17</v>
      </c>
      <c r="D173" s="2">
        <v>8</v>
      </c>
      <c r="E173" s="2">
        <v>19</v>
      </c>
      <c r="F173" s="2">
        <v>4</v>
      </c>
      <c r="G173" s="2">
        <v>0</v>
      </c>
      <c r="H173" s="2">
        <v>0</v>
      </c>
      <c r="I173" s="2">
        <v>4</v>
      </c>
      <c r="J173" s="2">
        <v>22.07</v>
      </c>
      <c r="K173" s="2">
        <v>5.52</v>
      </c>
      <c r="L173" s="2">
        <v>52.44</v>
      </c>
    </row>
    <row r="174" spans="1:12" x14ac:dyDescent="0.2">
      <c r="A174" s="2" t="s">
        <v>15</v>
      </c>
      <c r="B174" s="2" t="s">
        <v>13</v>
      </c>
      <c r="C174" s="2" t="s">
        <v>17</v>
      </c>
      <c r="D174" s="2">
        <v>8</v>
      </c>
      <c r="E174" s="2">
        <v>22</v>
      </c>
      <c r="F174" s="2">
        <v>11</v>
      </c>
      <c r="G174" s="2">
        <v>0</v>
      </c>
      <c r="H174" s="2">
        <v>0</v>
      </c>
      <c r="I174" s="2">
        <v>2</v>
      </c>
      <c r="J174" s="2">
        <v>4.7300000000000004</v>
      </c>
      <c r="K174" s="2">
        <v>2.37</v>
      </c>
      <c r="L174" s="2">
        <v>119.47</v>
      </c>
    </row>
    <row r="175" spans="1:12" x14ac:dyDescent="0.2">
      <c r="A175" s="2" t="s">
        <v>15</v>
      </c>
      <c r="B175" s="2" t="s">
        <v>13</v>
      </c>
      <c r="C175" s="2" t="s">
        <v>17</v>
      </c>
      <c r="D175" s="2">
        <v>8</v>
      </c>
      <c r="E175" s="2">
        <v>10</v>
      </c>
      <c r="F175" s="2">
        <v>1</v>
      </c>
      <c r="G175" s="2">
        <v>0</v>
      </c>
      <c r="H175" s="2">
        <v>0</v>
      </c>
      <c r="I175" s="2">
        <v>1</v>
      </c>
      <c r="J175" s="2">
        <v>4.7300000000000004</v>
      </c>
      <c r="K175" s="2">
        <v>4.7300000000000004</v>
      </c>
      <c r="L175" s="2">
        <v>174.47</v>
      </c>
    </row>
    <row r="176" spans="1:12" x14ac:dyDescent="0.2">
      <c r="A176" s="2" t="s">
        <v>15</v>
      </c>
      <c r="B176" s="2" t="s">
        <v>13</v>
      </c>
      <c r="C176" s="2" t="s">
        <v>17</v>
      </c>
      <c r="D176" s="2">
        <v>8</v>
      </c>
      <c r="E176" s="2">
        <v>42</v>
      </c>
      <c r="F176" s="2">
        <v>12</v>
      </c>
      <c r="G176" s="2">
        <v>0</v>
      </c>
      <c r="H176" s="2">
        <v>0</v>
      </c>
      <c r="I176" s="2">
        <v>3</v>
      </c>
      <c r="J176" s="2">
        <v>27.55</v>
      </c>
      <c r="K176" s="2">
        <v>9.18</v>
      </c>
      <c r="L176" s="2">
        <v>38.08</v>
      </c>
    </row>
    <row r="177" spans="1:12" x14ac:dyDescent="0.2">
      <c r="A177" s="2" t="s">
        <v>15</v>
      </c>
      <c r="B177" s="2" t="s">
        <v>13</v>
      </c>
      <c r="C177" s="2" t="s">
        <v>17</v>
      </c>
      <c r="D177" s="2">
        <v>8</v>
      </c>
      <c r="E177" s="2">
        <v>20</v>
      </c>
      <c r="F177" s="2">
        <v>11</v>
      </c>
      <c r="G177" s="2">
        <v>3</v>
      </c>
      <c r="H177" s="2">
        <v>6.11</v>
      </c>
      <c r="I177" s="2">
        <v>1</v>
      </c>
      <c r="J177" s="2">
        <v>6.19</v>
      </c>
      <c r="K177" s="2">
        <v>6.19</v>
      </c>
      <c r="L177" s="2">
        <v>58.21</v>
      </c>
    </row>
    <row r="178" spans="1:12" x14ac:dyDescent="0.2">
      <c r="A178" s="2" t="s">
        <v>15</v>
      </c>
      <c r="B178" s="2" t="s">
        <v>13</v>
      </c>
      <c r="C178" s="2" t="s">
        <v>17</v>
      </c>
      <c r="D178" s="2">
        <v>8</v>
      </c>
      <c r="E178" s="2">
        <v>31</v>
      </c>
      <c r="F178" s="2">
        <v>9</v>
      </c>
      <c r="G178" s="2">
        <v>2</v>
      </c>
      <c r="H178" s="2">
        <v>0.35</v>
      </c>
      <c r="I178" s="2">
        <v>4</v>
      </c>
      <c r="J178" s="2">
        <v>24.05</v>
      </c>
      <c r="K178" s="2">
        <v>6.01</v>
      </c>
      <c r="L178" s="2">
        <v>94.99</v>
      </c>
    </row>
    <row r="179" spans="1:12" x14ac:dyDescent="0.2">
      <c r="A179" s="2" t="s">
        <v>15</v>
      </c>
      <c r="B179" s="2" t="s">
        <v>13</v>
      </c>
      <c r="C179" s="2" t="s">
        <v>17</v>
      </c>
      <c r="D179" s="2">
        <v>8</v>
      </c>
      <c r="E179" s="2">
        <v>36</v>
      </c>
      <c r="F179" s="2">
        <v>2</v>
      </c>
      <c r="G179" s="2">
        <v>0</v>
      </c>
      <c r="H179" s="2">
        <v>0</v>
      </c>
      <c r="I179" s="2">
        <v>5</v>
      </c>
      <c r="J179" s="2">
        <v>71.510000000000005</v>
      </c>
      <c r="K179" s="2">
        <v>14.3</v>
      </c>
      <c r="L179" s="2">
        <v>38.24</v>
      </c>
    </row>
    <row r="180" spans="1:12" x14ac:dyDescent="0.2">
      <c r="A180" s="2" t="s">
        <v>15</v>
      </c>
      <c r="B180" s="2" t="s">
        <v>13</v>
      </c>
      <c r="C180" s="2" t="s">
        <v>17</v>
      </c>
      <c r="D180" s="2">
        <v>8</v>
      </c>
      <c r="E180" s="2">
        <v>18</v>
      </c>
      <c r="F180" s="2">
        <v>3</v>
      </c>
      <c r="G180" s="2">
        <v>0</v>
      </c>
      <c r="H180" s="2">
        <v>0</v>
      </c>
      <c r="I180" s="2">
        <v>2</v>
      </c>
      <c r="J180" s="2">
        <v>41.61</v>
      </c>
      <c r="K180" s="2">
        <v>20.8</v>
      </c>
      <c r="L180" s="2">
        <v>42.29</v>
      </c>
    </row>
    <row r="181" spans="1:12" x14ac:dyDescent="0.2">
      <c r="A181" s="2" t="s">
        <v>15</v>
      </c>
      <c r="B181" s="2" t="s">
        <v>13</v>
      </c>
      <c r="C181" s="2" t="s">
        <v>17</v>
      </c>
      <c r="D181" s="2">
        <v>8</v>
      </c>
      <c r="E181" s="2">
        <v>40</v>
      </c>
      <c r="F181" s="2">
        <v>7</v>
      </c>
      <c r="G181" s="2">
        <v>0</v>
      </c>
      <c r="H181" s="2">
        <v>0</v>
      </c>
      <c r="I181" s="2">
        <v>3</v>
      </c>
      <c r="J181" s="2">
        <v>46.31</v>
      </c>
      <c r="K181" s="2">
        <v>15.44</v>
      </c>
      <c r="L181" s="2">
        <v>43.97</v>
      </c>
    </row>
    <row r="182" spans="1:12" x14ac:dyDescent="0.2">
      <c r="A182" s="2" t="s">
        <v>15</v>
      </c>
      <c r="B182" s="2" t="s">
        <v>13</v>
      </c>
      <c r="C182" s="2" t="s">
        <v>17</v>
      </c>
      <c r="D182" s="2">
        <v>8</v>
      </c>
      <c r="E182" s="2">
        <v>25</v>
      </c>
      <c r="F182" s="2">
        <v>6</v>
      </c>
      <c r="G182" s="2">
        <v>0</v>
      </c>
      <c r="H182" s="2">
        <v>0</v>
      </c>
      <c r="I182" s="2">
        <v>2</v>
      </c>
      <c r="J182" s="2">
        <v>10.119999999999999</v>
      </c>
      <c r="K182" s="2">
        <v>5.0599999999999996</v>
      </c>
      <c r="L182" s="2">
        <v>27.28</v>
      </c>
    </row>
    <row r="183" spans="1:12" x14ac:dyDescent="0.2">
      <c r="A183" s="2" t="s">
        <v>15</v>
      </c>
      <c r="B183" s="2" t="s">
        <v>13</v>
      </c>
      <c r="C183" s="2" t="s">
        <v>17</v>
      </c>
      <c r="D183" s="2">
        <v>8</v>
      </c>
      <c r="E183" s="2">
        <v>30</v>
      </c>
      <c r="F183" s="2">
        <v>12</v>
      </c>
      <c r="G183" s="2">
        <v>5</v>
      </c>
      <c r="H183" s="2">
        <v>10.06</v>
      </c>
      <c r="I183" s="2">
        <v>6</v>
      </c>
      <c r="J183" s="2">
        <v>85.94</v>
      </c>
      <c r="K183" s="2">
        <v>14.32</v>
      </c>
      <c r="L183" s="2">
        <v>0</v>
      </c>
    </row>
    <row r="184" spans="1:12" x14ac:dyDescent="0.2">
      <c r="A184" s="2" t="s">
        <v>15</v>
      </c>
      <c r="B184" s="2" t="s">
        <v>13</v>
      </c>
      <c r="C184" s="2" t="s">
        <v>17</v>
      </c>
      <c r="D184" s="2">
        <v>8</v>
      </c>
      <c r="E184" s="2">
        <v>58</v>
      </c>
      <c r="F184" s="2">
        <v>17</v>
      </c>
      <c r="G184" s="2">
        <v>5</v>
      </c>
      <c r="H184" s="2">
        <v>10.29</v>
      </c>
      <c r="I184" s="2">
        <v>3</v>
      </c>
      <c r="J184" s="2">
        <v>14.69</v>
      </c>
      <c r="K184" s="2">
        <v>4.9000000000000004</v>
      </c>
      <c r="L184" s="2">
        <v>0</v>
      </c>
    </row>
    <row r="185" spans="1:12" x14ac:dyDescent="0.2">
      <c r="A185" s="2" t="s">
        <v>15</v>
      </c>
      <c r="B185" s="2" t="s">
        <v>13</v>
      </c>
      <c r="C185" s="2" t="s">
        <v>17</v>
      </c>
      <c r="D185" s="2">
        <v>8</v>
      </c>
      <c r="E185" s="2">
        <v>28</v>
      </c>
      <c r="F185" s="2">
        <v>10</v>
      </c>
      <c r="G185" s="2">
        <v>6</v>
      </c>
      <c r="H185" s="2">
        <v>8</v>
      </c>
      <c r="I185" s="2">
        <v>2</v>
      </c>
      <c r="J185" s="2">
        <v>35.08</v>
      </c>
      <c r="K185" s="2">
        <v>17.54</v>
      </c>
      <c r="L185" s="2">
        <v>0</v>
      </c>
    </row>
    <row r="186" spans="1:12" x14ac:dyDescent="0.2">
      <c r="A186" s="2" t="s">
        <v>15</v>
      </c>
      <c r="B186" s="2" t="s">
        <v>13</v>
      </c>
      <c r="C186" s="2" t="s">
        <v>17</v>
      </c>
      <c r="D186" s="2">
        <v>8</v>
      </c>
      <c r="E186" s="2">
        <v>24</v>
      </c>
      <c r="F186" s="2">
        <v>3</v>
      </c>
      <c r="G186" s="2">
        <v>2</v>
      </c>
      <c r="H186" s="2">
        <v>3.19</v>
      </c>
      <c r="I186" s="2">
        <v>0</v>
      </c>
      <c r="J186" s="2">
        <v>0</v>
      </c>
      <c r="K186" s="2">
        <v>0</v>
      </c>
      <c r="L186" s="2">
        <v>34.81</v>
      </c>
    </row>
    <row r="187" spans="1:12" x14ac:dyDescent="0.2">
      <c r="A187" s="2" t="s">
        <v>15</v>
      </c>
      <c r="B187" s="2" t="s">
        <v>13</v>
      </c>
      <c r="C187" s="2" t="s">
        <v>17</v>
      </c>
      <c r="D187" s="2">
        <v>8</v>
      </c>
      <c r="E187" s="2">
        <v>13</v>
      </c>
      <c r="F187" s="2">
        <v>4</v>
      </c>
      <c r="G187" s="2">
        <v>0</v>
      </c>
      <c r="H187" s="2">
        <v>0</v>
      </c>
      <c r="I187" s="2">
        <v>2</v>
      </c>
      <c r="J187" s="2">
        <v>62.49</v>
      </c>
      <c r="K187" s="2">
        <v>31.25</v>
      </c>
      <c r="L187" s="2">
        <v>33.869999999999997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>
      <selection activeCell="C28" sqref="C28:M38"/>
    </sheetView>
  </sheetViews>
  <sheetFormatPr baseColWidth="10" defaultColWidth="8.83203125" defaultRowHeight="15" x14ac:dyDescent="0.2"/>
  <cols>
    <col min="7" max="7" width="14.1640625" customWidth="1"/>
    <col min="8" max="8" width="14.5" customWidth="1"/>
    <col min="9" max="9" width="13" customWidth="1"/>
    <col min="11" max="11" width="16" customWidth="1"/>
    <col min="12" max="12" width="12.6640625" customWidth="1"/>
  </cols>
  <sheetData>
    <row r="1" spans="1:12" x14ac:dyDescent="0.2">
      <c r="A1" s="1" t="s">
        <v>0</v>
      </c>
      <c r="B1" s="1" t="s">
        <v>1</v>
      </c>
      <c r="C1" s="1" t="s">
        <v>2</v>
      </c>
    </row>
    <row r="2" spans="1:12" x14ac:dyDescent="0.2">
      <c r="A2" s="2" t="s">
        <v>14</v>
      </c>
      <c r="B2" s="2" t="s">
        <v>13</v>
      </c>
      <c r="C2" s="2" t="s">
        <v>17</v>
      </c>
      <c r="D2" s="2">
        <v>6</v>
      </c>
      <c r="E2" s="2">
        <v>22</v>
      </c>
      <c r="F2" s="2">
        <v>6</v>
      </c>
      <c r="G2" s="2">
        <v>3</v>
      </c>
      <c r="H2" s="2">
        <v>5.62</v>
      </c>
      <c r="I2" s="2">
        <v>3</v>
      </c>
      <c r="J2" s="2">
        <v>22.44</v>
      </c>
      <c r="K2" s="6">
        <v>7.48</v>
      </c>
      <c r="L2" s="2">
        <v>16.75</v>
      </c>
    </row>
    <row r="3" spans="1:12" x14ac:dyDescent="0.2">
      <c r="A3" s="2" t="s">
        <v>14</v>
      </c>
      <c r="B3" s="2" t="s">
        <v>13</v>
      </c>
      <c r="C3" s="2" t="s">
        <v>17</v>
      </c>
      <c r="D3" s="2">
        <v>6</v>
      </c>
      <c r="E3" s="2">
        <v>27</v>
      </c>
      <c r="F3" s="2">
        <v>10</v>
      </c>
      <c r="G3" s="2">
        <v>0</v>
      </c>
      <c r="H3" s="2">
        <v>0</v>
      </c>
      <c r="I3" s="2">
        <v>5</v>
      </c>
      <c r="J3" s="2">
        <v>32.29</v>
      </c>
      <c r="K3" s="6">
        <v>6.46</v>
      </c>
      <c r="L3" s="2">
        <v>85.77</v>
      </c>
    </row>
    <row r="4" spans="1:12" x14ac:dyDescent="0.2">
      <c r="A4" s="2" t="s">
        <v>14</v>
      </c>
      <c r="B4" s="2" t="s">
        <v>13</v>
      </c>
      <c r="C4" s="2" t="s">
        <v>17</v>
      </c>
      <c r="D4" s="2">
        <v>6</v>
      </c>
      <c r="E4" s="2">
        <v>20</v>
      </c>
      <c r="F4" s="2">
        <v>1</v>
      </c>
      <c r="G4" s="2">
        <v>0</v>
      </c>
      <c r="H4" s="2">
        <v>0</v>
      </c>
      <c r="I4" s="2">
        <v>1</v>
      </c>
      <c r="J4" s="2">
        <v>6.87</v>
      </c>
      <c r="K4" s="6">
        <v>6.87</v>
      </c>
      <c r="L4" s="2">
        <v>97.14</v>
      </c>
    </row>
    <row r="5" spans="1:12" x14ac:dyDescent="0.2">
      <c r="A5" s="2" t="s">
        <v>14</v>
      </c>
      <c r="B5" s="2" t="s">
        <v>13</v>
      </c>
      <c r="C5" s="2" t="s">
        <v>17</v>
      </c>
      <c r="D5" s="2">
        <v>6</v>
      </c>
      <c r="E5" s="2">
        <v>6</v>
      </c>
      <c r="F5" s="2">
        <v>2</v>
      </c>
      <c r="G5" s="2">
        <v>0</v>
      </c>
      <c r="H5" s="2">
        <v>0</v>
      </c>
      <c r="I5" s="2">
        <v>3</v>
      </c>
      <c r="J5" s="2">
        <v>35.03</v>
      </c>
      <c r="K5" s="6">
        <v>11.68</v>
      </c>
      <c r="L5" s="2">
        <v>58.63</v>
      </c>
    </row>
    <row r="6" spans="1:12" x14ac:dyDescent="0.2">
      <c r="A6" s="2" t="s">
        <v>14</v>
      </c>
      <c r="B6" s="2" t="s">
        <v>13</v>
      </c>
      <c r="C6" s="2" t="s">
        <v>17</v>
      </c>
      <c r="D6" s="2">
        <v>6</v>
      </c>
      <c r="E6" s="2">
        <v>29</v>
      </c>
      <c r="F6" s="2">
        <v>0</v>
      </c>
      <c r="G6" s="2">
        <v>2</v>
      </c>
      <c r="H6" s="2">
        <v>1.88</v>
      </c>
      <c r="I6" s="2">
        <v>3</v>
      </c>
      <c r="J6" s="2">
        <v>57.98</v>
      </c>
      <c r="K6" s="6">
        <v>19.329999999999998</v>
      </c>
      <c r="L6" s="2">
        <v>12.4</v>
      </c>
    </row>
    <row r="7" spans="1:12" x14ac:dyDescent="0.2">
      <c r="A7" s="2" t="s">
        <v>14</v>
      </c>
      <c r="B7" s="2" t="s">
        <v>13</v>
      </c>
      <c r="C7" s="2" t="s">
        <v>17</v>
      </c>
      <c r="D7" s="2">
        <v>6</v>
      </c>
      <c r="E7" s="2">
        <v>49</v>
      </c>
      <c r="F7" s="2">
        <v>30</v>
      </c>
      <c r="G7" s="2">
        <v>11</v>
      </c>
      <c r="H7" s="2">
        <v>21.88</v>
      </c>
      <c r="I7" s="2">
        <v>2</v>
      </c>
      <c r="J7" s="2">
        <v>8.32</v>
      </c>
      <c r="K7" s="6">
        <v>4.16</v>
      </c>
      <c r="L7" s="2">
        <v>0</v>
      </c>
    </row>
    <row r="8" spans="1:12" x14ac:dyDescent="0.2">
      <c r="A8" s="2" t="s">
        <v>14</v>
      </c>
      <c r="B8" s="2" t="s">
        <v>13</v>
      </c>
      <c r="C8" s="2" t="s">
        <v>17</v>
      </c>
      <c r="D8" s="2">
        <v>6</v>
      </c>
      <c r="E8" s="2">
        <v>53</v>
      </c>
      <c r="F8" s="2">
        <v>32</v>
      </c>
      <c r="G8" s="2">
        <v>4</v>
      </c>
      <c r="H8" s="2">
        <v>14.98</v>
      </c>
      <c r="I8" s="2">
        <v>2</v>
      </c>
      <c r="J8" s="2">
        <v>8.84</v>
      </c>
      <c r="K8" s="6">
        <v>4.42</v>
      </c>
      <c r="L8" s="2">
        <v>0</v>
      </c>
    </row>
    <row r="9" spans="1:12" x14ac:dyDescent="0.2">
      <c r="A9" s="2" t="s">
        <v>14</v>
      </c>
      <c r="B9" s="2" t="s">
        <v>13</v>
      </c>
      <c r="C9" s="2" t="s">
        <v>17</v>
      </c>
      <c r="D9" s="2">
        <v>6</v>
      </c>
      <c r="E9" s="2">
        <v>50</v>
      </c>
      <c r="F9" s="2">
        <v>24</v>
      </c>
      <c r="G9" s="2">
        <v>3</v>
      </c>
      <c r="H9" s="2">
        <v>4.32</v>
      </c>
      <c r="I9" s="2">
        <v>1</v>
      </c>
      <c r="J9" s="2">
        <v>11.43</v>
      </c>
      <c r="K9" s="6">
        <v>11.43</v>
      </c>
      <c r="L9" s="2">
        <v>0</v>
      </c>
    </row>
    <row r="10" spans="1:12" x14ac:dyDescent="0.2">
      <c r="A10" s="2" t="s">
        <v>14</v>
      </c>
      <c r="B10" s="2" t="s">
        <v>13</v>
      </c>
      <c r="C10" s="2" t="s">
        <v>17</v>
      </c>
      <c r="D10" s="2">
        <v>6</v>
      </c>
      <c r="E10" s="2">
        <v>28</v>
      </c>
      <c r="F10" s="2">
        <v>13</v>
      </c>
      <c r="G10" s="2">
        <v>0</v>
      </c>
      <c r="H10" s="2">
        <v>0</v>
      </c>
      <c r="I10" s="2">
        <v>3</v>
      </c>
      <c r="J10" s="2">
        <v>9.36</v>
      </c>
      <c r="K10" s="6">
        <v>3.12</v>
      </c>
      <c r="L10" s="2">
        <v>0</v>
      </c>
    </row>
    <row r="11" spans="1:12" x14ac:dyDescent="0.2">
      <c r="A11" s="2" t="s">
        <v>14</v>
      </c>
      <c r="B11" s="2" t="s">
        <v>13</v>
      </c>
      <c r="C11" s="2" t="s">
        <v>17</v>
      </c>
      <c r="D11" s="2">
        <v>6</v>
      </c>
      <c r="E11" s="2">
        <v>31</v>
      </c>
      <c r="F11" s="2">
        <v>6</v>
      </c>
      <c r="G11" s="2">
        <v>0</v>
      </c>
      <c r="H11" s="2">
        <v>0</v>
      </c>
      <c r="I11" s="2">
        <v>3</v>
      </c>
      <c r="J11" s="2">
        <v>21.56</v>
      </c>
      <c r="K11" s="6">
        <v>7.19</v>
      </c>
      <c r="L11" s="2">
        <v>65.069999999999993</v>
      </c>
    </row>
    <row r="12" spans="1:12" x14ac:dyDescent="0.2">
      <c r="A12" s="2" t="s">
        <v>14</v>
      </c>
      <c r="B12" s="2" t="s">
        <v>13</v>
      </c>
      <c r="C12" s="2" t="s">
        <v>17</v>
      </c>
      <c r="D12" s="2">
        <v>6</v>
      </c>
      <c r="E12" s="2">
        <v>56</v>
      </c>
      <c r="F12" s="2">
        <v>10</v>
      </c>
      <c r="G12" s="2">
        <v>3</v>
      </c>
      <c r="H12" s="2">
        <v>2.93</v>
      </c>
      <c r="I12" s="2">
        <v>5</v>
      </c>
      <c r="J12" s="2">
        <v>20.49</v>
      </c>
      <c r="K12" s="6">
        <v>4.0999999999999996</v>
      </c>
      <c r="L12" s="2">
        <v>9.59</v>
      </c>
    </row>
    <row r="13" spans="1:12" x14ac:dyDescent="0.2">
      <c r="A13" s="2" t="s">
        <v>14</v>
      </c>
      <c r="B13" s="2" t="s">
        <v>13</v>
      </c>
      <c r="C13" s="2" t="s">
        <v>17</v>
      </c>
      <c r="D13" s="2">
        <v>6</v>
      </c>
      <c r="E13" s="2">
        <v>46</v>
      </c>
      <c r="F13" s="2">
        <v>13</v>
      </c>
      <c r="G13" s="2">
        <v>3</v>
      </c>
      <c r="H13" s="2">
        <v>3.5</v>
      </c>
      <c r="I13" s="2">
        <v>1</v>
      </c>
      <c r="J13" s="2">
        <v>5.94</v>
      </c>
      <c r="K13" s="6">
        <v>5.94</v>
      </c>
      <c r="L13" s="2">
        <v>2.04</v>
      </c>
    </row>
    <row r="14" spans="1:12" x14ac:dyDescent="0.2">
      <c r="A14" s="2" t="s">
        <v>14</v>
      </c>
      <c r="B14" s="2" t="s">
        <v>13</v>
      </c>
      <c r="C14" s="2" t="s">
        <v>17</v>
      </c>
      <c r="D14" s="2">
        <v>6</v>
      </c>
      <c r="E14" s="2">
        <v>32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6">
        <v>0</v>
      </c>
      <c r="L14" s="2">
        <v>54.44</v>
      </c>
    </row>
    <row r="15" spans="1:12" x14ac:dyDescent="0.2">
      <c r="A15" s="2" t="s">
        <v>14</v>
      </c>
      <c r="B15" s="2" t="s">
        <v>13</v>
      </c>
      <c r="C15" s="2" t="s">
        <v>17</v>
      </c>
      <c r="D15" s="2">
        <v>6</v>
      </c>
      <c r="E15" s="2">
        <v>39</v>
      </c>
      <c r="F15" s="2">
        <v>13</v>
      </c>
      <c r="G15" s="2">
        <v>3</v>
      </c>
      <c r="H15" s="2">
        <v>9.5299999999999994</v>
      </c>
      <c r="I15" s="2">
        <v>4</v>
      </c>
      <c r="J15" s="2">
        <v>23.91</v>
      </c>
      <c r="K15" s="6">
        <v>5.98</v>
      </c>
      <c r="L15" s="2">
        <v>17.920000000000002</v>
      </c>
    </row>
    <row r="16" spans="1:12" x14ac:dyDescent="0.2">
      <c r="A16" s="2" t="s">
        <v>14</v>
      </c>
      <c r="B16" s="2" t="s">
        <v>13</v>
      </c>
      <c r="C16" s="2" t="s">
        <v>17</v>
      </c>
      <c r="D16" s="2">
        <v>6</v>
      </c>
      <c r="E16" s="2">
        <v>30</v>
      </c>
      <c r="F16" s="2">
        <v>6</v>
      </c>
      <c r="G16" s="2">
        <v>0</v>
      </c>
      <c r="H16" s="2">
        <v>0</v>
      </c>
      <c r="I16" s="2">
        <v>2</v>
      </c>
      <c r="J16" s="2">
        <v>13.77</v>
      </c>
      <c r="K16" s="6">
        <v>6.88</v>
      </c>
      <c r="L16" s="2">
        <v>63.93</v>
      </c>
    </row>
    <row r="17" spans="1:12" x14ac:dyDescent="0.2">
      <c r="A17" s="2" t="s">
        <v>14</v>
      </c>
      <c r="B17" s="2" t="s">
        <v>13</v>
      </c>
      <c r="C17" s="2" t="s">
        <v>17</v>
      </c>
      <c r="D17" s="2">
        <v>6</v>
      </c>
      <c r="E17" s="2">
        <v>19</v>
      </c>
      <c r="F17" s="2">
        <v>0</v>
      </c>
      <c r="G17" s="2">
        <v>3</v>
      </c>
      <c r="H17" s="2">
        <v>4.57</v>
      </c>
      <c r="I17" s="2">
        <v>4</v>
      </c>
      <c r="J17" s="2">
        <v>9.24</v>
      </c>
      <c r="K17" s="6">
        <v>2.31</v>
      </c>
      <c r="L17" s="2">
        <v>120.04</v>
      </c>
    </row>
    <row r="18" spans="1:12" x14ac:dyDescent="0.2">
      <c r="A18" s="2" t="s">
        <v>14</v>
      </c>
      <c r="B18" s="2" t="s">
        <v>13</v>
      </c>
      <c r="C18" s="2" t="s">
        <v>17</v>
      </c>
      <c r="D18" s="2">
        <v>6</v>
      </c>
      <c r="E18" s="2">
        <v>79</v>
      </c>
      <c r="F18" s="2">
        <v>6</v>
      </c>
      <c r="G18" s="2">
        <v>1</v>
      </c>
      <c r="H18" s="2">
        <v>2.0299999999999998</v>
      </c>
      <c r="I18" s="2">
        <v>1</v>
      </c>
      <c r="J18" s="2">
        <v>2.0499999999999998</v>
      </c>
      <c r="K18" s="6">
        <v>2.0499999999999998</v>
      </c>
      <c r="L18" s="2">
        <v>0</v>
      </c>
    </row>
    <row r="19" spans="1:12" x14ac:dyDescent="0.2">
      <c r="A19" s="2" t="s">
        <v>14</v>
      </c>
      <c r="B19" s="2" t="s">
        <v>13</v>
      </c>
      <c r="C19" s="2" t="s">
        <v>17</v>
      </c>
      <c r="D19" s="2">
        <v>6</v>
      </c>
      <c r="E19" s="2">
        <v>30</v>
      </c>
      <c r="F19" s="2">
        <v>2</v>
      </c>
      <c r="G19" s="2">
        <v>2</v>
      </c>
      <c r="H19" s="2">
        <v>1.83</v>
      </c>
      <c r="I19" s="2">
        <v>3</v>
      </c>
      <c r="J19" s="2">
        <v>28.52</v>
      </c>
      <c r="K19" s="6">
        <v>9.51</v>
      </c>
      <c r="L19" s="2">
        <v>69.84</v>
      </c>
    </row>
    <row r="20" spans="1:12" x14ac:dyDescent="0.2">
      <c r="A20" s="2" t="s">
        <v>14</v>
      </c>
      <c r="B20" s="2" t="s">
        <v>13</v>
      </c>
      <c r="C20" s="2" t="s">
        <v>17</v>
      </c>
      <c r="D20" s="2">
        <v>6</v>
      </c>
      <c r="E20" s="2">
        <v>38</v>
      </c>
      <c r="F20" s="2">
        <v>14</v>
      </c>
      <c r="G20" s="2">
        <v>0</v>
      </c>
      <c r="H20" s="2">
        <v>0</v>
      </c>
      <c r="I20" s="2">
        <v>6</v>
      </c>
      <c r="J20" s="2">
        <v>5.82</v>
      </c>
      <c r="K20" s="6">
        <v>0.97</v>
      </c>
      <c r="L20" s="2">
        <v>133.51</v>
      </c>
    </row>
    <row r="21" spans="1:12" x14ac:dyDescent="0.2">
      <c r="A21" s="2" t="s">
        <v>14</v>
      </c>
      <c r="B21" s="2" t="s">
        <v>13</v>
      </c>
      <c r="C21" s="2" t="s">
        <v>17</v>
      </c>
      <c r="D21" s="2">
        <v>6</v>
      </c>
      <c r="E21" s="2">
        <v>7</v>
      </c>
      <c r="F21" s="2">
        <v>1</v>
      </c>
      <c r="G21" s="2">
        <v>1</v>
      </c>
      <c r="H21" s="2">
        <v>0.88</v>
      </c>
      <c r="I21" s="2">
        <v>2</v>
      </c>
      <c r="J21" s="2">
        <v>6.87</v>
      </c>
      <c r="K21" s="6">
        <v>3.44</v>
      </c>
      <c r="L21" s="2">
        <v>57.41</v>
      </c>
    </row>
    <row r="22" spans="1:12" x14ac:dyDescent="0.2">
      <c r="A22" s="2" t="s">
        <v>14</v>
      </c>
      <c r="B22" s="2" t="s">
        <v>13</v>
      </c>
      <c r="C22" s="2" t="s">
        <v>17</v>
      </c>
      <c r="D22" s="2">
        <v>6</v>
      </c>
      <c r="E22" s="2">
        <v>20</v>
      </c>
      <c r="F22" s="2">
        <v>11</v>
      </c>
      <c r="G22" s="2">
        <v>4</v>
      </c>
      <c r="H22" s="2">
        <v>16.96</v>
      </c>
      <c r="I22" s="2">
        <v>2</v>
      </c>
      <c r="J22" s="2">
        <v>17.71</v>
      </c>
      <c r="K22" s="6">
        <v>8.86</v>
      </c>
      <c r="L22" s="2">
        <v>30.13</v>
      </c>
    </row>
    <row r="23" spans="1:12" x14ac:dyDescent="0.2">
      <c r="A23" s="2" t="s">
        <v>14</v>
      </c>
      <c r="B23" s="2" t="s">
        <v>13</v>
      </c>
      <c r="C23" s="2" t="s">
        <v>17</v>
      </c>
      <c r="D23" s="2">
        <v>6</v>
      </c>
      <c r="E23" s="2">
        <v>20</v>
      </c>
      <c r="F23" s="2">
        <v>13</v>
      </c>
      <c r="G23" s="2">
        <v>5</v>
      </c>
      <c r="H23" s="2">
        <v>19.7</v>
      </c>
      <c r="I23" s="2">
        <v>3</v>
      </c>
      <c r="J23" s="2">
        <v>18.53</v>
      </c>
      <c r="K23" s="6">
        <v>6.18</v>
      </c>
      <c r="L23" s="2">
        <v>0</v>
      </c>
    </row>
    <row r="24" spans="1:12" x14ac:dyDescent="0.2">
      <c r="A24" s="2" t="s">
        <v>14</v>
      </c>
      <c r="B24" s="2" t="s">
        <v>13</v>
      </c>
      <c r="C24" s="2" t="s">
        <v>17</v>
      </c>
      <c r="D24" s="2">
        <v>6</v>
      </c>
      <c r="E24" s="2">
        <v>45</v>
      </c>
      <c r="F24" s="2">
        <v>10</v>
      </c>
      <c r="G24" s="2">
        <v>4</v>
      </c>
      <c r="H24" s="2">
        <v>8.4600000000000009</v>
      </c>
      <c r="I24" s="2">
        <v>2</v>
      </c>
      <c r="J24" s="2">
        <v>9.74</v>
      </c>
      <c r="K24" s="6">
        <v>4.87</v>
      </c>
      <c r="L24" s="2">
        <v>8.3000000000000007</v>
      </c>
    </row>
    <row r="30" spans="1:12" x14ac:dyDescent="0.2">
      <c r="D30" s="1" t="s">
        <v>3</v>
      </c>
      <c r="E30" s="2" t="s">
        <v>4</v>
      </c>
      <c r="F30" s="2" t="s">
        <v>5</v>
      </c>
      <c r="G30" s="2" t="s">
        <v>10</v>
      </c>
      <c r="H30" s="2" t="s">
        <v>11</v>
      </c>
      <c r="I30" s="2" t="s">
        <v>6</v>
      </c>
      <c r="J30" s="2" t="s">
        <v>7</v>
      </c>
      <c r="K30" s="6" t="s">
        <v>8</v>
      </c>
      <c r="L30" s="2" t="s">
        <v>9</v>
      </c>
    </row>
    <row r="31" spans="1:12" x14ac:dyDescent="0.2">
      <c r="D31" s="4" t="s">
        <v>18</v>
      </c>
      <c r="E31">
        <f t="shared" ref="E31:L31" si="0">AVERAGE(E2:E24)</f>
        <v>33.739130434782609</v>
      </c>
      <c r="F31">
        <f t="shared" si="0"/>
        <v>10.130434782608695</v>
      </c>
      <c r="G31">
        <f t="shared" si="0"/>
        <v>2.2608695652173911</v>
      </c>
      <c r="H31">
        <f t="shared" si="0"/>
        <v>5.1769565217391298</v>
      </c>
      <c r="I31">
        <f t="shared" si="0"/>
        <v>2.652173913043478</v>
      </c>
      <c r="J31">
        <f t="shared" si="0"/>
        <v>16.378695652173914</v>
      </c>
      <c r="K31">
        <f t="shared" si="0"/>
        <v>6.2273913043478268</v>
      </c>
      <c r="L31">
        <f t="shared" si="0"/>
        <v>39.256956521739127</v>
      </c>
    </row>
    <row r="32" spans="1:12" x14ac:dyDescent="0.2">
      <c r="D32" s="4" t="s">
        <v>19</v>
      </c>
      <c r="E32">
        <f t="shared" ref="E32:L32" si="1">COUNT(E2:E24)</f>
        <v>23</v>
      </c>
      <c r="F32">
        <f t="shared" si="1"/>
        <v>23</v>
      </c>
      <c r="G32">
        <f t="shared" si="1"/>
        <v>23</v>
      </c>
      <c r="H32">
        <f t="shared" si="1"/>
        <v>23</v>
      </c>
      <c r="I32">
        <f t="shared" si="1"/>
        <v>23</v>
      </c>
      <c r="J32">
        <f t="shared" si="1"/>
        <v>23</v>
      </c>
      <c r="K32">
        <f t="shared" si="1"/>
        <v>23</v>
      </c>
      <c r="L32">
        <f t="shared" si="1"/>
        <v>23</v>
      </c>
    </row>
    <row r="33" spans="4:12" x14ac:dyDescent="0.2">
      <c r="D33" s="4" t="s">
        <v>20</v>
      </c>
      <c r="E33">
        <f t="shared" ref="E33:L33" si="2">STDEV(E2:E24)</f>
        <v>16.895984975738919</v>
      </c>
      <c r="F33">
        <f t="shared" si="2"/>
        <v>8.7557998846794902</v>
      </c>
      <c r="G33">
        <f t="shared" si="2"/>
        <v>2.5265389784220953</v>
      </c>
      <c r="H33">
        <f t="shared" si="2"/>
        <v>6.8376759972580059</v>
      </c>
      <c r="I33">
        <f t="shared" si="2"/>
        <v>1.4650068461575656</v>
      </c>
      <c r="J33">
        <f t="shared" si="2"/>
        <v>13.133840158622794</v>
      </c>
      <c r="K33">
        <f t="shared" si="2"/>
        <v>4.1575169790188484</v>
      </c>
      <c r="L33">
        <f t="shared" si="2"/>
        <v>41.727391857451344</v>
      </c>
    </row>
    <row r="34" spans="4:12" x14ac:dyDescent="0.2">
      <c r="D34" s="5" t="s">
        <v>21</v>
      </c>
      <c r="E34">
        <f>E33/SQRT(E32)</f>
        <v>3.5230564071333395</v>
      </c>
      <c r="F34">
        <f t="shared" ref="F34:L34" si="3">F33/SQRT(F32)</f>
        <v>1.8257104825549468</v>
      </c>
      <c r="G34">
        <f t="shared" si="3"/>
        <v>0.52681979467804352</v>
      </c>
      <c r="H34">
        <f t="shared" si="3"/>
        <v>1.4257540040803776</v>
      </c>
      <c r="I34">
        <f t="shared" si="3"/>
        <v>0.3054750441161479</v>
      </c>
      <c r="J34">
        <f t="shared" si="3"/>
        <v>2.7385949849945099</v>
      </c>
      <c r="K34">
        <f t="shared" si="3"/>
        <v>0.86690221681245483</v>
      </c>
      <c r="L34">
        <f t="shared" si="3"/>
        <v>8.7007626632864206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selection activeCell="D31" sqref="D31:L35"/>
    </sheetView>
  </sheetViews>
  <sheetFormatPr baseColWidth="10" defaultColWidth="8.83203125" defaultRowHeight="15" x14ac:dyDescent="0.2"/>
  <cols>
    <col min="3" max="3" width="13.33203125" customWidth="1"/>
    <col min="7" max="7" width="12.6640625" customWidth="1"/>
    <col min="8" max="8" width="17.6640625" customWidth="1"/>
    <col min="9" max="9" width="15.1640625" customWidth="1"/>
    <col min="10" max="10" width="16.33203125" customWidth="1"/>
    <col min="11" max="11" width="1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10</v>
      </c>
      <c r="H1" s="2" t="s">
        <v>11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">
      <c r="A2" s="2" t="s">
        <v>14</v>
      </c>
      <c r="B2" s="2" t="s">
        <v>12</v>
      </c>
      <c r="C2" s="2" t="s">
        <v>17</v>
      </c>
      <c r="D2" s="2">
        <v>5</v>
      </c>
      <c r="E2" s="3">
        <v>45</v>
      </c>
      <c r="F2" s="3">
        <v>16</v>
      </c>
      <c r="G2" s="2">
        <v>4</v>
      </c>
      <c r="H2" s="2">
        <v>4.95</v>
      </c>
      <c r="I2" s="2">
        <v>7</v>
      </c>
      <c r="J2" s="2">
        <v>99.42</v>
      </c>
      <c r="K2" s="2">
        <v>14.2</v>
      </c>
      <c r="L2" s="3">
        <v>0</v>
      </c>
    </row>
    <row r="3" spans="1:12" x14ac:dyDescent="0.2">
      <c r="A3" s="2" t="s">
        <v>14</v>
      </c>
      <c r="B3" s="2" t="s">
        <v>12</v>
      </c>
      <c r="C3" s="2" t="s">
        <v>17</v>
      </c>
      <c r="D3" s="2">
        <v>5</v>
      </c>
      <c r="E3" s="3">
        <v>27</v>
      </c>
      <c r="F3" s="3">
        <v>2</v>
      </c>
      <c r="G3" s="2">
        <v>1</v>
      </c>
      <c r="H3" s="2">
        <v>1.43</v>
      </c>
      <c r="I3" s="2">
        <v>4</v>
      </c>
      <c r="J3" s="2">
        <v>49.36</v>
      </c>
      <c r="K3" s="2">
        <v>12.34</v>
      </c>
      <c r="L3" s="3">
        <v>33.840000000000003</v>
      </c>
    </row>
    <row r="4" spans="1:12" x14ac:dyDescent="0.2">
      <c r="A4" s="2" t="s">
        <v>14</v>
      </c>
      <c r="B4" s="2" t="s">
        <v>12</v>
      </c>
      <c r="C4" s="2" t="s">
        <v>17</v>
      </c>
      <c r="D4" s="2">
        <v>5</v>
      </c>
      <c r="E4" s="3">
        <v>30</v>
      </c>
      <c r="F4" s="3">
        <v>6</v>
      </c>
      <c r="G4" s="2">
        <v>0</v>
      </c>
      <c r="H4" s="2">
        <v>0</v>
      </c>
      <c r="I4" s="2">
        <v>5</v>
      </c>
      <c r="J4" s="2">
        <v>63.08</v>
      </c>
      <c r="K4" s="2">
        <v>12.62</v>
      </c>
      <c r="L4" s="3">
        <v>6.83</v>
      </c>
    </row>
    <row r="5" spans="1:12" x14ac:dyDescent="0.2">
      <c r="A5" s="2" t="s">
        <v>14</v>
      </c>
      <c r="B5" s="2" t="s">
        <v>12</v>
      </c>
      <c r="C5" s="2" t="s">
        <v>17</v>
      </c>
      <c r="D5" s="2">
        <v>5</v>
      </c>
      <c r="E5" s="3">
        <v>29</v>
      </c>
      <c r="F5" s="3">
        <v>2</v>
      </c>
      <c r="G5" s="2">
        <v>1</v>
      </c>
      <c r="H5" s="2">
        <v>0.89</v>
      </c>
      <c r="I5" s="2">
        <v>3</v>
      </c>
      <c r="J5" s="2">
        <v>47.31</v>
      </c>
      <c r="K5" s="2">
        <v>15.77</v>
      </c>
      <c r="L5" s="3">
        <v>17.739999999999998</v>
      </c>
    </row>
    <row r="6" spans="1:12" x14ac:dyDescent="0.2">
      <c r="A6" s="2" t="s">
        <v>14</v>
      </c>
      <c r="B6" s="2" t="s">
        <v>12</v>
      </c>
      <c r="C6" s="2" t="s">
        <v>17</v>
      </c>
      <c r="D6" s="2">
        <v>5</v>
      </c>
      <c r="E6" s="3">
        <v>34</v>
      </c>
      <c r="F6" s="3">
        <v>6</v>
      </c>
      <c r="G6" s="2">
        <v>1</v>
      </c>
      <c r="H6" s="2">
        <v>1.1599999999999999</v>
      </c>
      <c r="I6" s="2">
        <v>4</v>
      </c>
      <c r="J6" s="2">
        <v>54.3</v>
      </c>
      <c r="K6" s="2">
        <v>13.57</v>
      </c>
      <c r="L6" s="3">
        <v>5.25</v>
      </c>
    </row>
    <row r="7" spans="1:12" x14ac:dyDescent="0.2">
      <c r="A7" s="2" t="s">
        <v>14</v>
      </c>
      <c r="B7" s="2" t="s">
        <v>12</v>
      </c>
      <c r="C7" s="2" t="s">
        <v>17</v>
      </c>
      <c r="D7" s="2">
        <v>5</v>
      </c>
      <c r="E7" s="3">
        <v>3</v>
      </c>
      <c r="F7" s="3">
        <v>2</v>
      </c>
      <c r="G7" s="2">
        <v>0</v>
      </c>
      <c r="H7" s="2">
        <v>0</v>
      </c>
      <c r="I7" s="2">
        <v>5</v>
      </c>
      <c r="J7" s="2">
        <v>56.48</v>
      </c>
      <c r="K7" s="2">
        <v>11.3</v>
      </c>
      <c r="L7" s="3">
        <v>74.260000000000005</v>
      </c>
    </row>
    <row r="8" spans="1:12" x14ac:dyDescent="0.2">
      <c r="A8" s="2" t="s">
        <v>14</v>
      </c>
      <c r="B8" s="2" t="s">
        <v>12</v>
      </c>
      <c r="C8" s="2" t="s">
        <v>17</v>
      </c>
      <c r="D8" s="2">
        <v>5</v>
      </c>
      <c r="E8" s="3">
        <v>21</v>
      </c>
      <c r="F8" s="3">
        <v>10</v>
      </c>
      <c r="G8" s="2">
        <v>0</v>
      </c>
      <c r="H8" s="2">
        <v>0</v>
      </c>
      <c r="I8" s="2">
        <v>4</v>
      </c>
      <c r="J8" s="2">
        <v>40.409999999999997</v>
      </c>
      <c r="K8" s="2">
        <v>10.1</v>
      </c>
      <c r="L8" s="3">
        <v>20.16</v>
      </c>
    </row>
    <row r="9" spans="1:12" x14ac:dyDescent="0.2">
      <c r="A9" s="2" t="s">
        <v>14</v>
      </c>
      <c r="B9" s="2" t="s">
        <v>12</v>
      </c>
      <c r="C9" s="2" t="s">
        <v>17</v>
      </c>
      <c r="D9" s="2">
        <v>5</v>
      </c>
      <c r="E9" s="3">
        <v>31</v>
      </c>
      <c r="F9" s="3">
        <v>17</v>
      </c>
      <c r="G9" s="2">
        <v>5</v>
      </c>
      <c r="H9" s="2">
        <v>12.07</v>
      </c>
      <c r="I9" s="2">
        <v>2</v>
      </c>
      <c r="J9" s="2">
        <v>11.39</v>
      </c>
      <c r="K9" s="2">
        <v>5.7</v>
      </c>
      <c r="L9" s="3">
        <v>54.49</v>
      </c>
    </row>
    <row r="10" spans="1:12" x14ac:dyDescent="0.2">
      <c r="A10" s="2" t="s">
        <v>14</v>
      </c>
      <c r="B10" s="2" t="s">
        <v>12</v>
      </c>
      <c r="C10" s="2" t="s">
        <v>17</v>
      </c>
      <c r="D10" s="2">
        <v>5</v>
      </c>
      <c r="E10" s="3">
        <v>40</v>
      </c>
      <c r="F10" s="3">
        <v>11</v>
      </c>
      <c r="G10" s="2">
        <v>3</v>
      </c>
      <c r="H10" s="2">
        <v>4.07</v>
      </c>
      <c r="I10" s="2">
        <v>3</v>
      </c>
      <c r="J10" s="2">
        <v>14.1</v>
      </c>
      <c r="K10" s="2">
        <v>4.7</v>
      </c>
      <c r="L10" s="3">
        <v>0</v>
      </c>
    </row>
    <row r="11" spans="1:12" x14ac:dyDescent="0.2">
      <c r="A11" s="2" t="s">
        <v>14</v>
      </c>
      <c r="B11" s="2" t="s">
        <v>12</v>
      </c>
      <c r="C11" s="2" t="s">
        <v>17</v>
      </c>
      <c r="D11" s="2">
        <v>5</v>
      </c>
      <c r="E11" s="3">
        <v>19</v>
      </c>
      <c r="F11" s="3">
        <v>8</v>
      </c>
      <c r="G11" s="2">
        <v>0</v>
      </c>
      <c r="H11" s="2">
        <v>0</v>
      </c>
      <c r="I11" s="2">
        <v>4</v>
      </c>
      <c r="J11" s="2">
        <v>9.73</v>
      </c>
      <c r="K11" s="2">
        <v>2.4300000000000002</v>
      </c>
      <c r="L11" s="3">
        <v>118.17</v>
      </c>
    </row>
    <row r="12" spans="1:12" x14ac:dyDescent="0.2">
      <c r="A12" s="2" t="s">
        <v>14</v>
      </c>
      <c r="B12" s="2" t="s">
        <v>12</v>
      </c>
      <c r="C12" s="2" t="s">
        <v>17</v>
      </c>
      <c r="D12" s="2">
        <v>5</v>
      </c>
      <c r="E12" s="3">
        <v>43</v>
      </c>
      <c r="F12" s="3">
        <v>9</v>
      </c>
      <c r="G12" s="2">
        <v>1</v>
      </c>
      <c r="H12" s="2">
        <v>1.75</v>
      </c>
      <c r="I12" s="2">
        <v>5</v>
      </c>
      <c r="J12" s="2">
        <v>16.41</v>
      </c>
      <c r="K12" s="2">
        <v>3.28</v>
      </c>
      <c r="L12" s="3">
        <v>15.16</v>
      </c>
    </row>
    <row r="13" spans="1:12" x14ac:dyDescent="0.2">
      <c r="A13" s="2" t="s">
        <v>14</v>
      </c>
      <c r="B13" s="2" t="s">
        <v>12</v>
      </c>
      <c r="C13" s="2" t="s">
        <v>17</v>
      </c>
      <c r="D13" s="2">
        <v>5</v>
      </c>
      <c r="E13" s="3">
        <v>32</v>
      </c>
      <c r="F13" s="3">
        <v>9</v>
      </c>
      <c r="G13" s="2">
        <v>0</v>
      </c>
      <c r="H13" s="2">
        <v>0</v>
      </c>
      <c r="I13" s="2">
        <v>1</v>
      </c>
      <c r="J13" s="2">
        <v>3.2</v>
      </c>
      <c r="K13" s="2">
        <v>3.2</v>
      </c>
      <c r="L13" s="3">
        <v>16.100000000000001</v>
      </c>
    </row>
    <row r="14" spans="1:12" x14ac:dyDescent="0.2">
      <c r="A14" s="2" t="s">
        <v>14</v>
      </c>
      <c r="B14" s="2" t="s">
        <v>12</v>
      </c>
      <c r="C14" s="2" t="s">
        <v>17</v>
      </c>
      <c r="D14" s="2">
        <v>5</v>
      </c>
      <c r="E14" s="3">
        <v>45</v>
      </c>
      <c r="F14" s="3">
        <v>26</v>
      </c>
      <c r="G14" s="2">
        <v>0</v>
      </c>
      <c r="H14" s="2">
        <v>0</v>
      </c>
      <c r="I14" s="2">
        <v>4</v>
      </c>
      <c r="J14" s="2">
        <v>21.13</v>
      </c>
      <c r="K14" s="2">
        <v>5.28</v>
      </c>
      <c r="L14" s="3">
        <v>0</v>
      </c>
    </row>
    <row r="15" spans="1:12" x14ac:dyDescent="0.2">
      <c r="A15" s="2" t="s">
        <v>14</v>
      </c>
      <c r="B15" s="2" t="s">
        <v>12</v>
      </c>
      <c r="C15" s="2" t="s">
        <v>17</v>
      </c>
      <c r="D15" s="2">
        <v>5</v>
      </c>
      <c r="E15" s="3">
        <v>29</v>
      </c>
      <c r="F15" s="3">
        <v>17</v>
      </c>
      <c r="G15" s="2">
        <v>1</v>
      </c>
      <c r="H15" s="2">
        <v>1.52</v>
      </c>
      <c r="I15" s="2">
        <v>4</v>
      </c>
      <c r="J15" s="2">
        <v>13.14</v>
      </c>
      <c r="K15" s="2">
        <v>3.29</v>
      </c>
      <c r="L15" s="3">
        <v>29.52</v>
      </c>
    </row>
    <row r="16" spans="1:12" x14ac:dyDescent="0.2">
      <c r="A16" s="2" t="s">
        <v>14</v>
      </c>
      <c r="B16" s="2" t="s">
        <v>12</v>
      </c>
      <c r="C16" s="2" t="s">
        <v>17</v>
      </c>
      <c r="D16" s="2">
        <v>5</v>
      </c>
      <c r="E16" s="3">
        <v>26</v>
      </c>
      <c r="F16" s="3">
        <v>2</v>
      </c>
      <c r="G16" s="2">
        <v>1</v>
      </c>
      <c r="H16" s="2">
        <v>0.33</v>
      </c>
      <c r="I16" s="2">
        <v>3</v>
      </c>
      <c r="J16" s="2">
        <v>10.77</v>
      </c>
      <c r="K16" s="2">
        <v>3.59</v>
      </c>
      <c r="L16" s="3">
        <v>47.45</v>
      </c>
    </row>
    <row r="17" spans="1:12" x14ac:dyDescent="0.2">
      <c r="A17" s="2" t="s">
        <v>14</v>
      </c>
      <c r="B17" s="2" t="s">
        <v>12</v>
      </c>
      <c r="C17" s="2" t="s">
        <v>17</v>
      </c>
      <c r="D17" s="2">
        <v>5</v>
      </c>
      <c r="E17" s="3">
        <v>20</v>
      </c>
      <c r="F17" s="3">
        <v>7</v>
      </c>
      <c r="G17" s="2">
        <v>0</v>
      </c>
      <c r="H17" s="2">
        <v>0</v>
      </c>
      <c r="I17" s="2">
        <v>4</v>
      </c>
      <c r="J17" s="2">
        <v>60.99</v>
      </c>
      <c r="K17" s="2">
        <v>15.25</v>
      </c>
      <c r="L17" s="3">
        <v>45</v>
      </c>
    </row>
    <row r="18" spans="1:12" x14ac:dyDescent="0.2">
      <c r="A18" s="2" t="s">
        <v>14</v>
      </c>
      <c r="B18" s="2" t="s">
        <v>12</v>
      </c>
      <c r="C18" s="2" t="s">
        <v>17</v>
      </c>
      <c r="D18" s="2">
        <v>5</v>
      </c>
      <c r="E18" s="3">
        <v>6</v>
      </c>
      <c r="F18" s="3">
        <v>4</v>
      </c>
      <c r="G18" s="2">
        <v>0</v>
      </c>
      <c r="H18" s="2">
        <v>0</v>
      </c>
      <c r="I18" s="2">
        <v>8</v>
      </c>
      <c r="J18" s="2">
        <v>57.61</v>
      </c>
      <c r="K18" s="2">
        <v>7.2</v>
      </c>
      <c r="L18" s="3">
        <v>75.760000000000005</v>
      </c>
    </row>
    <row r="19" spans="1:12" x14ac:dyDescent="0.2">
      <c r="A19" s="2" t="s">
        <v>14</v>
      </c>
      <c r="B19" s="2" t="s">
        <v>12</v>
      </c>
      <c r="C19" s="2" t="s">
        <v>17</v>
      </c>
      <c r="D19" s="2">
        <v>5</v>
      </c>
      <c r="E19" s="3">
        <v>38</v>
      </c>
      <c r="F19" s="3">
        <v>8</v>
      </c>
      <c r="G19" s="2">
        <v>3</v>
      </c>
      <c r="H19" s="2">
        <v>4.83</v>
      </c>
      <c r="I19" s="2">
        <v>3</v>
      </c>
      <c r="J19" s="2">
        <v>28.69</v>
      </c>
      <c r="K19" s="2">
        <v>9.56</v>
      </c>
      <c r="L19" s="3">
        <v>14.77</v>
      </c>
    </row>
    <row r="20" spans="1:12" x14ac:dyDescent="0.2">
      <c r="A20" s="2" t="s">
        <v>14</v>
      </c>
      <c r="B20" s="2" t="s">
        <v>12</v>
      </c>
      <c r="C20" s="2" t="s">
        <v>17</v>
      </c>
      <c r="D20" s="2">
        <v>5</v>
      </c>
      <c r="E20" s="3">
        <v>43</v>
      </c>
      <c r="F20" s="3">
        <v>2</v>
      </c>
      <c r="G20" s="2">
        <v>0</v>
      </c>
      <c r="H20" s="2">
        <v>0</v>
      </c>
      <c r="I20" s="2">
        <v>2</v>
      </c>
      <c r="J20" s="2">
        <v>13.24</v>
      </c>
      <c r="K20" s="2">
        <v>6.62</v>
      </c>
      <c r="L20" s="3">
        <v>125.1</v>
      </c>
    </row>
    <row r="21" spans="1:12" x14ac:dyDescent="0.2">
      <c r="A21" s="2" t="s">
        <v>14</v>
      </c>
      <c r="B21" s="2" t="s">
        <v>12</v>
      </c>
      <c r="C21" s="2" t="s">
        <v>17</v>
      </c>
      <c r="D21" s="2">
        <v>5</v>
      </c>
      <c r="E21" s="3">
        <v>54</v>
      </c>
      <c r="F21" s="3">
        <v>15</v>
      </c>
      <c r="G21" s="2">
        <v>1</v>
      </c>
      <c r="H21" s="2">
        <v>0.68</v>
      </c>
      <c r="I21" s="2">
        <v>1</v>
      </c>
      <c r="J21" s="2">
        <v>5.66</v>
      </c>
      <c r="K21" s="2">
        <v>5.66</v>
      </c>
      <c r="L21" s="3">
        <v>96.32</v>
      </c>
    </row>
    <row r="22" spans="1:12" x14ac:dyDescent="0.2">
      <c r="A22" s="2" t="s">
        <v>14</v>
      </c>
      <c r="B22" s="2" t="s">
        <v>12</v>
      </c>
      <c r="C22" s="2" t="s">
        <v>17</v>
      </c>
      <c r="D22" s="2">
        <v>5</v>
      </c>
      <c r="E22" s="3">
        <v>5</v>
      </c>
      <c r="F22" s="3">
        <v>1</v>
      </c>
      <c r="G22" s="2">
        <v>0</v>
      </c>
      <c r="H22" s="2">
        <v>0</v>
      </c>
      <c r="I22" s="2">
        <v>5</v>
      </c>
      <c r="J22" s="2">
        <v>62.68</v>
      </c>
      <c r="K22" s="2">
        <v>12.54</v>
      </c>
      <c r="L22" s="3">
        <v>36.43</v>
      </c>
    </row>
    <row r="23" spans="1:12" x14ac:dyDescent="0.2">
      <c r="A23" s="2" t="s">
        <v>14</v>
      </c>
      <c r="B23" s="2" t="s">
        <v>12</v>
      </c>
      <c r="C23" s="2" t="s">
        <v>17</v>
      </c>
      <c r="D23" s="2">
        <v>5</v>
      </c>
      <c r="E23" s="3">
        <v>0</v>
      </c>
      <c r="F23" s="3">
        <v>4</v>
      </c>
      <c r="G23" s="2">
        <v>0</v>
      </c>
      <c r="H23" s="2">
        <v>0</v>
      </c>
      <c r="I23" s="2">
        <v>4</v>
      </c>
      <c r="J23" s="2">
        <v>34.06</v>
      </c>
      <c r="K23" s="2">
        <v>8.52</v>
      </c>
      <c r="L23" s="3">
        <v>46.29</v>
      </c>
    </row>
    <row r="24" spans="1:12" x14ac:dyDescent="0.2">
      <c r="A24" s="2" t="s">
        <v>14</v>
      </c>
      <c r="B24" s="2" t="s">
        <v>12</v>
      </c>
      <c r="C24" s="2" t="s">
        <v>17</v>
      </c>
      <c r="D24" s="2">
        <v>5</v>
      </c>
      <c r="E24" s="3">
        <v>16</v>
      </c>
      <c r="F24" s="3">
        <v>7</v>
      </c>
      <c r="G24" s="2">
        <v>1</v>
      </c>
      <c r="H24" s="2">
        <v>3.08</v>
      </c>
      <c r="I24" s="2">
        <v>4</v>
      </c>
      <c r="J24" s="2">
        <v>52.83</v>
      </c>
      <c r="K24" s="2">
        <v>13.21</v>
      </c>
      <c r="L24" s="3">
        <v>0</v>
      </c>
    </row>
    <row r="25" spans="1:12" x14ac:dyDescent="0.2">
      <c r="A25" s="2" t="s">
        <v>14</v>
      </c>
      <c r="B25" s="2" t="s">
        <v>12</v>
      </c>
      <c r="C25" s="2" t="s">
        <v>17</v>
      </c>
      <c r="D25" s="2">
        <v>5</v>
      </c>
      <c r="E25" s="3">
        <v>63</v>
      </c>
      <c r="F25" s="3">
        <v>25</v>
      </c>
      <c r="G25" s="2">
        <v>4</v>
      </c>
      <c r="H25" s="2">
        <v>11.92</v>
      </c>
      <c r="I25" s="2">
        <v>4</v>
      </c>
      <c r="J25" s="2">
        <v>18.52</v>
      </c>
      <c r="K25" s="2">
        <v>4.63</v>
      </c>
      <c r="L25" s="3">
        <v>0</v>
      </c>
    </row>
    <row r="26" spans="1:12" x14ac:dyDescent="0.2">
      <c r="A26" s="2" t="s">
        <v>14</v>
      </c>
      <c r="B26" s="2" t="s">
        <v>12</v>
      </c>
      <c r="C26" s="2" t="s">
        <v>17</v>
      </c>
      <c r="D26" s="2">
        <v>5</v>
      </c>
      <c r="E26" s="3">
        <v>26</v>
      </c>
      <c r="F26" s="3">
        <v>7</v>
      </c>
      <c r="G26" s="2">
        <v>2</v>
      </c>
      <c r="H26" s="2">
        <v>3.73</v>
      </c>
      <c r="I26" s="2">
        <v>1</v>
      </c>
      <c r="J26" s="2">
        <v>6.69</v>
      </c>
      <c r="K26" s="2">
        <v>6.69</v>
      </c>
      <c r="L26" s="3">
        <v>38.31</v>
      </c>
    </row>
    <row r="31" spans="1:12" x14ac:dyDescent="0.2">
      <c r="E31" s="3" t="s">
        <v>4</v>
      </c>
      <c r="F31" s="3" t="s">
        <v>5</v>
      </c>
      <c r="G31" s="2" t="s">
        <v>10</v>
      </c>
      <c r="H31" s="2" t="s">
        <v>11</v>
      </c>
      <c r="I31" s="2" t="s">
        <v>6</v>
      </c>
      <c r="J31" s="2" t="s">
        <v>7</v>
      </c>
      <c r="K31" s="2" t="s">
        <v>8</v>
      </c>
      <c r="L31" s="3" t="s">
        <v>9</v>
      </c>
    </row>
    <row r="32" spans="1:12" x14ac:dyDescent="0.2">
      <c r="D32" s="4" t="s">
        <v>18</v>
      </c>
      <c r="E32">
        <f t="shared" ref="E32:L32" si="0">AVERAGE(E2:E26)</f>
        <v>29</v>
      </c>
      <c r="F32">
        <f t="shared" si="0"/>
        <v>8.92</v>
      </c>
      <c r="G32">
        <f t="shared" si="0"/>
        <v>1.1599999999999999</v>
      </c>
      <c r="H32">
        <f t="shared" si="0"/>
        <v>2.0964</v>
      </c>
      <c r="I32">
        <f t="shared" si="0"/>
        <v>3.76</v>
      </c>
      <c r="J32">
        <f t="shared" si="0"/>
        <v>34.048000000000009</v>
      </c>
      <c r="K32">
        <f t="shared" si="0"/>
        <v>8.4499999999999993</v>
      </c>
      <c r="L32">
        <f t="shared" si="0"/>
        <v>36.678000000000004</v>
      </c>
    </row>
    <row r="33" spans="4:12" x14ac:dyDescent="0.2">
      <c r="D33" s="4" t="s">
        <v>19</v>
      </c>
      <c r="E33">
        <f t="shared" ref="E33:L33" si="1">COUNT(E2:E26)</f>
        <v>25</v>
      </c>
      <c r="F33">
        <f t="shared" si="1"/>
        <v>25</v>
      </c>
      <c r="G33">
        <f t="shared" si="1"/>
        <v>25</v>
      </c>
      <c r="H33">
        <f t="shared" si="1"/>
        <v>25</v>
      </c>
      <c r="I33">
        <f t="shared" si="1"/>
        <v>25</v>
      </c>
      <c r="J33">
        <f t="shared" si="1"/>
        <v>25</v>
      </c>
      <c r="K33">
        <f t="shared" si="1"/>
        <v>25</v>
      </c>
      <c r="L33">
        <f t="shared" si="1"/>
        <v>25</v>
      </c>
    </row>
    <row r="34" spans="4:12" x14ac:dyDescent="0.2">
      <c r="D34" s="4" t="s">
        <v>20</v>
      </c>
      <c r="E34">
        <f t="shared" ref="E34:L34" si="2">STDEV(E2:E26)</f>
        <v>15.790292376436016</v>
      </c>
      <c r="F34">
        <f t="shared" si="2"/>
        <v>6.933733962784169</v>
      </c>
      <c r="G34">
        <f t="shared" si="2"/>
        <v>1.4910846164230027</v>
      </c>
      <c r="H34">
        <f t="shared" si="2"/>
        <v>3.3900674526229317</v>
      </c>
      <c r="I34">
        <f t="shared" si="2"/>
        <v>1.6653327995729061</v>
      </c>
      <c r="J34">
        <f t="shared" si="2"/>
        <v>25.085266924365506</v>
      </c>
      <c r="K34">
        <f t="shared" si="2"/>
        <v>4.3104736785338718</v>
      </c>
      <c r="L34">
        <f t="shared" si="2"/>
        <v>36.63802168967824</v>
      </c>
    </row>
    <row r="35" spans="4:12" x14ac:dyDescent="0.2">
      <c r="D35" s="5" t="s">
        <v>21</v>
      </c>
      <c r="E35">
        <f>E34/SQRT(E33)</f>
        <v>3.158058475287203</v>
      </c>
      <c r="F35">
        <f t="shared" ref="F35:L35" si="3">F34/SQRT(F33)</f>
        <v>1.3867467925568338</v>
      </c>
      <c r="G35">
        <f t="shared" si="3"/>
        <v>0.29821692328460053</v>
      </c>
      <c r="H35">
        <f t="shared" si="3"/>
        <v>0.67801349052458637</v>
      </c>
      <c r="I35">
        <f t="shared" si="3"/>
        <v>0.33306655991458123</v>
      </c>
      <c r="J35">
        <f t="shared" si="3"/>
        <v>5.0170533848731012</v>
      </c>
      <c r="K35">
        <f t="shared" si="3"/>
        <v>0.86209473570677431</v>
      </c>
      <c r="L35">
        <f t="shared" si="3"/>
        <v>7.3276043379356484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7B75-22DD-3B43-BA41-CE881CDAA097}">
  <dimension ref="A1:L25"/>
  <sheetViews>
    <sheetView tabSelected="1" workbookViewId="0">
      <selection activeCell="H16" sqref="H16"/>
    </sheetView>
  </sheetViews>
  <sheetFormatPr baseColWidth="10" defaultRowHeight="15" x14ac:dyDescent="0.2"/>
  <cols>
    <col min="8" max="8" width="18.1640625" customWidth="1"/>
    <col min="9" max="9" width="20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6</v>
      </c>
      <c r="J1" s="2" t="s">
        <v>7</v>
      </c>
      <c r="K1" s="6" t="s">
        <v>8</v>
      </c>
      <c r="L1" s="2" t="s">
        <v>9</v>
      </c>
    </row>
    <row r="2" spans="1:12" x14ac:dyDescent="0.2">
      <c r="A2" s="2" t="s">
        <v>15</v>
      </c>
      <c r="B2" s="2" t="s">
        <v>13</v>
      </c>
      <c r="C2" s="2" t="s">
        <v>17</v>
      </c>
      <c r="D2" s="2">
        <v>8</v>
      </c>
      <c r="E2" s="2">
        <v>12</v>
      </c>
      <c r="F2" s="2">
        <v>4</v>
      </c>
      <c r="G2" s="2">
        <v>0</v>
      </c>
      <c r="H2" s="2">
        <v>0</v>
      </c>
      <c r="I2" s="2">
        <v>7</v>
      </c>
      <c r="J2" s="2">
        <v>44.45</v>
      </c>
      <c r="K2" s="6">
        <v>6.35</v>
      </c>
      <c r="L2" s="2">
        <v>28.47</v>
      </c>
    </row>
    <row r="3" spans="1:12" x14ac:dyDescent="0.2">
      <c r="A3" s="2" t="s">
        <v>15</v>
      </c>
      <c r="B3" s="2" t="s">
        <v>13</v>
      </c>
      <c r="C3" s="2" t="s">
        <v>17</v>
      </c>
      <c r="D3" s="2">
        <v>8</v>
      </c>
      <c r="E3" s="2">
        <v>6</v>
      </c>
      <c r="F3" s="2">
        <v>3</v>
      </c>
      <c r="G3" s="2">
        <v>0</v>
      </c>
      <c r="H3" s="2">
        <v>0</v>
      </c>
      <c r="I3" s="2">
        <v>1</v>
      </c>
      <c r="J3" s="2">
        <v>10.119999999999999</v>
      </c>
      <c r="K3" s="6">
        <v>10.119999999999999</v>
      </c>
      <c r="L3" s="2">
        <v>135.62</v>
      </c>
    </row>
    <row r="4" spans="1:12" x14ac:dyDescent="0.2">
      <c r="A4" s="2" t="s">
        <v>15</v>
      </c>
      <c r="B4" s="2" t="s">
        <v>13</v>
      </c>
      <c r="C4" s="2" t="s">
        <v>17</v>
      </c>
      <c r="D4" s="2">
        <v>8</v>
      </c>
      <c r="E4" s="2">
        <v>22</v>
      </c>
      <c r="F4" s="2">
        <v>9</v>
      </c>
      <c r="G4" s="2">
        <v>2</v>
      </c>
      <c r="H4" s="2">
        <v>17.8</v>
      </c>
      <c r="I4" s="2">
        <v>3</v>
      </c>
      <c r="J4" s="2">
        <v>10.72</v>
      </c>
      <c r="K4" s="6">
        <v>3.57</v>
      </c>
      <c r="L4" s="2">
        <v>94.04</v>
      </c>
    </row>
    <row r="5" spans="1:12" x14ac:dyDescent="0.2">
      <c r="A5" s="2" t="s">
        <v>15</v>
      </c>
      <c r="B5" s="2" t="s">
        <v>13</v>
      </c>
      <c r="C5" s="2" t="s">
        <v>17</v>
      </c>
      <c r="D5" s="2">
        <v>8</v>
      </c>
      <c r="E5" s="2">
        <v>16</v>
      </c>
      <c r="F5" s="2">
        <v>3</v>
      </c>
      <c r="G5" s="2">
        <v>0</v>
      </c>
      <c r="H5" s="2">
        <v>0</v>
      </c>
      <c r="I5" s="2">
        <v>2</v>
      </c>
      <c r="J5" s="2">
        <v>14.42</v>
      </c>
      <c r="K5" s="6">
        <v>7.21</v>
      </c>
      <c r="L5" s="2">
        <v>168.58</v>
      </c>
    </row>
    <row r="6" spans="1:12" x14ac:dyDescent="0.2">
      <c r="A6" s="2" t="s">
        <v>15</v>
      </c>
      <c r="B6" s="2" t="s">
        <v>13</v>
      </c>
      <c r="C6" s="2" t="s">
        <v>17</v>
      </c>
      <c r="D6" s="2">
        <v>8</v>
      </c>
      <c r="E6" s="2">
        <v>19</v>
      </c>
      <c r="F6" s="2">
        <v>4</v>
      </c>
      <c r="G6" s="2">
        <v>0</v>
      </c>
      <c r="H6" s="2">
        <v>0</v>
      </c>
      <c r="I6" s="2">
        <v>4</v>
      </c>
      <c r="J6" s="2">
        <v>22.07</v>
      </c>
      <c r="K6" s="6">
        <v>5.52</v>
      </c>
      <c r="L6" s="2">
        <v>52.44</v>
      </c>
    </row>
    <row r="7" spans="1:12" x14ac:dyDescent="0.2">
      <c r="A7" s="2" t="s">
        <v>15</v>
      </c>
      <c r="B7" s="2" t="s">
        <v>13</v>
      </c>
      <c r="C7" s="2" t="s">
        <v>17</v>
      </c>
      <c r="D7" s="2">
        <v>8</v>
      </c>
      <c r="E7" s="2">
        <v>22</v>
      </c>
      <c r="F7" s="2">
        <v>11</v>
      </c>
      <c r="G7" s="2">
        <v>0</v>
      </c>
      <c r="H7" s="2">
        <v>0</v>
      </c>
      <c r="I7" s="2">
        <v>2</v>
      </c>
      <c r="J7" s="2">
        <v>4.7300000000000004</v>
      </c>
      <c r="K7" s="6">
        <v>2.37</v>
      </c>
      <c r="L7" s="2">
        <v>119.47</v>
      </c>
    </row>
    <row r="8" spans="1:12" x14ac:dyDescent="0.2">
      <c r="A8" s="2" t="s">
        <v>15</v>
      </c>
      <c r="B8" s="2" t="s">
        <v>13</v>
      </c>
      <c r="C8" s="2" t="s">
        <v>17</v>
      </c>
      <c r="D8" s="2">
        <v>8</v>
      </c>
      <c r="E8" s="2">
        <v>10</v>
      </c>
      <c r="F8" s="2">
        <v>1</v>
      </c>
      <c r="G8" s="2">
        <v>0</v>
      </c>
      <c r="H8" s="2">
        <v>0</v>
      </c>
      <c r="I8" s="2">
        <v>1</v>
      </c>
      <c r="J8" s="2">
        <v>4.7300000000000004</v>
      </c>
      <c r="K8" s="6">
        <v>4.7300000000000004</v>
      </c>
      <c r="L8" s="2">
        <v>174.47</v>
      </c>
    </row>
    <row r="9" spans="1:12" x14ac:dyDescent="0.2">
      <c r="A9" s="2" t="s">
        <v>15</v>
      </c>
      <c r="B9" s="2" t="s">
        <v>13</v>
      </c>
      <c r="C9" s="2" t="s">
        <v>17</v>
      </c>
      <c r="D9" s="2">
        <v>8</v>
      </c>
      <c r="E9" s="2">
        <v>42</v>
      </c>
      <c r="F9" s="2">
        <v>12</v>
      </c>
      <c r="G9" s="2">
        <v>0</v>
      </c>
      <c r="H9" s="2">
        <v>0</v>
      </c>
      <c r="I9" s="2">
        <v>3</v>
      </c>
      <c r="J9" s="2">
        <v>27.55</v>
      </c>
      <c r="K9" s="6">
        <v>9.18</v>
      </c>
      <c r="L9" s="2">
        <v>38.08</v>
      </c>
    </row>
    <row r="10" spans="1:12" x14ac:dyDescent="0.2">
      <c r="A10" s="2" t="s">
        <v>15</v>
      </c>
      <c r="B10" s="2" t="s">
        <v>13</v>
      </c>
      <c r="C10" s="2" t="s">
        <v>17</v>
      </c>
      <c r="D10" s="2">
        <v>8</v>
      </c>
      <c r="E10" s="2">
        <v>20</v>
      </c>
      <c r="F10" s="2">
        <v>11</v>
      </c>
      <c r="G10" s="2">
        <v>3</v>
      </c>
      <c r="H10" s="2">
        <v>6.11</v>
      </c>
      <c r="I10" s="2">
        <v>1</v>
      </c>
      <c r="J10" s="2">
        <v>6.19</v>
      </c>
      <c r="K10" s="6">
        <v>6.19</v>
      </c>
      <c r="L10" s="2">
        <v>58.21</v>
      </c>
    </row>
    <row r="11" spans="1:12" x14ac:dyDescent="0.2">
      <c r="A11" s="2" t="s">
        <v>15</v>
      </c>
      <c r="B11" s="2" t="s">
        <v>13</v>
      </c>
      <c r="C11" s="2" t="s">
        <v>17</v>
      </c>
      <c r="D11" s="2">
        <v>8</v>
      </c>
      <c r="E11" s="2">
        <v>31</v>
      </c>
      <c r="F11" s="2">
        <v>9</v>
      </c>
      <c r="G11" s="2">
        <v>2</v>
      </c>
      <c r="H11" s="2">
        <v>0.35</v>
      </c>
      <c r="I11" s="2">
        <v>4</v>
      </c>
      <c r="J11" s="2">
        <v>24.05</v>
      </c>
      <c r="K11" s="6">
        <v>6.01</v>
      </c>
      <c r="L11" s="2">
        <v>94.99</v>
      </c>
    </row>
    <row r="12" spans="1:12" x14ac:dyDescent="0.2">
      <c r="A12" s="2" t="s">
        <v>15</v>
      </c>
      <c r="B12" s="2" t="s">
        <v>13</v>
      </c>
      <c r="C12" s="2" t="s">
        <v>17</v>
      </c>
      <c r="D12" s="2">
        <v>8</v>
      </c>
      <c r="E12" s="2">
        <v>36</v>
      </c>
      <c r="F12" s="2">
        <v>2</v>
      </c>
      <c r="G12" s="2">
        <v>0</v>
      </c>
      <c r="H12" s="2">
        <v>0</v>
      </c>
      <c r="I12" s="2">
        <v>5</v>
      </c>
      <c r="J12" s="2">
        <v>71.510000000000005</v>
      </c>
      <c r="K12" s="6">
        <v>14.3</v>
      </c>
      <c r="L12" s="2">
        <v>38.24</v>
      </c>
    </row>
    <row r="13" spans="1:12" x14ac:dyDescent="0.2">
      <c r="A13" s="2" t="s">
        <v>15</v>
      </c>
      <c r="B13" s="2" t="s">
        <v>13</v>
      </c>
      <c r="C13" s="2" t="s">
        <v>17</v>
      </c>
      <c r="D13" s="2">
        <v>8</v>
      </c>
      <c r="E13" s="2">
        <v>18</v>
      </c>
      <c r="F13" s="2">
        <v>3</v>
      </c>
      <c r="G13" s="2">
        <v>0</v>
      </c>
      <c r="H13" s="2">
        <v>0</v>
      </c>
      <c r="I13" s="2">
        <v>2</v>
      </c>
      <c r="J13" s="2">
        <v>41.61</v>
      </c>
      <c r="K13" s="6">
        <v>20.8</v>
      </c>
      <c r="L13" s="2">
        <v>42.29</v>
      </c>
    </row>
    <row r="14" spans="1:12" x14ac:dyDescent="0.2">
      <c r="A14" s="2" t="s">
        <v>15</v>
      </c>
      <c r="B14" s="2" t="s">
        <v>13</v>
      </c>
      <c r="C14" s="2" t="s">
        <v>17</v>
      </c>
      <c r="D14" s="2">
        <v>8</v>
      </c>
      <c r="E14" s="2">
        <v>40</v>
      </c>
      <c r="F14" s="2">
        <v>7</v>
      </c>
      <c r="G14" s="2">
        <v>0</v>
      </c>
      <c r="H14" s="2">
        <v>0</v>
      </c>
      <c r="I14" s="2">
        <v>3</v>
      </c>
      <c r="J14" s="2">
        <v>46.31</v>
      </c>
      <c r="K14" s="6">
        <v>15.44</v>
      </c>
      <c r="L14" s="2">
        <v>43.97</v>
      </c>
    </row>
    <row r="15" spans="1:12" x14ac:dyDescent="0.2">
      <c r="A15" s="2" t="s">
        <v>15</v>
      </c>
      <c r="B15" s="2" t="s">
        <v>13</v>
      </c>
      <c r="C15" s="2" t="s">
        <v>17</v>
      </c>
      <c r="D15" s="2">
        <v>8</v>
      </c>
      <c r="E15" s="2">
        <v>25</v>
      </c>
      <c r="F15" s="2">
        <v>6</v>
      </c>
      <c r="G15" s="2">
        <v>0</v>
      </c>
      <c r="H15" s="2">
        <v>0</v>
      </c>
      <c r="I15" s="2">
        <v>2</v>
      </c>
      <c r="J15" s="2">
        <v>10.119999999999999</v>
      </c>
      <c r="K15" s="6">
        <v>5.0599999999999996</v>
      </c>
      <c r="L15" s="2">
        <v>27.28</v>
      </c>
    </row>
    <row r="16" spans="1:12" x14ac:dyDescent="0.2">
      <c r="A16" s="2" t="s">
        <v>15</v>
      </c>
      <c r="B16" s="2" t="s">
        <v>13</v>
      </c>
      <c r="C16" s="2" t="s">
        <v>17</v>
      </c>
      <c r="D16" s="2">
        <v>8</v>
      </c>
      <c r="E16" s="2">
        <v>30</v>
      </c>
      <c r="F16" s="2">
        <v>12</v>
      </c>
      <c r="G16" s="2">
        <v>5</v>
      </c>
      <c r="H16" s="2">
        <v>10.06</v>
      </c>
      <c r="I16" s="2">
        <v>6</v>
      </c>
      <c r="J16" s="2">
        <v>85.94</v>
      </c>
      <c r="K16" s="6">
        <v>14.32</v>
      </c>
      <c r="L16" s="2">
        <v>0</v>
      </c>
    </row>
    <row r="17" spans="1:12" x14ac:dyDescent="0.2">
      <c r="A17" s="2" t="s">
        <v>15</v>
      </c>
      <c r="B17" s="2" t="s">
        <v>13</v>
      </c>
      <c r="C17" s="2" t="s">
        <v>17</v>
      </c>
      <c r="D17" s="2">
        <v>8</v>
      </c>
      <c r="E17" s="2">
        <v>58</v>
      </c>
      <c r="F17" s="2">
        <v>17</v>
      </c>
      <c r="G17" s="2">
        <v>5</v>
      </c>
      <c r="H17" s="2">
        <v>10.29</v>
      </c>
      <c r="I17" s="2">
        <v>3</v>
      </c>
      <c r="J17" s="2">
        <v>14.69</v>
      </c>
      <c r="K17" s="6">
        <v>4.9000000000000004</v>
      </c>
      <c r="L17" s="2">
        <v>0</v>
      </c>
    </row>
    <row r="18" spans="1:12" x14ac:dyDescent="0.2">
      <c r="A18" s="2" t="s">
        <v>15</v>
      </c>
      <c r="B18" s="2" t="s">
        <v>13</v>
      </c>
      <c r="C18" s="2" t="s">
        <v>17</v>
      </c>
      <c r="D18" s="2">
        <v>8</v>
      </c>
      <c r="E18" s="2">
        <v>28</v>
      </c>
      <c r="F18" s="2">
        <v>10</v>
      </c>
      <c r="G18" s="2">
        <v>6</v>
      </c>
      <c r="H18" s="2">
        <v>8</v>
      </c>
      <c r="I18" s="2">
        <v>2</v>
      </c>
      <c r="J18" s="2">
        <v>35.08</v>
      </c>
      <c r="K18" s="6">
        <v>17.54</v>
      </c>
      <c r="L18" s="2">
        <v>0</v>
      </c>
    </row>
    <row r="19" spans="1:12" x14ac:dyDescent="0.2">
      <c r="A19" s="2" t="s">
        <v>15</v>
      </c>
      <c r="B19" s="2" t="s">
        <v>13</v>
      </c>
      <c r="C19" s="2" t="s">
        <v>17</v>
      </c>
      <c r="D19" s="2">
        <v>8</v>
      </c>
      <c r="E19" s="2">
        <v>24</v>
      </c>
      <c r="F19" s="2">
        <v>3</v>
      </c>
      <c r="G19" s="2">
        <v>2</v>
      </c>
      <c r="H19" s="2">
        <v>3.19</v>
      </c>
      <c r="I19" s="2">
        <v>0</v>
      </c>
      <c r="J19" s="2">
        <v>0</v>
      </c>
      <c r="K19" s="6">
        <v>0</v>
      </c>
      <c r="L19" s="2">
        <v>34.81</v>
      </c>
    </row>
    <row r="20" spans="1:12" x14ac:dyDescent="0.2">
      <c r="A20" s="2" t="s">
        <v>15</v>
      </c>
      <c r="B20" s="2" t="s">
        <v>13</v>
      </c>
      <c r="C20" s="2" t="s">
        <v>17</v>
      </c>
      <c r="D20" s="2">
        <v>8</v>
      </c>
      <c r="E20" s="2">
        <v>13</v>
      </c>
      <c r="F20" s="2">
        <v>4</v>
      </c>
      <c r="G20" s="2">
        <v>0</v>
      </c>
      <c r="H20" s="2">
        <v>0</v>
      </c>
      <c r="I20" s="2">
        <v>2</v>
      </c>
      <c r="J20" s="2">
        <v>62.49</v>
      </c>
      <c r="K20" s="6">
        <v>31.25</v>
      </c>
      <c r="L20" s="2">
        <v>33.869999999999997</v>
      </c>
    </row>
    <row r="21" spans="1:12" x14ac:dyDescent="0.2">
      <c r="E21" s="3" t="s">
        <v>4</v>
      </c>
      <c r="F21" s="3" t="s">
        <v>5</v>
      </c>
      <c r="G21" s="2" t="s">
        <v>10</v>
      </c>
      <c r="H21" s="2" t="s">
        <v>11</v>
      </c>
      <c r="I21" s="2" t="s">
        <v>6</v>
      </c>
      <c r="J21" s="2" t="s">
        <v>7</v>
      </c>
      <c r="K21" s="6"/>
      <c r="L21" s="3" t="s">
        <v>9</v>
      </c>
    </row>
    <row r="22" spans="1:12" x14ac:dyDescent="0.2">
      <c r="D22" s="4" t="s">
        <v>18</v>
      </c>
      <c r="E22">
        <f>AVERAGE(E2:E20)</f>
        <v>24.842105263157894</v>
      </c>
      <c r="F22">
        <f t="shared" ref="F22:L22" si="0">AVERAGE(F2:F20)</f>
        <v>6.8947368421052628</v>
      </c>
      <c r="G22">
        <f t="shared" si="0"/>
        <v>1.3157894736842106</v>
      </c>
      <c r="H22">
        <f t="shared" si="0"/>
        <v>2.9368421052631577</v>
      </c>
      <c r="I22">
        <f t="shared" si="0"/>
        <v>2.7894736842105261</v>
      </c>
      <c r="J22">
        <f t="shared" si="0"/>
        <v>28.251578947368419</v>
      </c>
      <c r="L22">
        <f t="shared" si="0"/>
        <v>62.359473684210521</v>
      </c>
    </row>
    <row r="23" spans="1:12" x14ac:dyDescent="0.2">
      <c r="D23" s="4" t="s">
        <v>19</v>
      </c>
      <c r="E23">
        <f>COUNT(E2:E20)</f>
        <v>19</v>
      </c>
      <c r="F23">
        <f t="shared" ref="F23:L23" si="1">COUNT(F2:F20)</f>
        <v>19</v>
      </c>
      <c r="G23">
        <f t="shared" si="1"/>
        <v>19</v>
      </c>
      <c r="H23">
        <f t="shared" si="1"/>
        <v>19</v>
      </c>
      <c r="I23">
        <f t="shared" si="1"/>
        <v>19</v>
      </c>
      <c r="J23">
        <f t="shared" si="1"/>
        <v>19</v>
      </c>
      <c r="L23">
        <f t="shared" si="1"/>
        <v>19</v>
      </c>
    </row>
    <row r="24" spans="1:12" x14ac:dyDescent="0.2">
      <c r="D24" s="4" t="s">
        <v>20</v>
      </c>
      <c r="E24">
        <f>STDEV(E2:E20)</f>
        <v>12.69848266480307</v>
      </c>
      <c r="F24">
        <f t="shared" ref="F24:L24" si="2">STDEV(F2:F20)</f>
        <v>4.4208437711734181</v>
      </c>
      <c r="G24">
        <f t="shared" si="2"/>
        <v>2.0290290940071523</v>
      </c>
      <c r="H24">
        <f t="shared" si="2"/>
        <v>5.1190418511362266</v>
      </c>
      <c r="I24">
        <f t="shared" si="2"/>
        <v>1.7819760370137496</v>
      </c>
      <c r="J24">
        <f t="shared" si="2"/>
        <v>24.69022507056361</v>
      </c>
      <c r="L24">
        <f t="shared" si="2"/>
        <v>53.847680283646618</v>
      </c>
    </row>
    <row r="25" spans="1:12" x14ac:dyDescent="0.2">
      <c r="D25" s="5" t="s">
        <v>21</v>
      </c>
      <c r="E25">
        <f>E24/SQRT(E23)</f>
        <v>2.9132317195884028</v>
      </c>
      <c r="F25">
        <f t="shared" ref="F25:L25" si="3">F24/SQRT(F23)</f>
        <v>1.0142111180908515</v>
      </c>
      <c r="G25">
        <f t="shared" si="3"/>
        <v>0.46549119864637184</v>
      </c>
      <c r="H25">
        <f t="shared" si="3"/>
        <v>1.1743887429925364</v>
      </c>
      <c r="I25">
        <f t="shared" si="3"/>
        <v>0.40881334027126465</v>
      </c>
      <c r="J25">
        <f t="shared" si="3"/>
        <v>5.6643261039926927</v>
      </c>
      <c r="L25">
        <f t="shared" si="3"/>
        <v>12.353505089500167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9419-9171-9549-8D43-CC506737495E}">
  <dimension ref="A1:L24"/>
  <sheetViews>
    <sheetView workbookViewId="0">
      <selection activeCell="D20" sqref="D20"/>
    </sheetView>
  </sheetViews>
  <sheetFormatPr baseColWidth="10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6</v>
      </c>
      <c r="J1" s="2" t="s">
        <v>7</v>
      </c>
      <c r="K1" s="6" t="s">
        <v>8</v>
      </c>
      <c r="L1" s="2" t="s">
        <v>9</v>
      </c>
    </row>
    <row r="2" spans="1:12" x14ac:dyDescent="0.2">
      <c r="A2" s="2" t="s">
        <v>15</v>
      </c>
      <c r="B2" s="2" t="s">
        <v>12</v>
      </c>
      <c r="C2" s="2" t="s">
        <v>17</v>
      </c>
      <c r="D2" s="2">
        <v>7</v>
      </c>
      <c r="E2" s="2">
        <v>15</v>
      </c>
      <c r="F2" s="2">
        <v>5</v>
      </c>
      <c r="G2" s="2">
        <v>1</v>
      </c>
      <c r="H2" s="2">
        <v>0.81</v>
      </c>
      <c r="I2" s="2">
        <v>6</v>
      </c>
      <c r="J2" s="2">
        <v>48.02</v>
      </c>
      <c r="K2" s="6">
        <v>8</v>
      </c>
      <c r="L2" s="2">
        <v>77.290000000000006</v>
      </c>
    </row>
    <row r="3" spans="1:12" x14ac:dyDescent="0.2">
      <c r="A3" s="2" t="s">
        <v>15</v>
      </c>
      <c r="B3" s="2" t="s">
        <v>12</v>
      </c>
      <c r="C3" s="2" t="s">
        <v>17</v>
      </c>
      <c r="D3" s="2">
        <v>7</v>
      </c>
      <c r="E3" s="2">
        <v>11</v>
      </c>
      <c r="F3" s="2">
        <v>3</v>
      </c>
      <c r="G3" s="2">
        <v>0</v>
      </c>
      <c r="H3" s="2">
        <v>0</v>
      </c>
      <c r="I3" s="2">
        <v>7</v>
      </c>
      <c r="J3" s="2">
        <v>62.73</v>
      </c>
      <c r="K3" s="6">
        <v>8.9600000000000009</v>
      </c>
      <c r="L3" s="2">
        <v>62.73</v>
      </c>
    </row>
    <row r="4" spans="1:12" x14ac:dyDescent="0.2">
      <c r="A4" s="2" t="s">
        <v>15</v>
      </c>
      <c r="B4" s="2" t="s">
        <v>12</v>
      </c>
      <c r="C4" s="2" t="s">
        <v>17</v>
      </c>
      <c r="D4" s="2">
        <v>7</v>
      </c>
      <c r="E4" s="2">
        <v>18</v>
      </c>
      <c r="F4" s="2">
        <v>9</v>
      </c>
      <c r="G4" s="2">
        <v>1</v>
      </c>
      <c r="H4" s="2">
        <v>0.2</v>
      </c>
      <c r="I4" s="2">
        <v>3</v>
      </c>
      <c r="J4" s="2">
        <v>27.08</v>
      </c>
      <c r="K4" s="6">
        <v>9.0299999999999994</v>
      </c>
      <c r="L4" s="2">
        <v>0</v>
      </c>
    </row>
    <row r="5" spans="1:12" x14ac:dyDescent="0.2">
      <c r="A5" s="2" t="s">
        <v>15</v>
      </c>
      <c r="B5" s="2" t="s">
        <v>12</v>
      </c>
      <c r="C5" s="2" t="s">
        <v>17</v>
      </c>
      <c r="D5" s="2">
        <v>7</v>
      </c>
      <c r="E5" s="2">
        <v>4</v>
      </c>
      <c r="F5" s="2">
        <v>2</v>
      </c>
      <c r="G5" s="2">
        <v>0</v>
      </c>
      <c r="H5" s="2">
        <v>0</v>
      </c>
      <c r="I5" s="2">
        <v>1</v>
      </c>
      <c r="J5" s="2">
        <v>3.79</v>
      </c>
      <c r="K5" s="6">
        <v>3.79</v>
      </c>
      <c r="L5" s="2">
        <v>182.65</v>
      </c>
    </row>
    <row r="6" spans="1:12" x14ac:dyDescent="0.2">
      <c r="A6" s="2" t="s">
        <v>15</v>
      </c>
      <c r="B6" s="2" t="s">
        <v>12</v>
      </c>
      <c r="C6" s="2" t="s">
        <v>17</v>
      </c>
      <c r="D6" s="2">
        <v>7</v>
      </c>
      <c r="E6" s="2">
        <v>19</v>
      </c>
      <c r="F6" s="2">
        <v>1</v>
      </c>
      <c r="G6" s="2">
        <v>0</v>
      </c>
      <c r="H6" s="2">
        <v>0</v>
      </c>
      <c r="I6" s="2">
        <v>2</v>
      </c>
      <c r="J6" s="2">
        <v>14.15</v>
      </c>
      <c r="K6" s="6">
        <v>7.08</v>
      </c>
      <c r="L6" s="2">
        <v>82.76</v>
      </c>
    </row>
    <row r="7" spans="1:12" x14ac:dyDescent="0.2">
      <c r="A7" s="2" t="s">
        <v>15</v>
      </c>
      <c r="B7" s="2" t="s">
        <v>12</v>
      </c>
      <c r="C7" s="2" t="s">
        <v>17</v>
      </c>
      <c r="D7" s="2">
        <v>7</v>
      </c>
      <c r="E7" s="2">
        <v>28</v>
      </c>
      <c r="F7" s="2">
        <v>6</v>
      </c>
      <c r="G7" s="2">
        <v>1</v>
      </c>
      <c r="H7" s="2">
        <v>0.86</v>
      </c>
      <c r="I7" s="2">
        <v>4</v>
      </c>
      <c r="J7" s="2">
        <v>33.01</v>
      </c>
      <c r="K7" s="6">
        <v>8.25</v>
      </c>
      <c r="L7" s="2">
        <v>19.7</v>
      </c>
    </row>
    <row r="8" spans="1:12" x14ac:dyDescent="0.2">
      <c r="A8" s="2" t="s">
        <v>15</v>
      </c>
      <c r="B8" s="2" t="s">
        <v>12</v>
      </c>
      <c r="C8" s="2" t="s">
        <v>17</v>
      </c>
      <c r="D8" s="2">
        <v>7</v>
      </c>
      <c r="E8" s="2">
        <v>62</v>
      </c>
      <c r="F8" s="2">
        <v>12</v>
      </c>
      <c r="G8" s="2">
        <v>10</v>
      </c>
      <c r="H8" s="2">
        <v>9.3699999999999992</v>
      </c>
      <c r="I8" s="2">
        <v>1</v>
      </c>
      <c r="J8" s="2">
        <v>3.37</v>
      </c>
      <c r="K8" s="6">
        <v>3.37</v>
      </c>
      <c r="L8" s="2">
        <v>95.48</v>
      </c>
    </row>
    <row r="9" spans="1:12" x14ac:dyDescent="0.2">
      <c r="A9" s="2" t="s">
        <v>15</v>
      </c>
      <c r="B9" s="2" t="s">
        <v>12</v>
      </c>
      <c r="C9" s="2" t="s">
        <v>17</v>
      </c>
      <c r="D9" s="2">
        <v>7</v>
      </c>
      <c r="E9" s="2">
        <v>22</v>
      </c>
      <c r="F9" s="2">
        <v>2</v>
      </c>
      <c r="G9" s="2">
        <v>0</v>
      </c>
      <c r="H9" s="2">
        <v>0</v>
      </c>
      <c r="I9" s="2">
        <v>3</v>
      </c>
      <c r="J9" s="2">
        <v>19.510000000000002</v>
      </c>
      <c r="K9" s="6">
        <v>6.5</v>
      </c>
      <c r="L9" s="2">
        <v>52.14</v>
      </c>
    </row>
    <row r="10" spans="1:12" x14ac:dyDescent="0.2">
      <c r="A10" s="2" t="s">
        <v>15</v>
      </c>
      <c r="B10" s="2" t="s">
        <v>12</v>
      </c>
      <c r="C10" s="2" t="s">
        <v>17</v>
      </c>
      <c r="D10" s="2">
        <v>7</v>
      </c>
      <c r="E10" s="2">
        <v>32</v>
      </c>
      <c r="F10" s="2">
        <v>2</v>
      </c>
      <c r="G10" s="2">
        <v>1</v>
      </c>
      <c r="H10" s="2">
        <v>1.28</v>
      </c>
      <c r="I10" s="2">
        <v>1</v>
      </c>
      <c r="J10" s="2">
        <v>3.09</v>
      </c>
      <c r="K10" s="6">
        <v>3.09</v>
      </c>
      <c r="L10" s="2">
        <v>162.38</v>
      </c>
    </row>
    <row r="11" spans="1:12" x14ac:dyDescent="0.2">
      <c r="A11" s="2" t="s">
        <v>15</v>
      </c>
      <c r="B11" s="2" t="s">
        <v>12</v>
      </c>
      <c r="C11" s="2" t="s">
        <v>17</v>
      </c>
      <c r="D11" s="2">
        <v>7</v>
      </c>
      <c r="E11" s="2">
        <v>7</v>
      </c>
      <c r="F11" s="2">
        <v>1</v>
      </c>
      <c r="G11" s="2">
        <v>0</v>
      </c>
      <c r="H11" s="2">
        <v>0</v>
      </c>
      <c r="I11" s="2">
        <v>4</v>
      </c>
      <c r="J11" s="2">
        <v>19.32</v>
      </c>
      <c r="K11" s="6">
        <v>4.83</v>
      </c>
      <c r="L11" s="2">
        <v>109.44</v>
      </c>
    </row>
    <row r="12" spans="1:12" x14ac:dyDescent="0.2">
      <c r="A12" s="2" t="s">
        <v>15</v>
      </c>
      <c r="B12" s="2" t="s">
        <v>12</v>
      </c>
      <c r="C12" s="2" t="s">
        <v>17</v>
      </c>
      <c r="D12" s="2">
        <v>7</v>
      </c>
      <c r="E12" s="2">
        <v>41</v>
      </c>
      <c r="F12" s="2">
        <v>6</v>
      </c>
      <c r="G12" s="2">
        <v>0</v>
      </c>
      <c r="H12" s="2">
        <v>0</v>
      </c>
      <c r="I12" s="2">
        <v>5</v>
      </c>
      <c r="J12" s="2">
        <v>24.36</v>
      </c>
      <c r="K12" s="6">
        <v>4.87</v>
      </c>
      <c r="L12" s="2">
        <v>78.11</v>
      </c>
    </row>
    <row r="13" spans="1:12" x14ac:dyDescent="0.2">
      <c r="A13" s="2" t="s">
        <v>15</v>
      </c>
      <c r="B13" s="2" t="s">
        <v>12</v>
      </c>
      <c r="C13" s="2" t="s">
        <v>17</v>
      </c>
      <c r="D13" s="2">
        <v>7</v>
      </c>
      <c r="E13" s="2">
        <v>21</v>
      </c>
      <c r="F13" s="2">
        <v>2</v>
      </c>
      <c r="G13" s="2">
        <v>1</v>
      </c>
      <c r="H13" s="2">
        <v>1.27</v>
      </c>
      <c r="I13" s="2">
        <v>3</v>
      </c>
      <c r="J13" s="2">
        <v>21.67</v>
      </c>
      <c r="K13" s="6">
        <v>7.22</v>
      </c>
      <c r="L13" s="2">
        <v>20.100000000000001</v>
      </c>
    </row>
    <row r="14" spans="1:12" x14ac:dyDescent="0.2">
      <c r="A14" s="2" t="s">
        <v>15</v>
      </c>
      <c r="B14" s="2" t="s">
        <v>12</v>
      </c>
      <c r="C14" s="2" t="s">
        <v>17</v>
      </c>
      <c r="D14" s="2">
        <v>7</v>
      </c>
      <c r="E14" s="2">
        <v>24</v>
      </c>
      <c r="F14" s="2">
        <v>4</v>
      </c>
      <c r="G14" s="2">
        <v>0</v>
      </c>
      <c r="H14" s="2">
        <v>0</v>
      </c>
      <c r="I14" s="2">
        <v>2</v>
      </c>
      <c r="J14" s="2">
        <v>15.25</v>
      </c>
      <c r="K14" s="6">
        <v>7.62</v>
      </c>
      <c r="L14" s="2">
        <v>125.79</v>
      </c>
    </row>
    <row r="15" spans="1:12" x14ac:dyDescent="0.2">
      <c r="A15" s="2" t="s">
        <v>15</v>
      </c>
      <c r="B15" s="2" t="s">
        <v>12</v>
      </c>
      <c r="C15" s="2" t="s">
        <v>17</v>
      </c>
      <c r="D15" s="2">
        <v>7</v>
      </c>
      <c r="E15" s="2">
        <v>26</v>
      </c>
      <c r="F15" s="2">
        <v>2</v>
      </c>
      <c r="G15" s="2">
        <v>1</v>
      </c>
      <c r="H15" s="2">
        <v>0.14000000000000001</v>
      </c>
      <c r="I15" s="2">
        <v>3</v>
      </c>
      <c r="J15" s="2">
        <v>44.22</v>
      </c>
      <c r="K15" s="6">
        <v>14.74</v>
      </c>
      <c r="L15" s="2">
        <v>29.02</v>
      </c>
    </row>
    <row r="16" spans="1:12" x14ac:dyDescent="0.2">
      <c r="A16" s="2" t="s">
        <v>15</v>
      </c>
      <c r="B16" s="2" t="s">
        <v>12</v>
      </c>
      <c r="C16" s="2" t="s">
        <v>17</v>
      </c>
      <c r="D16" s="2">
        <v>7</v>
      </c>
      <c r="E16" s="2">
        <v>38</v>
      </c>
      <c r="F16" s="2">
        <v>1</v>
      </c>
      <c r="G16" s="2">
        <v>0</v>
      </c>
      <c r="H16" s="2">
        <v>0</v>
      </c>
      <c r="I16" s="2">
        <v>2</v>
      </c>
      <c r="J16" s="2">
        <v>17.350000000000001</v>
      </c>
      <c r="K16" s="6">
        <v>8.68</v>
      </c>
      <c r="L16" s="2">
        <v>71.599999999999994</v>
      </c>
    </row>
    <row r="17" spans="1:12" x14ac:dyDescent="0.2">
      <c r="A17" s="2" t="s">
        <v>15</v>
      </c>
      <c r="B17" s="2" t="s">
        <v>12</v>
      </c>
      <c r="C17" s="2" t="s">
        <v>17</v>
      </c>
      <c r="D17" s="2">
        <v>7</v>
      </c>
      <c r="E17" s="2">
        <v>4</v>
      </c>
      <c r="F17" s="2">
        <v>1</v>
      </c>
      <c r="G17" s="2">
        <v>0</v>
      </c>
      <c r="H17" s="2">
        <v>0</v>
      </c>
      <c r="I17" s="2">
        <v>1</v>
      </c>
      <c r="J17" s="2">
        <v>3.53</v>
      </c>
      <c r="K17" s="6">
        <v>3.53</v>
      </c>
      <c r="L17" s="2">
        <v>184.44</v>
      </c>
    </row>
    <row r="18" spans="1:12" x14ac:dyDescent="0.2">
      <c r="A18" s="2" t="s">
        <v>15</v>
      </c>
      <c r="B18" s="2" t="s">
        <v>12</v>
      </c>
      <c r="C18" s="2" t="s">
        <v>17</v>
      </c>
      <c r="D18" s="2">
        <v>7</v>
      </c>
      <c r="E18" s="2">
        <v>10</v>
      </c>
      <c r="F18" s="2">
        <v>16</v>
      </c>
      <c r="G18" s="2">
        <v>0</v>
      </c>
      <c r="H18" s="2">
        <v>0</v>
      </c>
      <c r="I18" s="2">
        <v>4</v>
      </c>
      <c r="J18" s="2">
        <v>47.2</v>
      </c>
      <c r="K18" s="6">
        <v>11.8</v>
      </c>
      <c r="L18" s="2">
        <v>24.24</v>
      </c>
    </row>
    <row r="19" spans="1:12" x14ac:dyDescent="0.2">
      <c r="A19" s="2" t="s">
        <v>15</v>
      </c>
      <c r="B19" s="2" t="s">
        <v>12</v>
      </c>
      <c r="C19" s="2" t="s">
        <v>17</v>
      </c>
      <c r="D19" s="2">
        <v>7</v>
      </c>
      <c r="E19" s="2">
        <v>17</v>
      </c>
      <c r="F19" s="2">
        <v>4</v>
      </c>
      <c r="G19" s="2">
        <v>0</v>
      </c>
      <c r="H19" s="2">
        <v>0</v>
      </c>
      <c r="I19" s="2">
        <v>2</v>
      </c>
      <c r="J19" s="2">
        <v>28.06</v>
      </c>
      <c r="K19" s="6">
        <v>14.03</v>
      </c>
      <c r="L19" s="2">
        <v>59.94</v>
      </c>
    </row>
    <row r="20" spans="1:12" x14ac:dyDescent="0.2">
      <c r="E20" s="3" t="s">
        <v>4</v>
      </c>
      <c r="F20" s="3" t="s">
        <v>5</v>
      </c>
      <c r="G20" s="2" t="s">
        <v>10</v>
      </c>
      <c r="H20" s="2" t="s">
        <v>11</v>
      </c>
      <c r="I20" s="2" t="s">
        <v>6</v>
      </c>
      <c r="J20" s="2" t="s">
        <v>7</v>
      </c>
      <c r="K20" s="6"/>
      <c r="L20" s="3" t="s">
        <v>9</v>
      </c>
    </row>
    <row r="21" spans="1:12" x14ac:dyDescent="0.2">
      <c r="D21" s="4" t="s">
        <v>18</v>
      </c>
      <c r="E21">
        <f>AVERAGE(E2:E19)</f>
        <v>22.166666666666668</v>
      </c>
      <c r="F21">
        <f>AVERAGE(F2:F19)</f>
        <v>4.3888888888888893</v>
      </c>
      <c r="G21">
        <f>AVERAGE(G2:G19)</f>
        <v>0.88888888888888884</v>
      </c>
      <c r="H21">
        <f>AVERAGE(H2:H19)</f>
        <v>0.77388888888888874</v>
      </c>
      <c r="I21">
        <f>AVERAGE(I2:I19)</f>
        <v>3</v>
      </c>
      <c r="J21">
        <f t="shared" ref="J21" si="0">AVERAGE(J1:J19)</f>
        <v>24.206111111111106</v>
      </c>
      <c r="L21">
        <f>AVERAGE(L2:L19)</f>
        <v>79.87833333333333</v>
      </c>
    </row>
    <row r="22" spans="1:12" x14ac:dyDescent="0.2">
      <c r="D22" s="4" t="s">
        <v>19</v>
      </c>
      <c r="E22">
        <f>COUNT(E1:E19)</f>
        <v>18</v>
      </c>
      <c r="F22">
        <f t="shared" ref="F22:H22" si="1">COUNT(F1:F19)</f>
        <v>18</v>
      </c>
      <c r="G22">
        <f t="shared" si="1"/>
        <v>18</v>
      </c>
      <c r="H22">
        <f t="shared" si="1"/>
        <v>18</v>
      </c>
      <c r="I22">
        <f>COUNT(I2:I19)</f>
        <v>18</v>
      </c>
      <c r="J22">
        <f>COUNT(J2:J19)</f>
        <v>18</v>
      </c>
      <c r="L22">
        <f>COUNT(L2:L19)</f>
        <v>18</v>
      </c>
    </row>
    <row r="23" spans="1:12" x14ac:dyDescent="0.2">
      <c r="D23" s="4" t="s">
        <v>20</v>
      </c>
      <c r="E23">
        <f>STDEV(E1:E19)</f>
        <v>14.5733439176181</v>
      </c>
      <c r="F23">
        <f t="shared" ref="F23:L23" si="2">STDEV(F1:F19)</f>
        <v>4.1746981418017999</v>
      </c>
      <c r="G23">
        <f t="shared" si="2"/>
        <v>2.3235087282938096</v>
      </c>
      <c r="H23">
        <f t="shared" si="2"/>
        <v>2.1925438861766153</v>
      </c>
      <c r="I23">
        <f t="shared" si="2"/>
        <v>1.7489492643904123</v>
      </c>
      <c r="J23">
        <f t="shared" si="2"/>
        <v>17.297000127151907</v>
      </c>
      <c r="L23">
        <f t="shared" si="2"/>
        <v>55.48299689199969</v>
      </c>
    </row>
    <row r="24" spans="1:12" x14ac:dyDescent="0.2">
      <c r="D24" s="5" t="s">
        <v>21</v>
      </c>
      <c r="E24">
        <f>E23/SQRT(E22)</f>
        <v>3.4349701029038289</v>
      </c>
      <c r="F24">
        <f t="shared" ref="F24:L24" si="3">F23/SQRT(F22)</f>
        <v>0.98398578849164409</v>
      </c>
      <c r="G24">
        <f t="shared" si="3"/>
        <v>0.54765625930756145</v>
      </c>
      <c r="H24">
        <f t="shared" si="3"/>
        <v>0.51678754998819687</v>
      </c>
      <c r="I24">
        <f t="shared" si="3"/>
        <v>0.41223129493389488</v>
      </c>
      <c r="J24">
        <f t="shared" si="3"/>
        <v>4.0769420280312296</v>
      </c>
      <c r="L24">
        <f t="shared" si="3"/>
        <v>13.077467780961708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Лист1</vt:lpstr>
      <vt:lpstr>Control_female</vt:lpstr>
      <vt:lpstr>Control_male</vt:lpstr>
      <vt:lpstr>PS_female</vt:lpstr>
      <vt:lpstr>PS_male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2026-09-02T20:12:27Z</dcterms:modified>
</cp:coreProperties>
</file>