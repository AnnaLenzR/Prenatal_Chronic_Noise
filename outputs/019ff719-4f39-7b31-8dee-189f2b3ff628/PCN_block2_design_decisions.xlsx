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13ed0ade2544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s" sheetId="1" r:id="R2d7f5bc9ba8f405a"/>
    <x:sheet xmlns:r="http://schemas.openxmlformats.org/officeDocument/2006/relationships" name="Design Register" sheetId="2" r:id="R71a794dbbb294d2e"/>
    <x:sheet xmlns:r="http://schemas.openxmlformats.org/officeDocument/2006/relationships" name="Correction Log" sheetId="3" r:id="R48b7770082564f67"/>
    <x:sheet xmlns:r="http://schemas.openxmlformats.org/officeDocument/2006/relationships" name="Summary" sheetId="4" r:id="R4c1103f6c2454c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i/>
      <x:sz val="11"/>
      <x:color rgb="FF37415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A7F9E"/>
      </x:patternFill>
    </x:fill>
    <x:fill>
      <x:patternFill patternType="solid">
        <x:fgColor rgb="FFEAF3F6"/>
      </x:patternFill>
    </x:fill>
    <x:fill>
      <x:patternFill patternType="solid">
        <x:fgColor rgb="FFD7A84B"/>
      </x:patternFill>
    </x:fill>
    <x:fill>
      <x:patternFill patternType="solid">
        <x:fgColor rgb="FFFFF8E7"/>
      </x:patternFill>
    </x:fill>
    <x:fill>
      <x:patternFill patternType="solid">
        <x:fgColor rgb="FFF3F4F6"/>
      </x:patternFill>
    </x:fill>
  </x:fills>
  <x:borders count="34">
    <x:border/>
    <x:border/>
    <x:border>
      <x:left style="thin">
        <x:color rgb="FF2A7F9E"/>
      </x:left>
      <x:top style="thin">
        <x:color rgb="FF2A7F9E"/>
      </x:top>
      <x:bottom style="thin">
        <x:color rgb="FF2A7F9E"/>
      </x:bottom>
    </x:border>
    <x:border>
      <x:right style="thin">
        <x:color rgb="FF2A7F9E"/>
      </x:right>
      <x:top style="thin">
        <x:color rgb="FF2A7F9E"/>
      </x:top>
      <x:bottom style="thin">
        <x:color rgb="FF2A7F9E"/>
      </x:bottom>
    </x:border>
    <x:border>
      <x:left style="thin">
        <x:color rgb="FF2A7F9E"/>
      </x:left>
      <x:top style="thin">
        <x:color rgb="FF2A7F9E"/>
      </x:top>
      <x:bottom style="thin">
        <x:color rgb="FF2A7F9E"/>
      </x:bottom>
    </x:border>
    <x:border>
      <x:right style="thin">
        <x:color rgb="FF2A7F9E"/>
      </x:right>
      <x:top style="thin">
        <x:color rgb="FF2A7F9E"/>
      </x:top>
      <x:bottom style="thin">
        <x:color rgb="FF2A7F9E"/>
      </x:bottom>
    </x:border>
    <x:border>
      <x:right style="thin">
        <x:color rgb="FFC7DCE4"/>
      </x:right>
      <x:bottom style="thin">
        <x:color rgb="FFC7DCE4"/>
      </x:bottom>
    </x:border>
    <x:border>
      <x:left style="thin">
        <x:color rgb="FFC7DCE4"/>
      </x:left>
      <x:bottom style="thin">
        <x:color rgb="FFC7DCE4"/>
      </x:bottom>
    </x:border>
    <x:border>
      <x:right style="thin">
        <x:color rgb="FFC7DCE4"/>
      </x:right>
      <x:top style="thin">
        <x:color rgb="FFC7DCE4"/>
      </x:top>
      <x:bottom style="thin">
        <x:color rgb="FFC7DCE4"/>
      </x:bottom>
    </x:border>
    <x:border>
      <x:left style="thin">
        <x:color rgb="FFC7DCE4"/>
      </x:left>
      <x:top style="thin">
        <x:color rgb="FFC7DCE4"/>
      </x:top>
      <x:bottom style="thin">
        <x:color rgb="FFC7DCE4"/>
      </x:bottom>
    </x:border>
    <x:border>
      <x:right style="thin">
        <x:color rgb="FFC7DCE4"/>
      </x:right>
      <x:top style="thin">
        <x:color rgb="FFC7DCE4"/>
      </x:top>
    </x:border>
    <x:border>
      <x:left style="thin">
        <x:color rgb="FFC7DCE4"/>
      </x:left>
      <x:top style="thin">
        <x:color rgb="FFC7DCE4"/>
      </x:top>
    </x:border>
    <x:border>
      <x:right style="thin">
        <x:color rgb="FFC7DCE4"/>
      </x:right>
      <x:bottom style="thin">
        <x:color rgb="FFC7DCE4"/>
      </x:bottom>
    </x:border>
    <x:border>
      <x:left style="thin">
        <x:color rgb="FFC7DCE4"/>
      </x:left>
      <x:bottom style="thin">
        <x:color rgb="FFC7DCE4"/>
      </x:bottom>
    </x:border>
    <x:border>
      <x:right style="thin">
        <x:color rgb="FFC7DCE4"/>
      </x:right>
      <x:top style="thin">
        <x:color rgb="FFC7DCE4"/>
      </x:top>
      <x:bottom style="thin">
        <x:color rgb="FFC7DCE4"/>
      </x:bottom>
    </x:border>
    <x:border>
      <x:left style="thin">
        <x:color rgb="FFC7DCE4"/>
      </x:left>
      <x:top style="thin">
        <x:color rgb="FFC7DCE4"/>
      </x:top>
      <x:bottom style="thin">
        <x:color rgb="FFC7DCE4"/>
      </x:bottom>
    </x:border>
    <x:border>
      <x:right style="thin">
        <x:color rgb="FFC7DCE4"/>
      </x:right>
      <x:top style="thin">
        <x:color rgb="FFC7DCE4"/>
      </x:top>
    </x:border>
    <x:border>
      <x:left style="thin">
        <x:color rgb="FFC7DCE4"/>
      </x:left>
      <x:top style="thin">
        <x:color rgb="FFC7DCE4"/>
      </x:top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17" xfId="0" applyNumberFormat="1" applyFont="1" applyFill="1" applyBorder="1"/>
    <x:xf numFmtId="200" fontId="0" fillId="4" borderId="7" xfId="0" applyNumberFormat="1" applyFont="1" applyFill="1" applyBorder="1"/>
    <x:xf numFmtId="200" fontId="0" fillId="4" borderId="9" xfId="0" applyNumberFormat="1" applyFont="1" applyFill="1" applyBorder="1"/>
    <x:xf numFmtId="200" fontId="0" fillId="4" borderId="11" xfId="0" applyNumberFormat="1" applyFont="1" applyFill="1" applyBorder="1"/>
    <x:xf numFmtId="200" fontId="0" fillId="4" borderId="13" xfId="0" applyNumberFormat="1" applyFont="1" applyFill="1" applyBorder="1"/>
    <x:xf numFmtId="200" fontId="0" fillId="4" borderId="15" xfId="0" applyNumberFormat="1" applyFont="1" applyFill="1" applyBorder="1"/>
    <x:xf numFmtId="200" fontId="0" fillId="4" borderId="17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18" xfId="0" applyNumberFormat="1" applyFont="1" applyFill="1" applyBorder="1"/>
    <x:xf numFmtId="0" fontId="4" fillId="7" borderId="19" xfId="0" applyNumberFormat="1" applyFont="1" applyFill="1" applyBorder="1"/>
    <x:xf numFmtId="0" fontId="4" fillId="7" borderId="20" xfId="0" applyNumberFormat="1" applyFont="1" applyFill="1" applyBorder="1"/>
    <x:xf numFmtId="0" fontId="4" fillId="7" borderId="21" xfId="0" applyNumberFormat="1" applyFont="1" applyFill="1" applyBorder="1"/>
    <x:xf numFmtId="0" fontId="4" fillId="7" borderId="22" xfId="0" applyNumberFormat="1" applyFont="1" applyFill="1" applyBorder="1"/>
    <x:xf numFmtId="0" fontId="4" fillId="7" borderId="23" xfId="0" applyNumberFormat="1" applyFont="1" applyFill="1" applyBorder="1"/>
    <x:xf numFmtId="0" fontId="4" fillId="7" borderId="24" xfId="0" applyNumberFormat="1" applyFont="1" applyFill="1" applyBorder="1"/>
    <x:xf numFmtId="0" fontId="4" fillId="7" borderId="25" xfId="0" applyNumberFormat="1" applyFont="1" applyFill="1" applyBorder="1"/>
    <x:xf numFmtId="0" fontId="4" fillId="7" borderId="26" xfId="0" applyNumberFormat="1" applyFont="1" applyFill="1" applyBorder="1"/>
    <x:xf numFmtId="0" fontId="4" fillId="7" borderId="27" xfId="0" applyNumberFormat="1" applyFont="1" applyFill="1" applyBorder="1"/>
    <x:xf numFmtId="0" fontId="4" fillId="7" borderId="28" xfId="0" applyNumberFormat="1" applyFont="1" applyFill="1" applyBorder="1"/>
    <x:xf numFmtId="0" fontId="4" fillId="7" borderId="29" xfId="0" applyNumberFormat="1" applyFont="1" applyFill="1" applyBorder="1"/>
    <x:xf numFmtId="0" fontId="4" fillId="7" borderId="30" xfId="0" applyNumberFormat="1" applyFont="1" applyFill="1" applyBorder="1"/>
    <x:xf numFmtId="0" fontId="4" fillId="7" borderId="31" xfId="0" applyNumberFormat="1" applyFont="1" applyFill="1" applyBorder="1"/>
    <x:xf numFmtId="0" fontId="4" fillId="7" borderId="32" xfId="0" applyNumberFormat="1" applyFont="1" applyFill="1" applyBorder="1"/>
    <x:xf numFmtId="0" fontId="4" fillId="7" borderId="33" xfId="0" applyNumberFormat="1" applyFont="1" applyFill="1" applyBorder="1"/>
    <x:xf numFmtId="0" fontId="4" fillId="7" borderId="18" xfId="0" applyNumberFormat="1" applyFont="1" applyFill="1" applyBorder="1" applyAlignment="1">
      <x:alignment wrapText="1"/>
    </x:xf>
    <x:xf numFmtId="0" fontId="4" fillId="7" borderId="19" xfId="0" applyNumberFormat="1" applyFont="1" applyFill="1" applyBorder="1" applyAlignment="1">
      <x:alignment wrapText="1"/>
    </x:xf>
    <x:xf numFmtId="0" fontId="4" fillId="7" borderId="20" xfId="0" applyNumberFormat="1" applyFont="1" applyFill="1" applyBorder="1" applyAlignment="1">
      <x:alignment wrapText="1"/>
    </x:xf>
    <x:xf numFmtId="0" fontId="4" fillId="7" borderId="21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22" xfId="0" applyNumberFormat="1" applyFont="1" applyFill="1" applyBorder="1" applyAlignment="1">
      <x:alignment wrapText="1"/>
    </x:xf>
    <x:xf numFmtId="0" fontId="4" fillId="7" borderId="23" xfId="0" applyNumberFormat="1" applyFont="1" applyFill="1" applyBorder="1" applyAlignment="1">
      <x:alignment wrapText="1"/>
    </x:xf>
    <x:xf numFmtId="0" fontId="4" fillId="7" borderId="24" xfId="0" applyNumberFormat="1" applyFont="1" applyFill="1" applyBorder="1" applyAlignment="1">
      <x:alignment wrapText="1"/>
    </x:xf>
    <x:xf numFmtId="0" fontId="4" fillId="7" borderId="25" xfId="0" applyNumberFormat="1" applyFont="1" applyFill="1" applyBorder="1" applyAlignment="1">
      <x:alignment wrapText="1"/>
    </x:xf>
    <x:xf numFmtId="0" fontId="4" fillId="7" borderId="26" xfId="0" applyNumberFormat="1" applyFont="1" applyFill="1" applyBorder="1" applyAlignment="1">
      <x:alignment wrapText="1"/>
    </x:xf>
    <x:xf numFmtId="0" fontId="4" fillId="7" borderId="27" xfId="0" applyNumberFormat="1" applyFont="1" applyFill="1" applyBorder="1" applyAlignment="1">
      <x:alignment wrapText="1"/>
    </x:xf>
    <x:xf numFmtId="0" fontId="4" fillId="7" borderId="28" xfId="0" applyNumberFormat="1" applyFont="1" applyFill="1" applyBorder="1" applyAlignment="1">
      <x:alignment wrapText="1"/>
    </x:xf>
    <x:xf numFmtId="0" fontId="4" fillId="7" borderId="29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4" fillId="7" borderId="30" xfId="0" applyNumberFormat="1" applyFont="1" applyFill="1" applyBorder="1" applyAlignment="1">
      <x:alignment wrapText="1"/>
    </x:xf>
    <x:xf numFmtId="0" fontId="4" fillId="7" borderId="31" xfId="0" applyNumberFormat="1" applyFont="1" applyFill="1" applyBorder="1" applyAlignment="1">
      <x:alignment wrapText="1"/>
    </x:xf>
    <x:xf numFmtId="0" fontId="4" fillId="7" borderId="32" xfId="0" applyNumberFormat="1" applyFont="1" applyFill="1" applyBorder="1" applyAlignment="1">
      <x:alignment wrapText="1"/>
    </x:xf>
    <x:xf numFmtId="0" fontId="4" fillId="7" borderId="33" xfId="0" applyNumberFormat="1" applyFont="1" applyFill="1" applyBorder="1" applyAlignment="1">
      <x:alignment wrapText="1"/>
    </x:xf>
    <x:xf numFmtId="0" fontId="4" fillId="7" borderId="18" xfId="0" applyNumberFormat="1" applyFont="1" applyFill="1" applyBorder="1" applyAlignment="1">
      <x:alignment vertical="center" wrapText="1"/>
    </x:xf>
    <x:xf numFmtId="0" fontId="4" fillId="7" borderId="19" xfId="0" applyNumberFormat="1" applyFont="1" applyFill="1" applyBorder="1" applyAlignment="1">
      <x:alignment vertical="center" wrapText="1"/>
    </x:xf>
    <x:xf numFmtId="0" fontId="4" fillId="7" borderId="20" xfId="0" applyNumberFormat="1" applyFont="1" applyFill="1" applyBorder="1" applyAlignment="1">
      <x:alignment vertical="center" wrapText="1"/>
    </x:xf>
    <x:xf numFmtId="0" fontId="4" fillId="7" borderId="21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22" xfId="0" applyNumberFormat="1" applyFont="1" applyFill="1" applyBorder="1" applyAlignment="1">
      <x:alignment vertical="center" wrapText="1"/>
    </x:xf>
    <x:xf numFmtId="0" fontId="4" fillId="7" borderId="23" xfId="0" applyNumberFormat="1" applyFont="1" applyFill="1" applyBorder="1" applyAlignment="1">
      <x:alignment vertical="center" wrapText="1"/>
    </x:xf>
    <x:xf numFmtId="0" fontId="4" fillId="7" borderId="24" xfId="0" applyNumberFormat="1" applyFont="1" applyFill="1" applyBorder="1" applyAlignment="1">
      <x:alignment vertical="center" wrapText="1"/>
    </x:xf>
    <x:xf numFmtId="0" fontId="4" fillId="7" borderId="25" xfId="0" applyNumberFormat="1" applyFont="1" applyFill="1" applyBorder="1" applyAlignment="1">
      <x:alignment vertical="center" wrapText="1"/>
    </x:xf>
    <x:xf numFmtId="0" fontId="4" fillId="7" borderId="26" xfId="0" applyNumberFormat="1" applyFont="1" applyFill="1" applyBorder="1" applyAlignment="1">
      <x:alignment vertical="center" wrapText="1"/>
    </x:xf>
    <x:xf numFmtId="0" fontId="4" fillId="7" borderId="27" xfId="0" applyNumberFormat="1" applyFont="1" applyFill="1" applyBorder="1" applyAlignment="1">
      <x:alignment vertical="center" wrapText="1"/>
    </x:xf>
    <x:xf numFmtId="0" fontId="4" fillId="7" borderId="28" xfId="0" applyNumberFormat="1" applyFont="1" applyFill="1" applyBorder="1" applyAlignment="1">
      <x:alignment vertical="center" wrapText="1"/>
    </x:xf>
    <x:xf numFmtId="0" fontId="4" fillId="7" borderId="29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7" borderId="30" xfId="0" applyNumberFormat="1" applyFont="1" applyFill="1" applyBorder="1" applyAlignment="1">
      <x:alignment vertical="center" wrapText="1"/>
    </x:xf>
    <x:xf numFmtId="0" fontId="4" fillId="7" borderId="31" xfId="0" applyNumberFormat="1" applyFont="1" applyFill="1" applyBorder="1" applyAlignment="1">
      <x:alignment vertical="center" wrapText="1"/>
    </x:xf>
    <x:xf numFmtId="0" fontId="4" fillId="7" borderId="32" xfId="0" applyNumberFormat="1" applyFont="1" applyFill="1" applyBorder="1" applyAlignment="1">
      <x:alignment vertical="center" wrapText="1"/>
    </x:xf>
    <x:xf numFmtId="0" fontId="4" fillId="7" borderId="3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37c5f29f2404d" /><Relationship Type="http://schemas.openxmlformats.org/officeDocument/2006/relationships/theme" Target="/xl/theme/theme1.xml" Id="R495a632b56a348ef" /><Relationship Type="http://schemas.openxmlformats.org/officeDocument/2006/relationships/sharedStrings" Target="/xl/sharedStrings.xml" Id="Ra0fd5d5a83374b3c" /><Relationship Type="http://schemas.openxmlformats.org/officeDocument/2006/relationships/worksheet" Target="/xl/worksheets/sheet1.xml" Id="R2d7f5bc9ba8f405a" /><Relationship Type="http://schemas.openxmlformats.org/officeDocument/2006/relationships/worksheet" Target="/xl/worksheets/sheet2.xml" Id="R71a794dbbb294d2e" /><Relationship Type="http://schemas.openxmlformats.org/officeDocument/2006/relationships/worksheet" Target="/xl/worksheets/sheet3.xml" Id="R48b7770082564f67" /><Relationship Type="http://schemas.openxmlformats.org/officeDocument/2006/relationships/worksheet" Target="/xl/worksheets/sheet4.xml" Id="R4c1103f6c2454c34" /></Relationships>
</file>

<file path=xl/tables/table1.xml><?xml version="1.0" encoding="utf-8"?>
<x:table xmlns:x="http://schemas.openxmlformats.org/spreadsheetml/2006/main" id="1" name="DecisionTableB2" displayName="DecisionTableB2" ref="A1:F5" headerRowCount="1" totalsRowCount="0" totalsRowShown="0">
  <x:tableColumns count="6">
    <x:tableColumn id="1" name="decision_id"/>
    <x:tableColumn id="2" name="scope"/>
    <x:tableColumn id="3" name="decision"/>
    <x:tableColumn id="4" name="status"/>
    <x:tableColumn id="5" name="decision_date"/>
    <x:tableColumn id="6" name="analysis_impli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signRegisterTableB2" displayName="DesignRegisterTableB2" ref="A1:S9" headerRowCount="1" totalsRowCount="0" totalsRowShown="0">
  <x:tableColumns count="19">
    <x:tableColumn id="1" name="study_id"/>
    <x:tableColumn id="2" name="es_id"/>
    <x:tableColumn id="3" name="source_csv_row"/>
    <x:tableColumn id="4" name="arm_design"/>
    <x:tableColumn id="5" name="study_cluster_id"/>
    <x:tableColumn id="6" name="cohort_id"/>
    <x:tableColumn id="7" name="test_cluster_id"/>
    <x:tableColumn id="8" name="control_group_id"/>
    <x:tableColumn id="9" name="experimental_group_id"/>
    <x:tableColumn id="10" name="dep_shared_control"/>
    <x:tableColumn id="11" name="dep_shared_experimental"/>
    <x:tableColumn id="12" name="dep_repeated_measure"/>
    <x:tableColumn id="13" name="dep_multiple_outcomes_same_test"/>
    <x:tableColumn id="14" name="analysis_sample_size_unit"/>
    <x:tableColumn id="15" name="litter_count_used_in_model"/>
    <x:tableColumn id="16" name="litter_clustering_note"/>
    <x:tableColumn id="17" name="decision_status"/>
    <x:tableColumn id="18" name="decision_date"/>
    <x:tableColumn id="19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rrectionLogTableB2" displayName="CorrectionLogTableB2" ref="A1:J3" headerRowCount="1" totalsRowCount="0" totalsRowShown="0">
  <x:tableColumns count="10">
    <x:tableColumn id="1" name="study_id"/>
    <x:tableColumn id="2" name="es_id"/>
    <x:tableColumn id="3" name="source_csv_row"/>
    <x:tableColumn id="4" name="variable"/>
    <x:tableColumn id="5" name="old_value"/>
    <x:tableColumn id="6" name="new_value"/>
    <x:tableColumn id="7" name="flag"/>
    <x:tableColumn id="8" name="rationale"/>
    <x:tableColumn id="9" name="source"/>
    <x:tableColumn id="10" name="decision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9e277a9aa24b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9999ca0d9546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4e3cc1da95644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64" hidden="0" customWidth="1"/>
    <x:col min="4" max="4" width="16" hidden="0" customWidth="1"/>
    <x:col min="5" max="5" width="15" hidden="0" customWidth="1"/>
    <x:col min="6" max="6" width="58" hidden="0" customWidth="1"/>
  </x:cols>
  <x:sheetData>
    <x:row r="1" ht="15" hidden="0" customHeight="1">
      <x:c r="A1" s="110" t="str">
        <x:v>decision_id</x:v>
      </x:c>
      <x:c r="B1" s="110" t="str">
        <x:v>scope</x:v>
      </x:c>
      <x:c r="C1" s="110" t="str">
        <x:v>decision</x:v>
      </x:c>
      <x:c r="D1" s="110" t="str">
        <x:v>status</x:v>
      </x:c>
      <x:c r="E1" s="110" t="str">
        <x:v>decision_date</x:v>
      </x:c>
      <x:c r="F1" s="110" t="str">
        <x:v>analysis_implication</x:v>
      </x:c>
    </x:row>
    <x:row r="2" ht="26.399999618530273" hidden="0" customHeight="1">
      <x:c r="A2" s="104" t="str">
        <x:v>B2-01</x:v>
      </x:c>
      <x:c r="B2" s="104" t="str">
        <x:v>Uygur es001-es003</x:v>
      </x:c>
      <x:c r="C2" s="104" t="str">
        <x:v>Independent CON and PSN arms; three outcomes share both groups and one DWT session; not repeated measures.</x:v>
      </x:c>
      <x:c r="D2" s="104" t="str">
        <x:v>Approved</x:v>
      </x:c>
      <x:c r="E2" s="104" t="str">
        <x:v>2026-08-13</x:v>
      </x:c>
      <x:c r="F2" s="104" t="str">
        <x:v>Cluster within study and DWT test; identify shared control and experimental animals.</x:v>
      </x:c>
    </x:row>
    <x:row r="3" ht="26.399999618530273" hidden="0" customHeight="1">
      <x:c r="A3" s="104" t="str">
        <x:v>B2-02</x:v>
      </x:c>
      <x:c r="B3" s="104" t="str">
        <x:v>Hassanvand es010-es012</x:v>
      </x:c>
      <x:c r="C3" s="104" t="str">
        <x:v>Independent Control and Exp arms; three outcomes share both groups and one OFT session; not repeated measures.</x:v>
      </x:c>
      <x:c r="D3" s="104" t="str">
        <x:v>Approved</x:v>
      </x:c>
      <x:c r="E3" s="104" t="str">
        <x:v>2026-08-13</x:v>
      </x:c>
      <x:c r="F3" s="104" t="str">
        <x:v>Cluster within study and OFT test; identify shared control and experimental animals.</x:v>
      </x:c>
    </x:row>
    <x:row r="4" ht="26.399999618530273" hidden="0" customHeight="1">
      <x:c r="A4" s="104" t="str">
        <x:v>B2-03</x:v>
      </x:c>
      <x:c r="B4" s="104" t="str">
        <x:v>Hadizadeh es019-es020</x:v>
      </x:c>
      <x:c r="C4" s="104" t="str">
        <x:v>Independent CON and ST arms; OAE and OAT share both groups and one EPM session; not repeated measures.</x:v>
      </x:c>
      <x:c r="D4" s="104" t="str">
        <x:v>Approved</x:v>
      </x:c>
      <x:c r="E4" s="104" t="str">
        <x:v>2026-08-13</x:v>
      </x:c>
      <x:c r="F4" s="104" t="str">
        <x:v>Cluster within study and EPM test; identify shared control and experimental animals.</x:v>
      </x:c>
    </x:row>
    <x:row r="5" ht="15" hidden="0" customHeight="1">
      <x:c r="A5" s="104" t="str">
        <x:v>B2-04</x:v>
      </x:c>
      <x:c r="B5" s="104" t="str">
        <x:v>Hadizadeh es019-es020</x:v>
      </x:c>
      <x:c r="C5" s="104" t="str">
        <x:v>Correct id_notes to state that behavioral testing used male offspring only.</x:v>
      </x:c>
      <x:c r="D5" s="104" t="str">
        <x:v>Approved</x:v>
      </x:c>
      <x:c r="E5" s="104" t="str">
        <x:v>2026-08-13</x:v>
      </x:c>
      <x:c r="F5" s="104" t="str">
        <x:v>Metadata correction only; reported numerical results are unchanged.</x:v>
      </x:c>
    </x:row>
  </x:sheetData>
  <x:pageMargins left="0.7" right="0.7" top="0.75" bottom="0.75" header="0.3" footer="0.3"/>
  <x:tableParts count="1">
    <x:tablePart xmlns:r="http://schemas.openxmlformats.org/officeDocument/2006/relationships" r:id="R3d9e277a9aa24b6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0" hidden="0" customWidth="1"/>
    <x:col min="3" max="3" width="12" hidden="0" customWidth="1"/>
    <x:col min="4" max="4" width="16" hidden="0" customWidth="1"/>
    <x:col min="5" max="5" width="32" hidden="0" customWidth="1"/>
    <x:col min="6" max="6" width="38" hidden="0" customWidth="1"/>
    <x:col min="7" max="7" width="36" hidden="0" customWidth="1"/>
    <x:col min="8" max="8" width="34" hidden="0" customWidth="1"/>
    <x:col min="9" max="9" width="38" hidden="0" customWidth="1"/>
    <x:col min="10" max="10" width="17" hidden="0" customWidth="1"/>
    <x:col min="11" max="11" width="20" hidden="0" customWidth="1"/>
    <x:col min="12" max="12" width="19" hidden="0" customWidth="1"/>
    <x:col min="13" max="13" width="25" hidden="0" customWidth="1"/>
    <x:col min="14" max="14" width="28" hidden="0" customWidth="1"/>
    <x:col min="15" max="15" width="22" hidden="0" customWidth="1"/>
    <x:col min="16" max="16" width="68" hidden="0" customWidth="1"/>
    <x:col min="17" max="17" width="16" hidden="0" customWidth="1"/>
    <x:col min="18" max="18" width="15" hidden="0" customWidth="1"/>
    <x:col min="19" max="19" width="70" hidden="0" customWidth="1"/>
  </x:cols>
  <x:sheetData>
    <x:row r="1" ht="26.399999618530273" hidden="0" customHeight="1">
      <x:c r="A1" s="110" t="str">
        <x:v>study_id</x:v>
      </x:c>
      <x:c r="B1" s="110" t="str">
        <x:v>es_id</x:v>
      </x:c>
      <x:c r="C1" s="110" t="str">
        <x:v>source_csv_row</x:v>
      </x:c>
      <x:c r="D1" s="110" t="str">
        <x:v>arm_design</x:v>
      </x:c>
      <x:c r="E1" s="110" t="str">
        <x:v>study_cluster_id</x:v>
      </x:c>
      <x:c r="F1" s="110" t="str">
        <x:v>cohort_id</x:v>
      </x:c>
      <x:c r="G1" s="110" t="str">
        <x:v>test_cluster_id</x:v>
      </x:c>
      <x:c r="H1" s="110" t="str">
        <x:v>control_group_id</x:v>
      </x:c>
      <x:c r="I1" s="110" t="str">
        <x:v>experimental_group_id</x:v>
      </x:c>
      <x:c r="J1" s="110" t="str">
        <x:v>dep_shared_control</x:v>
      </x:c>
      <x:c r="K1" s="110" t="str">
        <x:v>dep_shared_experimental</x:v>
      </x:c>
      <x:c r="L1" s="110" t="str">
        <x:v>dep_repeated_measure</x:v>
      </x:c>
      <x:c r="M1" s="110" t="str">
        <x:v>dep_multiple_outcomes_same_test</x:v>
      </x:c>
      <x:c r="N1" s="110" t="str">
        <x:v>analysis_sample_size_unit</x:v>
      </x:c>
      <x:c r="O1" s="110" t="str">
        <x:v>litter_count_used_in_model</x:v>
      </x:c>
      <x:c r="P1" s="110" t="str">
        <x:v>litter_clustering_note</x:v>
      </x:c>
      <x:c r="Q1" s="110" t="str">
        <x:v>decision_status</x:v>
      </x:c>
      <x:c r="R1" s="110" t="str">
        <x:v>decision_date</x:v>
      </x:c>
      <x:c r="S1" s="110" t="str">
        <x:v>source</x:v>
      </x:c>
    </x:row>
    <x:row r="2" ht="26.399999618530273" hidden="0" customHeight="1">
      <x:c r="A2" s="104" t="str">
        <x:v>uygur_2010_aphyhun</x:v>
      </x:c>
      <x:c r="B2" s="104" t="str">
        <x:v>es001</x:v>
      </x:c>
      <x:c r="C2" s="104" t="str">
        <x:v>2</x:v>
      </x:c>
      <x:c r="D2" s="104" t="str">
        <x:v>Independent</x:v>
      </x:c>
      <x:c r="E2" s="104" t="str">
        <x:v>uygur_2010_aphyhun</x:v>
      </x:c>
      <x:c r="F2" s="104" t="str">
        <x:v>uygur_2010_aphyhun__CON_PSN</x:v>
      </x:c>
      <x:c r="G2" s="104" t="str">
        <x:v>uygur_2010_aphyhun__DWT</x:v>
      </x:c>
      <x:c r="H2" s="104" t="str">
        <x:v>uygur_2010_aphyhun__CON</x:v>
      </x:c>
      <x:c r="I2" s="104" t="str">
        <x:v>uygur_2010_aphyhun__PSN</x:v>
      </x:c>
      <x:c r="J2" s="104" t="str">
        <x:v>Yes</x:v>
      </x:c>
      <x:c r="K2" s="104" t="str">
        <x:v>Yes</x:v>
      </x:c>
      <x:c r="L2" s="104" t="str">
        <x:v>No</x:v>
      </x:c>
      <x:c r="M2" s="104" t="str">
        <x:v>Yes</x:v>
      </x:c>
      <x:c r="N2" s="104" t="str">
        <x:v>Reported offspring/pup count</x:v>
      </x:c>
      <x:c r="O2" s="104" t="str">
        <x:v>No</x:v>
      </x:c>
      <x:c r="P2" s="104" t="str">
        <x:v>Potential within-litter similarity is acknowledged, but dam/litter counts are not consistently available; retain the authors' reported pup n.</x:v>
      </x:c>
      <x:c r="Q2" s="104" t="str">
        <x:v>Approved</x:v>
      </x:c>
      <x:c r="R2" s="104" t="str">
        <x:v>2026-08-13</x:v>
      </x:c>
      <x:c r="S2" s="104" t="str">
        <x:v>included_studies/uygur_2010_aphyhun.pdf, Defensive withdrawal test methods/results</x:v>
      </x:c>
    </x:row>
    <x:row r="3" ht="26.399999618530273" hidden="0" customHeight="1">
      <x:c r="A3" s="104" t="str">
        <x:v>uygur_2010_aphyhun</x:v>
      </x:c>
      <x:c r="B3" s="104" t="str">
        <x:v>es002</x:v>
      </x:c>
      <x:c r="C3" s="104" t="str">
        <x:v>3</x:v>
      </x:c>
      <x:c r="D3" s="104" t="str">
        <x:v>Independent</x:v>
      </x:c>
      <x:c r="E3" s="104" t="str">
        <x:v>uygur_2010_aphyhun</x:v>
      </x:c>
      <x:c r="F3" s="104" t="str">
        <x:v>uygur_2010_aphyhun__CON_PSN</x:v>
      </x:c>
      <x:c r="G3" s="104" t="str">
        <x:v>uygur_2010_aphyhun__DWT</x:v>
      </x:c>
      <x:c r="H3" s="104" t="str">
        <x:v>uygur_2010_aphyhun__CON</x:v>
      </x:c>
      <x:c r="I3" s="104" t="str">
        <x:v>uygur_2010_aphyhun__PSN</x:v>
      </x:c>
      <x:c r="J3" s="104" t="str">
        <x:v>Yes</x:v>
      </x:c>
      <x:c r="K3" s="104" t="str">
        <x:v>Yes</x:v>
      </x:c>
      <x:c r="L3" s="104" t="str">
        <x:v>No</x:v>
      </x:c>
      <x:c r="M3" s="104" t="str">
        <x:v>Yes</x:v>
      </x:c>
      <x:c r="N3" s="104" t="str">
        <x:v>Reported offspring/pup count</x:v>
      </x:c>
      <x:c r="O3" s="104" t="str">
        <x:v>No</x:v>
      </x:c>
      <x:c r="P3" s="104" t="str">
        <x:v>Potential within-litter similarity is acknowledged, but dam/litter counts are not consistently available; retain the authors' reported pup n.</x:v>
      </x:c>
      <x:c r="Q3" s="104" t="str">
        <x:v>Approved</x:v>
      </x:c>
      <x:c r="R3" s="104" t="str">
        <x:v>2026-08-13</x:v>
      </x:c>
      <x:c r="S3" s="104" t="str">
        <x:v>included_studies/uygur_2010_aphyhun.pdf, Defensive withdrawal test methods/results</x:v>
      </x:c>
    </x:row>
    <x:row r="4" ht="26.399999618530273" hidden="0" customHeight="1">
      <x:c r="A4" s="104" t="str">
        <x:v>uygur_2010_aphyhun</x:v>
      </x:c>
      <x:c r="B4" s="104" t="str">
        <x:v>es003</x:v>
      </x:c>
      <x:c r="C4" s="104" t="str">
        <x:v>4</x:v>
      </x:c>
      <x:c r="D4" s="104" t="str">
        <x:v>Independent</x:v>
      </x:c>
      <x:c r="E4" s="104" t="str">
        <x:v>uygur_2010_aphyhun</x:v>
      </x:c>
      <x:c r="F4" s="104" t="str">
        <x:v>uygur_2010_aphyhun__CON_PSN</x:v>
      </x:c>
      <x:c r="G4" s="104" t="str">
        <x:v>uygur_2010_aphyhun__DWT</x:v>
      </x:c>
      <x:c r="H4" s="104" t="str">
        <x:v>uygur_2010_aphyhun__CON</x:v>
      </x:c>
      <x:c r="I4" s="104" t="str">
        <x:v>uygur_2010_aphyhun__PSN</x:v>
      </x:c>
      <x:c r="J4" s="104" t="str">
        <x:v>Yes</x:v>
      </x:c>
      <x:c r="K4" s="104" t="str">
        <x:v>Yes</x:v>
      </x:c>
      <x:c r="L4" s="104" t="str">
        <x:v>No</x:v>
      </x:c>
      <x:c r="M4" s="104" t="str">
        <x:v>Yes</x:v>
      </x:c>
      <x:c r="N4" s="104" t="str">
        <x:v>Reported offspring/pup count</x:v>
      </x:c>
      <x:c r="O4" s="104" t="str">
        <x:v>No</x:v>
      </x:c>
      <x:c r="P4" s="104" t="str">
        <x:v>Potential within-litter similarity is acknowledged, but dam/litter counts are not consistently available; retain the authors' reported pup n.</x:v>
      </x:c>
      <x:c r="Q4" s="104" t="str">
        <x:v>Approved</x:v>
      </x:c>
      <x:c r="R4" s="104" t="str">
        <x:v>2026-08-13</x:v>
      </x:c>
      <x:c r="S4" s="104" t="str">
        <x:v>included_studies/uygur_2010_aphyhun.pdf, Defensive withdrawal test methods/results</x:v>
      </x:c>
    </x:row>
    <x:row r="5" ht="26.399999618530273" hidden="0" customHeight="1">
      <x:c r="A5" s="104" t="str">
        <x:v>hassanvand_2012_phyphar</x:v>
      </x:c>
      <x:c r="B5" s="104" t="str">
        <x:v>es010</x:v>
      </x:c>
      <x:c r="C5" s="104" t="str">
        <x:v>11</x:v>
      </x:c>
      <x:c r="D5" s="104" t="str">
        <x:v>Independent</x:v>
      </x:c>
      <x:c r="E5" s="104" t="str">
        <x:v>hassanvand_2012_phyphar</x:v>
      </x:c>
      <x:c r="F5" s="104" t="str">
        <x:v>hassanvand_2012_phyphar__Control_Exp</x:v>
      </x:c>
      <x:c r="G5" s="104" t="str">
        <x:v>hassanvand_2012_phyphar__OFT</x:v>
      </x:c>
      <x:c r="H5" s="104" t="str">
        <x:v>hassanvand_2012_phyphar__Control</x:v>
      </x:c>
      <x:c r="I5" s="104" t="str">
        <x:v>hassanvand_2012_phyphar__Exp</x:v>
      </x:c>
      <x:c r="J5" s="104" t="str">
        <x:v>Yes</x:v>
      </x:c>
      <x:c r="K5" s="104" t="str">
        <x:v>Yes</x:v>
      </x:c>
      <x:c r="L5" s="104" t="str">
        <x:v>No</x:v>
      </x:c>
      <x:c r="M5" s="104" t="str">
        <x:v>Yes</x:v>
      </x:c>
      <x:c r="N5" s="104" t="str">
        <x:v>Reported offspring/pup count</x:v>
      </x:c>
      <x:c r="O5" s="104" t="str">
        <x:v>No</x:v>
      </x:c>
      <x:c r="P5" s="104" t="str">
        <x:v>Potential within-litter similarity is acknowledged, but dam/litter counts are not consistently available; retain the authors' reported pup n.</x:v>
      </x:c>
      <x:c r="Q5" s="104" t="str">
        <x:v>Approved</x:v>
      </x:c>
      <x:c r="R5" s="104" t="str">
        <x:v>2026-08-13</x:v>
      </x:c>
      <x:c r="S5" s="104" t="str">
        <x:v>included_studies/hassanvand_2012_phyphar.pdf, Open-field methods/results</x:v>
      </x:c>
    </x:row>
    <x:row r="6" ht="26.399999618530273" hidden="0" customHeight="1">
      <x:c r="A6" s="104" t="str">
        <x:v>hassanvand_2012_phyphar</x:v>
      </x:c>
      <x:c r="B6" s="104" t="str">
        <x:v>es011</x:v>
      </x:c>
      <x:c r="C6" s="104" t="str">
        <x:v>12</x:v>
      </x:c>
      <x:c r="D6" s="104" t="str">
        <x:v>Independent</x:v>
      </x:c>
      <x:c r="E6" s="104" t="str">
        <x:v>hassanvand_2012_phyphar</x:v>
      </x:c>
      <x:c r="F6" s="104" t="str">
        <x:v>hassanvand_2012_phyphar__Control_Exp</x:v>
      </x:c>
      <x:c r="G6" s="104" t="str">
        <x:v>hassanvand_2012_phyphar__OFT</x:v>
      </x:c>
      <x:c r="H6" s="104" t="str">
        <x:v>hassanvand_2012_phyphar__Control</x:v>
      </x:c>
      <x:c r="I6" s="104" t="str">
        <x:v>hassanvand_2012_phyphar__Exp</x:v>
      </x:c>
      <x:c r="J6" s="104" t="str">
        <x:v>Yes</x:v>
      </x:c>
      <x:c r="K6" s="104" t="str">
        <x:v>Yes</x:v>
      </x:c>
      <x:c r="L6" s="104" t="str">
        <x:v>No</x:v>
      </x:c>
      <x:c r="M6" s="104" t="str">
        <x:v>Yes</x:v>
      </x:c>
      <x:c r="N6" s="104" t="str">
        <x:v>Reported offspring/pup count</x:v>
      </x:c>
      <x:c r="O6" s="104" t="str">
        <x:v>No</x:v>
      </x:c>
      <x:c r="P6" s="104" t="str">
        <x:v>Potential within-litter similarity is acknowledged, but dam/litter counts are not consistently available; retain the authors' reported pup n.</x:v>
      </x:c>
      <x:c r="Q6" s="104" t="str">
        <x:v>Approved</x:v>
      </x:c>
      <x:c r="R6" s="104" t="str">
        <x:v>2026-08-13</x:v>
      </x:c>
      <x:c r="S6" s="104" t="str">
        <x:v>included_studies/hassanvand_2012_phyphar.pdf, Open-field methods/results</x:v>
      </x:c>
    </x:row>
    <x:row r="7" ht="26.399999618530273" hidden="0" customHeight="1">
      <x:c r="A7" s="104" t="str">
        <x:v>hassanvand_2012_phyphar</x:v>
      </x:c>
      <x:c r="B7" s="104" t="str">
        <x:v>es012</x:v>
      </x:c>
      <x:c r="C7" s="104" t="str">
        <x:v>13</x:v>
      </x:c>
      <x:c r="D7" s="104" t="str">
        <x:v>Independent</x:v>
      </x:c>
      <x:c r="E7" s="104" t="str">
        <x:v>hassanvand_2012_phyphar</x:v>
      </x:c>
      <x:c r="F7" s="104" t="str">
        <x:v>hassanvand_2012_phyphar__Control_Exp</x:v>
      </x:c>
      <x:c r="G7" s="104" t="str">
        <x:v>hassanvand_2012_phyphar__OFT</x:v>
      </x:c>
      <x:c r="H7" s="104" t="str">
        <x:v>hassanvand_2012_phyphar__Control</x:v>
      </x:c>
      <x:c r="I7" s="104" t="str">
        <x:v>hassanvand_2012_phyphar__Exp</x:v>
      </x:c>
      <x:c r="J7" s="104" t="str">
        <x:v>Yes</x:v>
      </x:c>
      <x:c r="K7" s="104" t="str">
        <x:v>Yes</x:v>
      </x:c>
      <x:c r="L7" s="104" t="str">
        <x:v>No</x:v>
      </x:c>
      <x:c r="M7" s="104" t="str">
        <x:v>Yes</x:v>
      </x:c>
      <x:c r="N7" s="104" t="str">
        <x:v>Reported offspring/pup count</x:v>
      </x:c>
      <x:c r="O7" s="104" t="str">
        <x:v>No</x:v>
      </x:c>
      <x:c r="P7" s="104" t="str">
        <x:v>Potential within-litter similarity is acknowledged, but dam/litter counts are not consistently available; retain the authors' reported pup n.</x:v>
      </x:c>
      <x:c r="Q7" s="104" t="str">
        <x:v>Approved</x:v>
      </x:c>
      <x:c r="R7" s="104" t="str">
        <x:v>2026-08-13</x:v>
      </x:c>
      <x:c r="S7" s="104" t="str">
        <x:v>included_studies/hassanvand_2012_phyphar.pdf, Open-field methods/results</x:v>
      </x:c>
    </x:row>
    <x:row r="8" ht="26.399999618530273" hidden="0" customHeight="1">
      <x:c r="A8" s="104" t="str">
        <x:v>hadizadeh_2018_irjbamedsci</x:v>
      </x:c>
      <x:c r="B8" s="104" t="str">
        <x:v>es019</x:v>
      </x:c>
      <x:c r="C8" s="104" t="str">
        <x:v>20</x:v>
      </x:c>
      <x:c r="D8" s="104" t="str">
        <x:v>Independent</x:v>
      </x:c>
      <x:c r="E8" s="104" t="str">
        <x:v>hadizadeh_2018_irjbamedsci</x:v>
      </x:c>
      <x:c r="F8" s="104" t="str">
        <x:v>hadizadeh_2018_irjbamedsci__CON_ST</x:v>
      </x:c>
      <x:c r="G8" s="104" t="str">
        <x:v>hadizadeh_2018_irjbamedsci__EPM</x:v>
      </x:c>
      <x:c r="H8" s="104" t="str">
        <x:v>hadizadeh_2018_irjbamedsci__CON</x:v>
      </x:c>
      <x:c r="I8" s="104" t="str">
        <x:v>hadizadeh_2018_irjbamedsci__ST</x:v>
      </x:c>
      <x:c r="J8" s="104" t="str">
        <x:v>Yes</x:v>
      </x:c>
      <x:c r="K8" s="104" t="str">
        <x:v>Yes</x:v>
      </x:c>
      <x:c r="L8" s="104" t="str">
        <x:v>No</x:v>
      </x:c>
      <x:c r="M8" s="104" t="str">
        <x:v>Yes</x:v>
      </x:c>
      <x:c r="N8" s="104" t="str">
        <x:v>Reported offspring/pup count</x:v>
      </x:c>
      <x:c r="O8" s="104" t="str">
        <x:v>No</x:v>
      </x:c>
      <x:c r="P8" s="104" t="str">
        <x:v>Potential within-litter similarity is acknowledged, but dam/litter counts are not consistently available; retain the authors' reported pup n.</x:v>
      </x:c>
      <x:c r="Q8" s="104" t="str">
        <x:v>Approved</x:v>
      </x:c>
      <x:c r="R8" s="104" t="str">
        <x:v>2026-08-13</x:v>
      </x:c>
      <x:c r="S8" s="104" t="str">
        <x:v>included_studies/hadizadeh_2018_irjbamedsci.pdf, experimental groups and EPM methods/results</x:v>
      </x:c>
    </x:row>
    <x:row r="9" ht="26.399999618530273" hidden="0" customHeight="1">
      <x:c r="A9" s="104" t="str">
        <x:v>hadizadeh_2018_irjbamedsci</x:v>
      </x:c>
      <x:c r="B9" s="104" t="str">
        <x:v>es020</x:v>
      </x:c>
      <x:c r="C9" s="104" t="str">
        <x:v>21</x:v>
      </x:c>
      <x:c r="D9" s="104" t="str">
        <x:v>Independent</x:v>
      </x:c>
      <x:c r="E9" s="104" t="str">
        <x:v>hadizadeh_2018_irjbamedsci</x:v>
      </x:c>
      <x:c r="F9" s="104" t="str">
        <x:v>hadizadeh_2018_irjbamedsci__CON_ST</x:v>
      </x:c>
      <x:c r="G9" s="104" t="str">
        <x:v>hadizadeh_2018_irjbamedsci__EPM</x:v>
      </x:c>
      <x:c r="H9" s="104" t="str">
        <x:v>hadizadeh_2018_irjbamedsci__CON</x:v>
      </x:c>
      <x:c r="I9" s="104" t="str">
        <x:v>hadizadeh_2018_irjbamedsci__ST</x:v>
      </x:c>
      <x:c r="J9" s="104" t="str">
        <x:v>Yes</x:v>
      </x:c>
      <x:c r="K9" s="104" t="str">
        <x:v>Yes</x:v>
      </x:c>
      <x:c r="L9" s="104" t="str">
        <x:v>No</x:v>
      </x:c>
      <x:c r="M9" s="104" t="str">
        <x:v>Yes</x:v>
      </x:c>
      <x:c r="N9" s="104" t="str">
        <x:v>Reported offspring/pup count</x:v>
      </x:c>
      <x:c r="O9" s="104" t="str">
        <x:v>No</x:v>
      </x:c>
      <x:c r="P9" s="104" t="str">
        <x:v>Potential within-litter similarity is acknowledged, but dam/litter counts are not consistently available; retain the authors' reported pup n.</x:v>
      </x:c>
      <x:c r="Q9" s="104" t="str">
        <x:v>Approved</x:v>
      </x:c>
      <x:c r="R9" s="104" t="str">
        <x:v>2026-08-13</x:v>
      </x:c>
      <x:c r="S9" s="104" t="str">
        <x:v>included_studies/hadizadeh_2018_irjbamedsci.pdf, experimental groups and EPM methods/results</x:v>
      </x:c>
    </x:row>
  </x:sheetData>
  <x:pageMargins left="0.7" right="0.7" top="0.75" bottom="0.75" header="0.3" footer="0.3"/>
  <x:tableParts count="1">
    <x:tablePart xmlns:r="http://schemas.openxmlformats.org/officeDocument/2006/relationships" r:id="R9e9999ca0d9546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12" hidden="0" customWidth="1"/>
    <x:col min="4" max="4" width="18" hidden="0" customWidth="1"/>
    <x:col min="5" max="5" width="48" hidden="0" customWidth="1"/>
    <x:col min="6" max="6" width="52" hidden="0" customWidth="1"/>
    <x:col min="7" max="7" width="24" hidden="0" customWidth="1"/>
    <x:col min="8" max="8" width="72" hidden="0" customWidth="1"/>
    <x:col min="9" max="9" width="68" hidden="0" customWidth="1"/>
    <x:col min="10" max="10" width="15" hidden="0" customWidth="1"/>
  </x:cols>
  <x:sheetData>
    <x:row r="1" ht="26.399999618530273" hidden="0" customHeight="1">
      <x:c r="A1" s="110" t="str">
        <x:v>study_id</x:v>
      </x:c>
      <x:c r="B1" s="110" t="str">
        <x:v>es_id</x:v>
      </x:c>
      <x:c r="C1" s="110" t="str">
        <x:v>source_csv_row</x:v>
      </x:c>
      <x:c r="D1" s="110" t="str">
        <x:v>variable</x:v>
      </x:c>
      <x:c r="E1" s="110" t="str">
        <x:v>old_value</x:v>
      </x:c>
      <x:c r="F1" s="110" t="str">
        <x:v>new_value</x:v>
      </x:c>
      <x:c r="G1" s="110" t="str">
        <x:v>flag</x:v>
      </x:c>
      <x:c r="H1" s="110" t="str">
        <x:v>rationale</x:v>
      </x:c>
      <x:c r="I1" s="110" t="str">
        <x:v>source</x:v>
      </x:c>
      <x:c r="J1" s="110" t="str">
        <x:v>decision_date</x:v>
      </x:c>
    </x:row>
    <x:row r="2" ht="26.399999618530273" hidden="0" customHeight="1">
      <x:c r="A2" s="104" t="str">
        <x:v>hadizadeh_2018_irjbamedsci</x:v>
      </x:c>
      <x:c r="B2" s="104" t="str">
        <x:v>es019</x:v>
      </x:c>
      <x:c r="C2" s="104" t="str">
        <x:v>20</x:v>
      </x:c>
      <x:c r="D2" s="104" t="str">
        <x:v>id_notes</x:v>
      </x:c>
      <x:c r="E2" s="104" t="str">
        <x:v>one control, one treatment for females and males</x:v>
      </x:c>
      <x:c r="F2" s="104" t="str">
        <x:v>One control and one stress group; male offspring only</x:v>
      </x:c>
      <x:c r="G2" s="104" t="str">
        <x:v>Corrected transcription</x:v>
      </x:c>
      <x:c r="H2" s="104" t="str">
        <x:v>The paper reports that only male offspring were retained for behavioral testing; the prior note incorrectly mentioned females and males.</x:v>
      </x:c>
      <x:c r="I2" s="104" t="str">
        <x:v>included_studies/hadizadeh_2018_irjbamedsci.pdf, experimental design</x:v>
      </x:c>
      <x:c r="J2" s="104" t="str">
        <x:v>2026-08-13</x:v>
      </x:c>
    </x:row>
    <x:row r="3" ht="26.399999618530273" hidden="0" customHeight="1">
      <x:c r="A3" s="104" t="str">
        <x:v>hadizadeh_2018_irjbamedsci</x:v>
      </x:c>
      <x:c r="B3" s="104" t="str">
        <x:v>es020</x:v>
      </x:c>
      <x:c r="C3" s="104" t="str">
        <x:v>21</x:v>
      </x:c>
      <x:c r="D3" s="104" t="str">
        <x:v>id_notes</x:v>
      </x:c>
      <x:c r="E3" s="104" t="str">
        <x:v>one control, one treatment for females and males</x:v>
      </x:c>
      <x:c r="F3" s="104" t="str">
        <x:v>One control and one stress group; male offspring only</x:v>
      </x:c>
      <x:c r="G3" s="104" t="str">
        <x:v>Corrected transcription</x:v>
      </x:c>
      <x:c r="H3" s="104" t="str">
        <x:v>The paper reports that only male offspring were retained for behavioral testing; the prior note incorrectly mentioned females and males.</x:v>
      </x:c>
      <x:c r="I3" s="104" t="str">
        <x:v>included_studies/hadizadeh_2018_irjbamedsci.pdf, experimental design</x:v>
      </x:c>
      <x:c r="J3" s="104" t="str">
        <x:v>2026-08-13</x:v>
      </x:c>
    </x:row>
  </x:sheetData>
  <x:pageMargins left="0.7" right="0.7" top="0.75" bottom="0.75" header="0.3" footer="0.3"/>
  <x:tableParts count="1">
    <x:tablePart xmlns:r="http://schemas.openxmlformats.org/officeDocument/2006/relationships" r:id="Rb4e3cc1da95644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6" t="str">
        <x:v>PCN Block 2 - Approved Design and Dependence Decisions</x:v>
      </x:c>
      <x:c r="B1" s="6"/>
      <x:c r="C1" s="6"/>
      <x:c r="D1" s="6"/>
      <x:c r="E1" s="6"/>
      <x:c r="F1" s="6"/>
    </x:row>
    <x:row r="3">
      <x:c r="A3" s="12" t="str">
        <x:v>Audit metric</x:v>
      </x:c>
      <x:c r="B3" s="13" t="str">
        <x:v>Count</x:v>
      </x:c>
    </x:row>
    <x:row r="4">
      <x:c r="A4" s="18" t="str">
        <x:v>Approved decisions</x:v>
      </x:c>
      <x:c r="B4" s="30" t="n">
        <x:f>COUNTIF('Decisions'!$D$2:$D$5,"Approved")</x:f>
        <x:v>4</x:v>
      </x:c>
    </x:row>
    <x:row r="5">
      <x:c r="A5" s="20" t="str">
        <x:v>Block 2 design rows</x:v>
      </x:c>
      <x:c r="B5" s="31" t="n">
        <x:f>COUNTIF('Design Register'!$Q$2:$Q$9,"Approved")</x:f>
        <x:v>8</x:v>
      </x:c>
    </x:row>
    <x:row r="6">
      <x:c r="A6" s="20" t="str">
        <x:v>Uygur rows</x:v>
      </x:c>
      <x:c r="B6" s="31" t="n">
        <x:f>COUNTIF('Design Register'!$A$2:$A$9,"uygur_2010_aphyhun")</x:f>
        <x:v>3</x:v>
      </x:c>
    </x:row>
    <x:row r="7">
      <x:c r="A7" s="20" t="str">
        <x:v>Hassanvand rows</x:v>
      </x:c>
      <x:c r="B7" s="31" t="n">
        <x:f>COUNTIF('Design Register'!$A$2:$A$9,"hassanvand_2012_phyphar")</x:f>
        <x:v>3</x:v>
      </x:c>
    </x:row>
    <x:row r="8">
      <x:c r="A8" s="22" t="str">
        <x:v>Hadizadeh rows</x:v>
      </x:c>
      <x:c r="B8" s="32" t="n">
        <x:f>COUNTIF('Design Register'!$A$2:$A$9,"hadizadeh_2018_irjbamedsci")</x:f>
        <x:v>2</x:v>
      </x:c>
    </x:row>
    <x:row r="10">
      <x:c r="A10" s="38" t="str">
        <x:v>Approved analysis rules</x:v>
      </x:c>
      <x:c r="B10" s="38"/>
      <x:c r="C10" s="38"/>
      <x:c r="D10" s="38"/>
      <x:c r="E10" s="38"/>
      <x:c r="F10" s="38"/>
    </x:row>
    <x:row r="11" ht="28" customHeight="1">
      <x:c r="A11" s="44" t="str">
        <x:v>All three studies use independent treatment and control arms for lnRR calculation.</x:v>
      </x:c>
      <x:c r="B11" s="44"/>
      <x:c r="C11" s="44"/>
      <x:c r="D11" s="44"/>
      <x:c r="E11" s="44"/>
      <x:c r="F11" s="44"/>
    </x:row>
    <x:row r="12" ht="28" customHeight="1">
      <x:c r="A12" s="44" t="str">
        <x:v>Outcomes remain dependent within their study and behavioural-test clusters.</x:v>
      </x:c>
      <x:c r="B12" s="44"/>
      <x:c r="C12" s="44"/>
      <x:c r="D12" s="44"/>
      <x:c r="E12" s="44"/>
      <x:c r="F12" s="44"/>
    </x:row>
    <x:row r="13" ht="28" customHeight="1">
      <x:c r="A13" s="44" t="str">
        <x:v>Each Block 2 row shares both its control and experimental group with another outcome from the same test.</x:v>
      </x:c>
      <x:c r="B13" s="44"/>
      <x:c r="C13" s="44"/>
      <x:c r="D13" s="44"/>
      <x:c r="E13" s="44"/>
      <x:c r="F13" s="44"/>
    </x:row>
    <x:row r="14" ht="28" customHeight="1">
      <x:c r="A14" s="44" t="str">
        <x:v>These are multiple outcomes from one test session, not repeated measurements over time.</x:v>
      </x:c>
      <x:c r="B14" s="44"/>
      <x:c r="C14" s="44"/>
      <x:c r="D14" s="44"/>
      <x:c r="E14" s="44"/>
      <x:c r="F14" s="44"/>
    </x:row>
    <x:row r="15" ht="28" customHeight="1">
      <x:c r="A15" s="44" t="str">
        <x:v>Hadizadeh metadata now correctly records that behavioural testing involved male offspring only; numerical results are unchanged.</x:v>
      </x:c>
      <x:c r="B15" s="44"/>
      <x:c r="C15" s="44"/>
      <x:c r="D15" s="44"/>
      <x:c r="E15" s="44"/>
      <x:c r="F15" s="44"/>
    </x:row>
    <x:row r="17">
      <x:c r="A17" s="84" t="str">
        <x:v>This workbook covers 8 of the 207 effect-size rows. The cumulative machine-readable register for Blocks 1-2 contains 50 classified rows; the analysis dataset remains 207 rows.</x:v>
      </x:c>
      <x:c r="B17" s="85"/>
      <x:c r="C17" s="85"/>
      <x:c r="D17" s="85"/>
      <x:c r="E17" s="85"/>
      <x:c r="F17" s="86"/>
    </x:row>
    <x:row r="18">
      <x:c r="A18" s="87"/>
      <x:c r="B18" s="88"/>
      <x:c r="C18" s="88"/>
      <x:c r="D18" s="88"/>
      <x:c r="E18" s="88"/>
      <x:c r="F18" s="89"/>
    </x:row>
    <x:row r="19">
      <x:c r="A19" s="90"/>
      <x:c r="B19" s="91"/>
      <x:c r="C19" s="91"/>
      <x:c r="D19" s="91"/>
      <x:c r="E19" s="91"/>
      <x:c r="F19" s="92"/>
    </x:row>
  </x:sheetData>
  <x:mergeCells>
    <x:mergeCell ref="A1:F1"/>
    <x:mergeCell ref="A10:F10"/>
    <x:mergeCell ref="A11:F11"/>
    <x:mergeCell ref="A12:F12"/>
    <x:mergeCell ref="A13:F13"/>
    <x:mergeCell ref="A14:F14"/>
    <x:mergeCell ref="A15:F15"/>
    <x:mergeCell ref="A17:F19"/>
  </x:mergeCells>
  <x:pageMargins left="0.7" right="0.7" top="0.75" bottom="0.75" header="0.3" footer="0.3"/>
</x:worksheet>
</file>