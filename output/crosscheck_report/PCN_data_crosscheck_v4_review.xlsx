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38594d6f364b87" /></Relationships>
</file>

<file path=xl/workbook.xml><?xml version="1.0" encoding="utf-8"?>
<x:workbook xmlns:x="http://schemas.openxmlformats.org/spreadsheetml/2006/main">
  <x:sheets>
    <x:sheet xmlns:r="http://schemas.openxmlformats.org/officeDocument/2006/relationships" name="START HERE" sheetId="1" r:id="Rf317177d14e44701"/>
    <x:sheet xmlns:r="http://schemas.openxmlformats.org/officeDocument/2006/relationships" name="Package queue" sheetId="2" r:id="R2ca2e05b5b15405f"/>
    <x:sheet xmlns:r="http://schemas.openxmlformats.org/officeDocument/2006/relationships" name="Row status" sheetId="3" r:id="R67ed79d81fd64cd9"/>
    <x:sheet xmlns:r="http://schemas.openxmlformats.org/officeDocument/2006/relationships" name="SE review" sheetId="4" r:id="R9628f580f2d14efd"/>
    <x:sheet xmlns:r="http://schemas.openxmlformats.org/officeDocument/2006/relationships" name="Correction log" sheetId="5" r:id="Rcb26f643d38940a7"/>
    <x:sheet xmlns:r="http://schemas.openxmlformats.org/officeDocument/2006/relationships" name="Decision register" sheetId="6" r:id="R033b05f605074621"/>
    <x:sheet xmlns:r="http://schemas.openxmlformats.org/officeDocument/2006/relationships" name="Wrangling plan" sheetId="7" r:id="R33f46fc4b5604f06"/>
    <x:sheet xmlns:r="http://schemas.openxmlformats.org/officeDocument/2006/relationships" name="P1 Uygur 2011" sheetId="8" r:id="Ra296fd3eea10469f"/>
    <x:sheet xmlns:r="http://schemas.openxmlformats.org/officeDocument/2006/relationships" name="P2 Uygur 2010" sheetId="9" r:id="Rbb804ab43a284dd0"/>
    <x:sheet xmlns:r="http://schemas.openxmlformats.org/officeDocument/2006/relationships" name="P3 Arjunan 2023" sheetId="10" r:id="R47aacf5c048b4308"/>
    <x:sheet xmlns:r="http://schemas.openxmlformats.org/officeDocument/2006/relationships" name="P4 Barzegar 2014" sheetId="11" r:id="R2d105d5176d24e5b"/>
    <x:sheet xmlns:r="http://schemas.openxmlformats.org/officeDocument/2006/relationships" name="P5 Abramova 2020" sheetId="12" r:id="Rdd5fcda1496e44d3"/>
    <x:sheet xmlns:r="http://schemas.openxmlformats.org/officeDocument/2006/relationships" name="P6 Abramova 2021" sheetId="13" r:id="Ra71fd2a868914ecd"/>
    <x:sheet xmlns:r="http://schemas.openxmlformats.org/officeDocument/2006/relationships" name="P7 Abramova 2023" sheetId="14" r:id="Racf39d6f25ea4d56"/>
    <x:sheet xmlns:r="http://schemas.openxmlformats.org/officeDocument/2006/relationships" name="Whitlow assumption" sheetId="15" r:id="R4c3a512421924f64"/>
    <x:sheet xmlns:r="http://schemas.openxmlformats.org/officeDocument/2006/relationships" name="Abramova 2024 source" sheetId="16" r:id="R07dcdb4bc6024a64"/>
    <x:sheet xmlns:r="http://schemas.openxmlformats.org/officeDocument/2006/relationships" name="Corrected data" sheetId="17" r:id="Ra6e76cb74dcb470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1"/>
      <x:color rgb="FFFFFFFF"/>
      <x:name val="Aptos Display"/>
    </x:font>
    <x:font>
      <x:i/>
      <x:sz val="11"/>
      <x:color rgb="FF35556D"/>
      <x:name val="Aptos"/>
    </x:font>
    <x:font>
      <x:b/>
      <x:sz val="11"/>
      <x:color rgb="FF15324B"/>
      <x:name val="Carlito"/>
    </x:font>
    <x:font>
      <x:b/>
      <x:sz val="11"/>
      <x:color rgb="FFFFFFFF"/>
      <x:name val="Carlito"/>
    </x:font>
    <x:font>
      <x:sz val="11"/>
      <x:color rgb="FF172033"/>
      <x:name val="Aptos"/>
    </x:font>
    <x:font>
      <x:b/>
      <x:sz val="11"/>
      <x:color rgb="FFFFFFFF"/>
      <x:name val="Aptos"/>
    </x:font>
  </x:fonts>
  <x:fills count="5">
    <x:fill>
      <x:patternFill patternType="none"/>
    </x:fill>
    <x:fill>
      <x:patternFill patternType="gray125"/>
    </x:fill>
    <x:fill>
      <x:patternFill patternType="solid">
        <x:fgColor rgb="FF15324B"/>
      </x:patternFill>
    </x:fill>
    <x:fill>
      <x:patternFill patternType="solid">
        <x:fgColor rgb="FFE8F0F4"/>
      </x:patternFill>
    </x:fill>
    <x:fill>
      <x:patternFill patternType="solid">
        <x:fgColor rgb="FFD9E8EF"/>
      </x:patternFill>
    </x:fill>
  </x:fills>
  <x:borders count="7">
    <x:border/>
    <x:border>
      <x:bottom style="thin">
        <x:color rgb="FFCAD6DE"/>
      </x:bottom>
    </x:border>
    <x:border>
      <x:top style="thin">
        <x:color rgb="FFCAD6DE"/>
      </x:top>
      <x:bottom style="thin">
        <x:color rgb="FFCAD6DE"/>
      </x:bottom>
    </x:border>
    <x:border>
      <x:top style="thin">
        <x:color rgb="FFCAD6DE"/>
      </x:top>
    </x:border>
    <x:border>
      <x:bottom style="thin">
        <x:color rgb="FFDCE4EA"/>
      </x:bottom>
    </x:border>
    <x:border>
      <x:top style="thin">
        <x:color rgb="FFDCE4EA"/>
      </x:top>
      <x:bottom style="thin">
        <x:color rgb="FFDCE4EA"/>
      </x:bottom>
    </x:border>
    <x:border>
      <x:top style="thin">
        <x:color rgb="FFDCE4EA"/>
      </x:top>
    </x:border>
  </x:borders>
  <x:cellStyleXfs count="1">
    <x:xf numFmtId="0" fontId="0" fillId="0" borderId="0"/>
  </x:cellStyleXfs>
  <x:cellXfs count="4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4" xfId="0" applyNumberFormat="1" applyFont="1" applyFill="1" applyBorder="1" applyAlignment="1">
      <x:alignment horizontal="center" wrapText="1"/>
    </x:xf>
    <x:xf numFmtId="0" fontId="3" fillId="0" borderId="5" xfId="0" applyNumberFormat="1" applyFont="1" applyFill="1" applyBorder="1" applyAlignment="1">
      <x:alignment horizontal="center" wrapText="1"/>
    </x:xf>
    <x:xf numFmtId="0" fontId="3" fillId="0" borderId="6" xfId="0" applyNumberFormat="1" applyFont="1" applyFill="1" applyBorder="1" applyAlignment="1">
      <x:alignment horizontal="center" wrapText="1"/>
    </x:xf>
    <x:xf numFmtId="0" fontId="4" fillId="2" borderId="0" xfId="0" applyNumberFormat="1" applyFont="1" applyFill="1" applyBorder="1"/>
    <x:xf numFmtId="0" fontId="3" fillId="4" borderId="4" xfId="0" applyNumberFormat="1" applyFont="1" applyFill="1" applyBorder="1"/>
    <x:xf numFmtId="0" fontId="3" fillId="4" borderId="4" xfId="0" applyNumberFormat="1" applyFont="1" applyFill="1" applyBorder="1" applyAlignment="1">
      <x:alignment wrapText="1"/>
    </x:xf>
    <x:xf numFmtId="0" fontId="3" fillId="4"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2" borderId="0" xfId="0" applyNumberFormat="1" applyFont="1" applyFill="1" applyBorder="1" applyAlignment="1">
      <x:alignment vertical="top"/>
    </x:xf>
    <x:xf numFmtId="0" fontId="6" fillId="2" borderId="0" xfId="0" applyNumberFormat="1" applyFont="1" applyFill="1" applyBorder="1" applyAlignment="1">
      <x:alignment vertical="top"/>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cellXfs>
  <x:cellStyles count="1">
    <x:cellStyle name="Normal" xfId="0"/>
  </x:cellStyles>
  <x:dxfs count="80">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
      <x:font>
        <x:b/>
        <x:color rgb="FF1F6F43"/>
      </x:font>
      <x:fill>
        <x:patternFill patternType="solid">
          <x:bgColor rgb="FFE6F4EA"/>
        </x:patternFill>
      </x:fill>
    </x:dxf>
    <x:dxf>
      <x:font>
        <x:b/>
        <x:color rgb="FF174A70"/>
      </x:font>
      <x:fill>
        <x:patternFill patternType="solid">
          <x:bgColor rgb="FFDDEBF7"/>
        </x:patternFill>
      </x:fill>
    </x:dxf>
    <x:dxf>
      <x:font>
        <x:b/>
        <x:color rgb="FF5B3B82"/>
      </x:font>
      <x:fill>
        <x:patternFill patternType="solid">
          <x:bgColor rgb="FFE8E1F5"/>
        </x:patternFill>
      </x:fill>
    </x:dxf>
    <x:dxf>
      <x:font>
        <x:b/>
        <x:color rgb="FF7A4B00"/>
      </x:font>
      <x:fill>
        <x:patternFill patternType="solid">
          <x:bgColor rgb="FFFFF0CC"/>
        </x:patternFill>
      </x:fill>
    </x:dxf>
    <x:dxf>
      <x:font>
        <x:b/>
        <x:color rgb="FF9C1C13"/>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b3f7900a7b4466" /><Relationship Type="http://schemas.openxmlformats.org/officeDocument/2006/relationships/theme" Target="/xl/theme/theme1.xml" Id="Rcbc4d2424ed242c9" /><Relationship Type="http://schemas.openxmlformats.org/officeDocument/2006/relationships/sharedStrings" Target="/xl/sharedStrings.xml" Id="R7e7bd24aa1fe4887" /><Relationship Type="http://schemas.openxmlformats.org/officeDocument/2006/relationships/worksheet" Target="/xl/worksheets/sheet1.xml" Id="Rf317177d14e44701" /><Relationship Type="http://schemas.openxmlformats.org/officeDocument/2006/relationships/worksheet" Target="/xl/worksheets/sheet2.xml" Id="R2ca2e05b5b15405f" /><Relationship Type="http://schemas.openxmlformats.org/officeDocument/2006/relationships/worksheet" Target="/xl/worksheets/sheet3.xml" Id="R67ed79d81fd64cd9" /><Relationship Type="http://schemas.openxmlformats.org/officeDocument/2006/relationships/worksheet" Target="/xl/worksheets/sheet4.xml" Id="R9628f580f2d14efd" /><Relationship Type="http://schemas.openxmlformats.org/officeDocument/2006/relationships/worksheet" Target="/xl/worksheets/sheet5.xml" Id="Rcb26f643d38940a7" /><Relationship Type="http://schemas.openxmlformats.org/officeDocument/2006/relationships/worksheet" Target="/xl/worksheets/sheet6.xml" Id="R033b05f605074621" /><Relationship Type="http://schemas.openxmlformats.org/officeDocument/2006/relationships/worksheet" Target="/xl/worksheets/sheet7.xml" Id="R33f46fc4b5604f06" /><Relationship Type="http://schemas.openxmlformats.org/officeDocument/2006/relationships/worksheet" Target="/xl/worksheets/sheet8.xml" Id="Ra296fd3eea10469f" /><Relationship Type="http://schemas.openxmlformats.org/officeDocument/2006/relationships/worksheet" Target="/xl/worksheets/sheet9.xml" Id="Rbb804ab43a284dd0" /><Relationship Type="http://schemas.openxmlformats.org/officeDocument/2006/relationships/worksheet" Target="/xl/worksheets/sheet10.xml" Id="R47aacf5c048b4308" /><Relationship Type="http://schemas.openxmlformats.org/officeDocument/2006/relationships/worksheet" Target="/xl/worksheets/sheet11.xml" Id="R2d105d5176d24e5b" /><Relationship Type="http://schemas.openxmlformats.org/officeDocument/2006/relationships/worksheet" Target="/xl/worksheets/sheet12.xml" Id="Rdd5fcda1496e44d3" /><Relationship Type="http://schemas.openxmlformats.org/officeDocument/2006/relationships/worksheet" Target="/xl/worksheets/sheet13.xml" Id="Ra71fd2a868914ecd" /><Relationship Type="http://schemas.openxmlformats.org/officeDocument/2006/relationships/worksheet" Target="/xl/worksheets/sheet14.xml" Id="Racf39d6f25ea4d56" /><Relationship Type="http://schemas.openxmlformats.org/officeDocument/2006/relationships/worksheet" Target="/xl/worksheets/sheet15.xml" Id="R4c3a512421924f64" /><Relationship Type="http://schemas.openxmlformats.org/officeDocument/2006/relationships/worksheet" Target="/xl/worksheets/sheet16.xml" Id="R07dcdb4bc6024a64" /><Relationship Type="http://schemas.openxmlformats.org/officeDocument/2006/relationships/worksheet" Target="/xl/worksheets/sheet17.xml" Id="Ra6e76cb74dcb4706" /></Relationships>
</file>

<file path=xl/tables/table1.xml><?xml version="1.0" encoding="utf-8"?>
<x:table xmlns:x="http://schemas.openxmlformats.org/spreadsheetml/2006/main" id="1" name="PackageQueueTable" displayName="PackageQueueTable" ref="A1:F8" headerRowCount="1" totalsRowCount="0" totalsRowShown="0">
  <x:tableColumns count="6">
    <x:tableColumn id="1" name="package"/>
    <x:tableColumn id="2" name="study_id"/>
    <x:tableColumn id="3" name="rows"/>
    <x:tableColumn id="4" name="what is contained"/>
    <x:tableColumn id="5" name="open analysis decisions"/>
    <x:tableColumn id="6" name="how to review"/>
  </x:tableColumns>
  <x:tableStyleInfo name="TableStyleMedium2" showFirstColumn="0" showLastColumn="0" showRowStripes="1" showColumnStripes="0"/>
</x:table>
</file>

<file path=xl/tables/table2.xml><?xml version="1.0" encoding="utf-8"?>
<x:table xmlns:x="http://schemas.openxmlformats.org/spreadsheetml/2006/main" id="2" name="RowStatusTable" displayName="RowStatusTable" ref="A1:P208" headerRowCount="1" totalsRowCount="0" totalsRowShown="0">
  <x:tableColumns count="16">
    <x:tableColumn id="1" name="source_csv_row"/>
    <x:tableColumn id="2" name="study_id"/>
    <x:tableColumn id="3" name="es_id"/>
    <x:tableColumn id="4" name="offspring_sex"/>
    <x:tableColumn id="5" name="measurement_variable"/>
    <x:tableColumn id="6" name="crosscheck_status"/>
    <x:tableColumn id="7" name="crosscheck_package"/>
    <x:tableColumn id="8" name="crosscheck_notes"/>
    <x:tableColumn id="9" name="c_se_reported"/>
    <x:tableColumn id="10" name="c_se_analysis"/>
    <x:tableColumn id="11" name="c_se_derivation"/>
    <x:tableColumn id="12" name="c_se_source"/>
    <x:tableColumn id="13" name="ex_se_reported"/>
    <x:tableColumn id="14" name="ex_se_analysis"/>
    <x:tableColumn id="15" name="ex_se_derivation"/>
    <x:tableColumn id="16" name="ex_se_source"/>
  </x:tableColumns>
  <x:tableStyleInfo name="TableStyleMedium2" showFirstColumn="0" showLastColumn="0" showRowStripes="1" showColumnStripes="0"/>
</x:table>
</file>

<file path=xl/tables/table3.xml><?xml version="1.0" encoding="utf-8"?>
<x:table xmlns:x="http://schemas.openxmlformats.org/spreadsheetml/2006/main" id="3" name="SEReviewTable" displayName="SEReviewTable" ref="A1:P208" headerRowCount="1" totalsRowCount="0" totalsRowShown="0">
  <x:tableColumns count="16">
    <x:tableColumn id="1" name="source_csv_row"/>
    <x:tableColumn id="2" name="study_id"/>
    <x:tableColumn id="3" name="es_id"/>
    <x:tableColumn id="4" name="offspring_sex"/>
    <x:tableColumn id="5" name="measurement_variable"/>
    <x:tableColumn id="6" name="crosscheck_status"/>
    <x:tableColumn id="7" name="crosscheck_package"/>
    <x:tableColumn id="8" name="crosscheck_notes"/>
    <x:tableColumn id="9" name="c_se_reported"/>
    <x:tableColumn id="10" name="c_se_analysis"/>
    <x:tableColumn id="11" name="c_se_derivation"/>
    <x:tableColumn id="12" name="c_se_source"/>
    <x:tableColumn id="13" name="ex_se_reported"/>
    <x:tableColumn id="14" name="ex_se_analysis"/>
    <x:tableColumn id="15" name="ex_se_derivation"/>
    <x:tableColumn id="16" name="ex_se_source"/>
  </x:tableColumns>
  <x:tableStyleInfo name="TableStyleMedium2" showFirstColumn="0" showLastColumn="0" showRowStripes="1" showColumnStripes="0"/>
</x:table>
</file>

<file path=xl/tables/table4.xml><?xml version="1.0" encoding="utf-8"?>
<x:table xmlns:x="http://schemas.openxmlformats.org/spreadsheetml/2006/main" id="4" name="CorrectionLogTable" displayName="CorrectionLogTable" ref="A1:J425"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5.xml><?xml version="1.0" encoding="utf-8"?>
<x:table xmlns:x="http://schemas.openxmlformats.org/spreadsheetml/2006/main" id="5" name="DecisionRegisterTable" displayName="DecisionRegisterTable" ref="A1:I19" headerRowCount="1" totalsRowCount="0" totalsRowShown="0">
  <x:tableColumns count="9">
    <x:tableColumn id="1" name="package"/>
    <x:tableColumn id="2" name="study_id"/>
    <x:tableColumn id="3" name="es_id"/>
    <x:tableColumn id="4" name="source_csv_row"/>
    <x:tableColumn id="5" name="status"/>
    <x:tableColumn id="6" name="decision"/>
    <x:tableColumn id="7" name="current_treatment"/>
    <x:tableColumn id="8" name="options"/>
    <x:tableColumn id="9" name="source"/>
  </x:tableColumns>
  <x:tableStyleInfo name="TableStyleMedium2" showFirstColumn="0" showLastColumn="0" showRowStripes="1" showColumnStripes="0"/>
</x:table>
</file>

<file path=xl/tables/table6.xml><?xml version="1.0" encoding="utf-8"?>
<x:table xmlns:x="http://schemas.openxmlformats.org/spreadsheetml/2006/main" id="6" name="WranglingPlanTable" displayName="WranglingPlanTable" ref="A1:G5" headerRowCount="1" totalsRowCount="0" totalsRowShown="0">
  <x:tableColumns count="7">
    <x:tableColumn id="1" name="topic"/>
    <x:tableColumn id="2" name="scope"/>
    <x:tableColumn id="3" name="status"/>
    <x:tableColumn id="4" name="decision"/>
    <x:tableColumn id="5" name="implementation_stage"/>
    <x:tableColumn id="6" name="reproducibility_requirement"/>
    <x:tableColumn id="7" name="current_dataset_treatment"/>
  </x:tableColumns>
  <x:tableStyleInfo name="TableStyleMedium2" showFirstColumn="0" showLastColumn="0" showRowStripes="1" showColumnStripes="0"/>
</x:table>
</file>

<file path=xl/tables/table7.xml><?xml version="1.0" encoding="utf-8"?>
<x:table xmlns:x="http://schemas.openxmlformats.org/spreadsheetml/2006/main" id="7" name="P1Uygur2011Table" displayName="P1Uygur2011Table" ref="A1:J9"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8.xml><?xml version="1.0" encoding="utf-8"?>
<x:table xmlns:x="http://schemas.openxmlformats.org/spreadsheetml/2006/main" id="8" name="P2Uygur2010Table" displayName="P2Uygur2010Table" ref="A1:J10"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9.xml><?xml version="1.0" encoding="utf-8"?>
<x:table xmlns:x="http://schemas.openxmlformats.org/spreadsheetml/2006/main" id="9" name="P3Arjunan2023Table" displayName="P3Arjunan2023Table" ref="A1:J22"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0.xml><?xml version="1.0" encoding="utf-8"?>
<x:table xmlns:x="http://schemas.openxmlformats.org/spreadsheetml/2006/main" id="10" name="P4Barzegar2014Table" displayName="P4Barzegar2014Table" ref="A1:J9"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1.xml><?xml version="1.0" encoding="utf-8"?>
<x:table xmlns:x="http://schemas.openxmlformats.org/spreadsheetml/2006/main" id="11" name="P5Abramova2020Table" displayName="P5Abramova2020Table" ref="A1:J46"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2.xml><?xml version="1.0" encoding="utf-8"?>
<x:table xmlns:x="http://schemas.openxmlformats.org/spreadsheetml/2006/main" id="12" name="P6Abramova2021Table" displayName="P6Abramova2021Table" ref="A1:J89"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3.xml><?xml version="1.0" encoding="utf-8"?>
<x:table xmlns:x="http://schemas.openxmlformats.org/spreadsheetml/2006/main" id="13" name="P7Abramova2023Table" displayName="P7Abramova2023Table" ref="A1:J170"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4.xml><?xml version="1.0" encoding="utf-8"?>
<x:table xmlns:x="http://schemas.openxmlformats.org/spreadsheetml/2006/main" id="14" name="WhitlowassumptionTable" displayName="WhitlowassumptionTable" ref="A1:J73"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5.xml><?xml version="1.0" encoding="utf-8"?>
<x:table xmlns:x="http://schemas.openxmlformats.org/spreadsheetml/2006/main" id="15" name="Abramova2024sourceTable" displayName="Abramova2024sourceTable" ref="A1:J5" headerRowCount="1" totalsRowCount="0" totalsRowShown="0">
  <x:tableColumns count="10">
    <x:tableColumn id="1" name="package"/>
    <x:tableColumn id="2" name="study_id"/>
    <x:tableColumn id="3" name="es_id"/>
    <x:tableColumn id="4" name="source_csv_row"/>
    <x:tableColumn id="5" name="field"/>
    <x:tableColumn id="6" name="old_value_v3"/>
    <x:tableColumn id="7" name="new_value_v4"/>
    <x:tableColumn id="8" name="status"/>
    <x:tableColumn id="9" name="source"/>
    <x:tableColumn id="10" name="rationale"/>
  </x:tableColumns>
  <x:tableStyleInfo name="TableStyleMedium2" showFirstColumn="0" showLastColumn="0" showRowStripes="1" showColumnStripes="0"/>
</x:table>
</file>

<file path=xl/tables/table16.xml><?xml version="1.0" encoding="utf-8"?>
<x:table xmlns:x="http://schemas.openxmlformats.org/spreadsheetml/2006/main" id="16" name="CorrectedDataTable" displayName="CorrectedDataTable" ref="A1:CF208" headerRowCount="1" totalsRowCount="0" totalsRowShown="0">
  <x:tableColumns count="84">
    <x:tableColumn id="1" name="source_csv_row"/>
    <x:tableColumn id="2" name="study_id"/>
    <x:tableColumn id="3" name="ex_id"/>
    <x:tableColumn id="4" name="con_id"/>
    <x:tableColumn id="5" name="out_id"/>
    <x:tableColumn id="6" name="es_id"/>
    <x:tableColumn id="7" name="shared_control"/>
    <x:tableColumn id="8" name="id_notes"/>
    <x:tableColumn id="9" name="title"/>
    <x:tableColumn id="10" name="doi"/>
    <x:tableColumn id="11" name="publish_in"/>
    <x:tableColumn id="12" name="outcome_id_notes"/>
    <x:tableColumn id="13" name="sp_latin"/>
    <x:tableColumn id="14" name="sp_common"/>
    <x:tableColumn id="15" name="strain"/>
    <x:tableColumn id="16" name="dam_age"/>
    <x:tableColumn id="17" name="dam_age_notes"/>
    <x:tableColumn id="18" name="gest_stage_ex"/>
    <x:tableColumn id="19" name="gest_stage_ex_notes"/>
    <x:tableColumn id="20" name="exposure_span_d"/>
    <x:tableColumn id="21" name="exposure_type"/>
    <x:tableColumn id="22" name="exposure_session_duration_h"/>
    <x:tableColumn id="23" name="ex_session_duration_notes"/>
    <x:tableColumn id="24" name="noise_type"/>
    <x:tableColumn id="25" name="noise_type_2"/>
    <x:tableColumn id="26" name="loudness_dB"/>
    <x:tableColumn id="27" name="frequency_Hz"/>
    <x:tableColumn id="28" name="control_conditions"/>
    <x:tableColumn id="29" name="control_loudness"/>
    <x:tableColumn id="30" name="control_notes"/>
    <x:tableColumn id="31" name="offspring_sex"/>
    <x:tableColumn id="32" name="offspring_age_d"/>
    <x:tableColumn id="33" name="offspring_age_notes"/>
    <x:tableColumn id="34" name="experimental_procedures"/>
    <x:tableColumn id="35" name="experimental_procedures_notes"/>
    <x:tableColumn id="36" name="outcome_type"/>
    <x:tableColumn id="37" name="assay_type"/>
    <x:tableColumn id="38" name="assay_type_notes"/>
    <x:tableColumn id="39" name="measurement_variable"/>
    <x:tableColumn id="40" name="data_type"/>
    <x:tableColumn id="41" name="data_units"/>
    <x:tableColumn id="42" name="measurement_timing"/>
    <x:tableColumn id="43" name="data_source"/>
    <x:tableColumn id="44" name="data_file"/>
    <x:tableColumn id="45" name="c_a_id"/>
    <x:tableColumn id="46" name="ex_a_id"/>
    <x:tableColumn id="47" name="comparison"/>
    <x:tableColumn id="48" name="comparison_structure"/>
    <x:tableColumn id="49" name="higher_better"/>
    <x:tableColumn id="50" name="higher_better_notes"/>
    <x:tableColumn id="51" name="higher_better_notes.1"/>
    <x:tableColumn id="52" name="c_mean"/>
    <x:tableColumn id="53" name="c_sd"/>
    <x:tableColumn id="54" name="c_n"/>
    <x:tableColumn id="55" name="c_se"/>
    <x:tableColumn id="56" name="c_ci"/>
    <x:tableColumn id="57" name="ex_mean"/>
    <x:tableColumn id="58" name="ex_sd"/>
    <x:tableColumn id="59" name="ex_n"/>
    <x:tableColumn id="60" name="ex_se"/>
    <x:tableColumn id="61" name="ex_ci"/>
    <x:tableColumn id="62" name="stat_comment"/>
    <x:tableColumn id="63" name="general_comment"/>
    <x:tableColumn id="64" name="c_median"/>
    <x:tableColumn id="65" name="c_q1"/>
    <x:tableColumn id="66" name="c_q3"/>
    <x:tableColumn id="67" name="ex_median"/>
    <x:tableColumn id="68" name="ex_q1"/>
    <x:tableColumn id="69" name="ex_q3"/>
    <x:tableColumn id="70" name="checked_ML"/>
    <x:tableColumn id="71" name="checked_ML_comments"/>
    <x:tableColumn id="72" name="Unnamed: 70"/>
    <x:tableColumn id="73" name="corrections_notes_AL"/>
    <x:tableColumn id="74" name="c_se_reported"/>
    <x:tableColumn id="75" name="c_se_analysis"/>
    <x:tableColumn id="76" name="c_se_derivation"/>
    <x:tableColumn id="77" name="c_se_source"/>
    <x:tableColumn id="78" name="ex_se_reported"/>
    <x:tableColumn id="79" name="ex_se_analysis"/>
    <x:tableColumn id="80" name="ex_se_derivation"/>
    <x:tableColumn id="81" name="ex_se_source"/>
    <x:tableColumn id="82" name="crosscheck_status"/>
    <x:tableColumn id="83" name="crosscheck_package"/>
    <x:tableColumn id="84" name="crosscheck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56d04281114d56" /></Relationships>
</file>

<file path=xl/worksheets/_rels/sheet3.xml.rels>&#65279;<?xml version="1.0" encoding="utf-8"?><Relationships xmlns="http://schemas.openxmlformats.org/package/2006/relationships"><Relationship Type="http://schemas.openxmlformats.org/officeDocument/2006/relationships/table" Target="/xl/tables/table2.xml" Id="R751f8718d20741db" /></Relationships>
</file>

<file path=xl/worksheets/_rels/sheet4.xml.rels>&#65279;<?xml version="1.0" encoding="utf-8"?><Relationships xmlns="http://schemas.openxmlformats.org/package/2006/relationships"><Relationship Type="http://schemas.openxmlformats.org/officeDocument/2006/relationships/table" Target="/xl/tables/table3.xml" Id="Rb1925de1ec104b2f" /></Relationships>
</file>

<file path=xl/worksheets/_rels/sheet5.xml.rels>&#65279;<?xml version="1.0" encoding="utf-8"?><Relationships xmlns="http://schemas.openxmlformats.org/package/2006/relationships"><Relationship Type="http://schemas.openxmlformats.org/officeDocument/2006/relationships/table" Target="/xl/tables/table4.xml" Id="Rb977a3c9c7184f14" /></Relationships>
</file>

<file path=xl/worksheets/_rels/sheet6.xml.rels>&#65279;<?xml version="1.0" encoding="utf-8"?><Relationships xmlns="http://schemas.openxmlformats.org/package/2006/relationships"><Relationship Type="http://schemas.openxmlformats.org/officeDocument/2006/relationships/table" Target="/xl/tables/table5.xml" Id="R561fde839462436a" /></Relationships>
</file>

<file path=xl/worksheets/_rels/sheet7.xml.rels>&#65279;<?xml version="1.0" encoding="utf-8"?><Relationships xmlns="http://schemas.openxmlformats.org/package/2006/relationships"><Relationship Type="http://schemas.openxmlformats.org/officeDocument/2006/relationships/table" Target="/xl/tables/table6.xml" Id="R01b4c6936ca64b71" /></Relationships>
</file>

<file path=xl/worksheets/_rels/sheet8.xml.rels>&#65279;<?xml version="1.0" encoding="utf-8"?><Relationships xmlns="http://schemas.openxmlformats.org/package/2006/relationships"><Relationship Type="http://schemas.openxmlformats.org/officeDocument/2006/relationships/table" Target="/xl/tables/table7.xml" Id="Rb0af94eb28d542dd" /></Relationships>
</file>

<file path=xl/worksheets/_rels/sheet9.xml.rels>&#65279;<?xml version="1.0" encoding="utf-8"?><Relationships xmlns="http://schemas.openxmlformats.org/package/2006/relationships"><Relationship Type="http://schemas.openxmlformats.org/officeDocument/2006/relationships/table" Target="/xl/tables/table8.xml" Id="Rd1eab864eac249cc" /></Relationships>
</file>

<file path=xl/worksheets/_rels/sheet10.xml.rels>&#65279;<?xml version="1.0" encoding="utf-8"?><Relationships xmlns="http://schemas.openxmlformats.org/package/2006/relationships"><Relationship Type="http://schemas.openxmlformats.org/officeDocument/2006/relationships/table" Target="/xl/tables/table9.xml" Id="Rbece1989b09947b8" /></Relationships>
</file>

<file path=xl/worksheets/_rels/sheet11.xml.rels>&#65279;<?xml version="1.0" encoding="utf-8"?><Relationships xmlns="http://schemas.openxmlformats.org/package/2006/relationships"><Relationship Type="http://schemas.openxmlformats.org/officeDocument/2006/relationships/table" Target="/xl/tables/table10.xml" Id="Rf26a840c96234c15" /></Relationships>
</file>

<file path=xl/worksheets/_rels/sheet12.xml.rels>&#65279;<?xml version="1.0" encoding="utf-8"?><Relationships xmlns="http://schemas.openxmlformats.org/package/2006/relationships"><Relationship Type="http://schemas.openxmlformats.org/officeDocument/2006/relationships/table" Target="/xl/tables/table11.xml" Id="R28a4b5faf93b4316" /></Relationships>
</file>

<file path=xl/worksheets/_rels/sheet13.xml.rels>&#65279;<?xml version="1.0" encoding="utf-8"?><Relationships xmlns="http://schemas.openxmlformats.org/package/2006/relationships"><Relationship Type="http://schemas.openxmlformats.org/officeDocument/2006/relationships/table" Target="/xl/tables/table12.xml" Id="Rcbd947033d8f437c" /></Relationships>
</file>

<file path=xl/worksheets/_rels/sheet14.xml.rels>&#65279;<?xml version="1.0" encoding="utf-8"?><Relationships xmlns="http://schemas.openxmlformats.org/package/2006/relationships"><Relationship Type="http://schemas.openxmlformats.org/officeDocument/2006/relationships/table" Target="/xl/tables/table13.xml" Id="R28bcf359076343f4" /></Relationships>
</file>

<file path=xl/worksheets/_rels/sheet15.xml.rels>&#65279;<?xml version="1.0" encoding="utf-8"?><Relationships xmlns="http://schemas.openxmlformats.org/package/2006/relationships"><Relationship Type="http://schemas.openxmlformats.org/officeDocument/2006/relationships/table" Target="/xl/tables/table14.xml" Id="Rc857968318974e8d" /></Relationships>
</file>

<file path=xl/worksheets/_rels/sheet16.xml.rels>&#65279;<?xml version="1.0" encoding="utf-8"?><Relationships xmlns="http://schemas.openxmlformats.org/package/2006/relationships"><Relationship Type="http://schemas.openxmlformats.org/officeDocument/2006/relationships/table" Target="/xl/tables/table15.xml" Id="R0a9317a5472f48a5" /></Relationships>
</file>

<file path=xl/worksheets/_rels/sheet17.xml.rels>&#65279;<?xml version="1.0" encoding="utf-8"?><Relationships xmlns="http://schemas.openxmlformats.org/package/2006/relationships"><Relationship Type="http://schemas.openxmlformats.org/officeDocument/2006/relationships/table" Target="/xl/tables/table16.xml" Id="R4dc56ef0317c4846"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83" hidden="0" customWidth="1"/>
    <x:col min="3" max="3" width="18" hidden="0" customWidth="1"/>
    <x:col min="4" max="4" width="55" hidden="0" customWidth="1"/>
    <x:col min="5" max="5" width="14" hidden="0" customWidth="1"/>
    <x:col min="6" max="6" width="20" hidden="0" customWidth="1"/>
    <x:col min="7" max="7" width="14" hidden="0" customWidth="1"/>
    <x:col min="8" max="8" width="14" hidden="0" customWidth="1"/>
  </x:cols>
  <x:sheetData>
    <x:row r="1" ht="42" customHeight="1">
      <x:c r="A1" s="2" t="str">
        <x:v>PCN cross-check: seven correction packages</x:v>
      </x:c>
      <x:c r="B1" s="2"/>
      <x:c r="C1" s="2"/>
      <x:c r="D1" s="2"/>
      <x:c r="E1" s="2"/>
      <x:c r="F1" s="2"/>
      <x:c r="G1" s="2"/>
      <x:c r="H1" s="2"/>
    </x:row>
    <x:row r="2" ht="28" customHeight="1">
      <x:c r="A2" s="4" t="str">
        <x:v>Protected v4 review workbook — reported author values are separated from analysis-ready SEs</x:v>
      </x:c>
      <x:c r="B2" s="4"/>
      <x:c r="C2" s="4"/>
      <x:c r="D2" s="4"/>
      <x:c r="E2" s="4"/>
      <x:c r="F2" s="4"/>
      <x:c r="G2" s="4"/>
      <x:c r="H2" s="4"/>
    </x:row>
    <x:row r="4">
      <x:c r="A4" s="11" t="str">
        <x:v>Original preserved</x:v>
      </x:c>
      <x:c r="B4" s="12" t="str">
        <x:v>Data/PCN_data_ext_checking_v.3.csv; SHA-256 0bd770a4f117ead932c53b282c823a312a1526170c49f83623c8a7bb9b59a0fc</x:v>
      </x:c>
      <x:c r="D4" s="6" t="str">
        <x:v>Row status summary</x:v>
      </x:c>
      <x:c r="E4" s="6"/>
      <x:c r="F4" s="6"/>
    </x:row>
    <x:row r="5">
      <x:c r="A5" s="13" t="str">
        <x:v>New data file</x:v>
      </x:c>
      <x:c r="B5" s="14" t="str">
        <x:v>Data/PCN_data_ext_checking_v.4_crosschecked.csv</x:v>
      </x:c>
      <x:c r="D5" s="20" t="str">
        <x:v>Verified – no change</x:v>
      </x:c>
      <x:c r="E5" s="26" t="n">
        <x:f>COUNTIF('Row status'!F2:F208,"Verified – no change")</x:f>
        <x:v>58</x:v>
      </x:c>
      <x:c r="F5" s="20" t="str">
        <x:v>Ready</x:v>
      </x:c>
    </x:row>
    <x:row r="6">
      <x:c r="A6" s="13" t="str">
        <x:v>Use for analysis</x:v>
      </x:c>
      <x:c r="B6" s="14" t="str">
        <x:v>Use c_se_analysis and ex_se_analysis. Do not use the legacy c_se/ex_se columns for new analysis.</x:v>
      </x:c>
      <x:c r="D6" s="21" t="str">
        <x:v>Corrected transcription</x:v>
      </x:c>
      <x:c r="E6" s="27" t="n">
        <x:f>COUNTIF('Row status'!F2:F208,"Corrected transcription")</x:f>
        <x:v>62</x:v>
      </x:c>
      <x:c r="F6" s="21" t="str">
        <x:v>Applied</x:v>
      </x:c>
    </x:row>
    <x:row r="7">
      <x:c r="A7" s="13" t="str">
        <x:v>Reported values</x:v>
      </x:c>
      <x:c r="B7" s="14" t="str">
        <x:v>c_se_reported/ex_se_reported contain only SEMs reported by the paper or digitised as reported SEM.</x:v>
      </x:c>
      <x:c r="D7" s="21" t="str">
        <x:v>Corrected derived value</x:v>
      </x:c>
      <x:c r="E7" s="27" t="n">
        <x:f>COUNTIF('Row status'!F2:F208,"Corrected derived value")</x:f>
        <x:v>69</x:v>
      </x:c>
      <x:c r="F7" s="21" t="str">
        <x:v>Applied</x:v>
      </x:c>
    </x:row>
    <x:row r="8">
      <x:c r="A8" s="13" t="str">
        <x:v>Derived values</x:v>
      </x:c>
      <x:c r="B8" s="14" t="str">
        <x:v>c_se_analysis/ex_se_analysis may equal a reported SEM or be calculated as SD/sqrt(n); the derivation and source are adjacent.</x:v>
      </x:c>
      <x:c r="D8" s="21" t="str">
        <x:v>Analysis decision required</x:v>
      </x:c>
      <x:c r="E8" s="27" t="n">
        <x:f>COUNTIF('Row status'!F2:F208,"Analysis decision required")</x:f>
        <x:v>18</x:v>
      </x:c>
      <x:c r="F8" s="21" t="str">
        <x:v>Decide later</x:v>
      </x:c>
    </x:row>
    <x:row r="9">
      <x:c r="A9" s="13" t="str">
        <x:v>R wrangling later</x:v>
      </x:c>
      <x:c r="B9" s="14" t="str">
        <x:v>Do not estimate missing central tendencies here. Abramova median/IQR conversions are deferred to auditable R code for IRR/analysis preparation.</x:v>
      </x:c>
      <x:c r="D9" s="22" t="str">
        <x:v>Source needed</x:v>
      </x:c>
      <x:c r="E9" s="28" t="n">
        <x:f>COUNTIF('Row status'!F2:F208,"Source needed")</x:f>
        <x:v>0</x:v>
      </x:c>
      <x:c r="F9" s="22" t="str">
        <x:v>Obtain source</x:v>
      </x:c>
    </x:row>
    <x:row r="10">
      <x:c r="A10" s="15" t="str">
        <x:v>Accepted assumption</x:v>
      </x:c>
      <x:c r="B10" s="16" t="str">
        <x:v>Whitlow 1978 uses SD=sqrt(mean), then SE=SD/sqrt(n). These values are labelled as analysis assumptions, never author-reported variance.</x:v>
      </x:c>
    </x:row>
    <x:row r="12" ht="25" customHeight="1">
      <x:c r="A12" s="29" t="str">
        <x:v>SE field guide</x:v>
      </x:c>
      <x:c r="B12" s="29"/>
      <x:c r="C12" s="29"/>
      <x:c r="D12" s="29"/>
      <x:c r="E12" s="29"/>
      <x:c r="F12" s="29"/>
      <x:c r="G12" s="29"/>
      <x:c r="H12" s="29"/>
    </x:row>
    <x:row r="13">
      <x:c r="A13" s="32" t="str">
        <x:v>Field</x:v>
      </x:c>
      <x:c r="B13" s="32" t="str">
        <x:v>Meaning</x:v>
      </x:c>
      <x:c r="C13" s="32" t="str">
        <x:v>May be blank?</x:v>
      </x:c>
      <x:c r="D13" s="32" t="str">
        <x:v>Rule</x:v>
      </x:c>
    </x:row>
    <x:row r="14">
      <x:c r="A14" s="33" t="str">
        <x:v>c_se_reported / ex_se_reported</x:v>
      </x:c>
      <x:c r="B14" s="33" t="str">
        <x:v>SEM explicitly reported by authors or digitised from a figure labelled as SEM</x:v>
      </x:c>
      <x:c r="C14" s="33" t="str">
        <x:v>Yes</x:v>
      </x:c>
      <x:c r="D14" s="33" t="str">
        <x:v>Never calculate a value into this field.</x:v>
      </x:c>
    </x:row>
    <x:row r="15">
      <x:c r="A15" s="33" t="str">
        <x:v>c_se_analysis / ex_se_analysis</x:v>
      </x:c>
      <x:c r="B15" s="33" t="str">
        <x:v>SE selected for meta-analysis</x:v>
      </x:c>
      <x:c r="C15" s="33" t="str">
        <x:v>Yes</x:v>
      </x:c>
      <x:c r="D15" s="33" t="str">
        <x:v>Use reported SEM unchanged, or derive from verified SD and n.</x:v>
      </x:c>
    </x:row>
    <x:row r="16">
      <x:c r="A16" s="33" t="str">
        <x:v>c_se_derivation / ex_se_derivation</x:v>
      </x:c>
      <x:c r="B16" s="33" t="str">
        <x:v>How the analysis SE was obtained</x:v>
      </x:c>
      <x:c r="C16" s="33" t="str">
        <x:v>No</x:v>
      </x:c>
      <x:c r="D16" s="33" t="str">
        <x:v>Formula or reason for leaving the SE blank.</x:v>
      </x:c>
    </x:row>
    <x:row r="17">
      <x:c r="A17" s="33" t="str">
        <x:v>c_se_source / ex_se_source</x:v>
      </x:c>
      <x:c r="B17" s="33" t="str">
        <x:v>Paper, figure, workbook, or raw-data source</x:v>
      </x:c>
      <x:c r="C17" s="33" t="str">
        <x:v>No</x:v>
      </x:c>
      <x:c r="D17" s="33" t="str">
        <x:v>Keep enough detail to trace the value.</x:v>
      </x:c>
    </x:row>
    <x:row r="18">
      <x:c r="A18" s="34" t="str">
        <x:v>legacy c_se / ex_se</x:v>
      </x:c>
      <x:c r="B18" s="34" t="str">
        <x:v>The original v3 extraction values</x:v>
      </x:c>
      <x:c r="C18" s="34" t="str">
        <x:v>Yes</x:v>
      </x:c>
      <x:c r="D18" s="34" t="str">
        <x:v>Preserved for provenance; not the analysis field.</x:v>
      </x:c>
    </x:row>
  </x:sheetData>
  <x:mergeCells>
    <x:mergeCell ref="A1:H1"/>
    <x:mergeCell ref="A2:H2"/>
    <x:mergeCell ref="D4:F4"/>
    <x:mergeCell ref="A12:H12"/>
  </x:mergeCells>
  <x:conditionalFormatting sqref="D5:D9">
    <x:cfRule type="containsText" dxfId="0" priority="1" operator="containsText" text="Verified"/>
    <x:cfRule type="containsText" dxfId="1" priority="2" operator="containsText" text="Corrected transcription"/>
    <x:cfRule type="containsText" dxfId="2" priority="3" operator="containsText" text="Corrected derived value"/>
    <x:cfRule type="containsText" dxfId="3" priority="4" operator="containsText" text="Analysis decision required"/>
    <x:cfRule type="containsText" dxfId="4" priority="5" operator="containsText" text="Source need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3" hidden="0" customWidth="1"/>
    <x:col min="2" max="2" width="30" hidden="0" customWidth="1"/>
    <x:col min="3" max="3" width="10" hidden="0" customWidth="1"/>
    <x:col min="4" max="4" width="70" hidden="0" customWidth="1"/>
    <x:col min="5" max="5" width="24" hidden="0" customWidth="1"/>
    <x:col min="6" max="6" width="62" hidden="0" customWidth="1"/>
  </x:cols>
  <x:sheetData>
    <x:row r="1" ht="34" customHeight="1">
      <x:c r="A1" s="40" t="str">
        <x:v>package</x:v>
      </x:c>
      <x:c r="B1" s="40" t="str">
        <x:v>study_id</x:v>
      </x:c>
      <x:c r="C1" s="40" t="str">
        <x:v>rows</x:v>
      </x:c>
      <x:c r="D1" s="40" t="str">
        <x:v>what is contained</x:v>
      </x:c>
      <x:c r="E1" s="40" t="str">
        <x:v>open analysis decisions</x:v>
      </x:c>
      <x:c r="F1" s="40" t="str">
        <x:v>how to review</x:v>
      </x:c>
    </x:row>
    <x:row r="2">
      <x:c r="A2" s="42" t="str">
        <x:v>1 – Uygur 2011 outcome units</x:v>
      </x:c>
      <x:c r="B2" s="42" t="str">
        <x:v>uygur_2011_ankarauniv</x:v>
      </x:c>
      <x:c r="C2" s="42" t="str">
        <x:v>4</x:v>
      </x:c>
      <x:c r="D2" s="42" t="str">
        <x:v>Diving and jumping recoded as time in seconds</x:v>
      </x:c>
      <x:c r="E2" s="42" t="str">
        <x:v>No</x:v>
      </x:c>
      <x:c r="F2" s="42" t="str">
        <x:v>Review the four rows, then accept or reject this package as a unit.</x:v>
      </x:c>
    </x:row>
    <x:row r="3">
      <x:c r="A3" s="43" t="str">
        <x:v>2 – Uygur 2010 exposure and sample sizes</x:v>
      </x:c>
      <x:c r="B3" s="43" t="str">
        <x:v>uygur_2010_aphyhun</x:v>
      </x:c>
      <x:c r="C3" s="43" t="str">
        <x:v>3</x:v>
      </x:c>
      <x:c r="D3" s="43" t="str">
        <x:v>45 min converted to 0.75 h; control/exposed n corrected to 10/9</x:v>
      </x:c>
      <x:c r="E3" s="43" t="str">
        <x:v>No</x:v>
      </x:c>
      <x:c r="F3" s="43" t="str">
        <x:v>Review Methods and Table II evidence.</x:v>
      </x:c>
    </x:row>
    <x:row r="4">
      <x:c r="A4" s="43" t="str">
        <x:v>3 – Arjunan 2023 acoustic exposure</x:v>
      </x:c>
      <x:c r="B4" s="43" t="str">
        <x:v>arjunan_2023_stress</x:v>
      </x:c>
      <x:c r="C4" s="43" t="str">
        <x:v>6</x:v>
      </x:c>
      <x:c r="D4" s="43" t="str">
        <x:v>White/broadband noise, 0–20,000 Hz; source filenames repaired</x:v>
      </x:c>
      <x:c r="E4" s="43" t="str">
        <x:v>No</x:v>
      </x:c>
      <x:c r="F4" s="43" t="str">
        <x:v>Review the exposure classification before moderator coding.</x:v>
      </x:c>
    </x:row>
    <x:row r="5">
      <x:c r="A5" s="43" t="str">
        <x:v>4 – Barzegar 2014 title and SEM</x:v>
      </x:c>
      <x:c r="B5" s="43" t="str">
        <x:v>barzegar_2014_hippo</x:v>
      </x:c>
      <x:c r="C5" s="43" t="str">
        <x:v>6</x:v>
      </x:c>
      <x:c r="D5" s="43" t="str">
        <x:v>Copied title and figure paths repaired; es006 SEM separated from SD</x:v>
      </x:c>
      <x:c r="E5" s="43" t="str">
        <x:v>No</x:v>
      </x:c>
      <x:c r="F5" s="43" t="str">
        <x:v>Check es006 first; the analysis SEM is 2.666667 while the legacy c/ex SE fields remain preserved.</x:v>
      </x:c>
    </x:row>
    <x:row r="6">
      <x:c r="A6" s="43" t="str">
        <x:v>5 – Abramova 2020 derived SEs</x:v>
      </x:c>
      <x:c r="B6" s="43" t="str">
        <x:v>abramova_2020_genpath</x:v>
      </x:c>
      <x:c r="C6" s="43" t="str">
        <x:v>34</x:v>
      </x:c>
      <x:c r="D6" s="43" t="str">
        <x:v>SE recalculated as SD/sqrt(n); es162 source SD repaired</x:v>
      </x:c>
      <x:c r="E6" s="43" t="str">
        <x:v>No</x:v>
      </x:c>
      <x:c r="F6" s="43" t="str">
        <x:v>Author/raw inputs are preserved; only deterministic derived values change.</x:v>
      </x:c>
    </x:row>
    <x:row r="7">
      <x:c r="A7" s="43" t="str">
        <x:v>6 – Abramova 2021 same-sex controls</x:v>
      </x:c>
      <x:c r="B7" s="43" t="str">
        <x:v>abramova_2021_front</x:v>
      </x:c>
      <x:c r="C7" s="43" t="str">
        <x:v>14</x:v>
      </x:c>
      <x:c r="D7" s="43" t="str">
        <x:v>Controls recalculated from the author raw subgroup matching offspring sex; center-time units repaired</x:v>
      </x:c>
      <x:c r="E7" s="43" t="str">
        <x:v>No</x:v>
      </x:c>
      <x:c r="F7" s="43" t="str">
        <x:v>Review the female and male rows in pairs; exposed summaries were already correct.</x:v>
      </x:c>
    </x:row>
    <x:row r="8">
      <x:c r="A8" s="44" t="str">
        <x:v>7 – Abramova 2023 identifiers and units</x:v>
      </x:c>
      <x:c r="B8" s="44" t="str">
        <x:v>abramova_2023_biopsy</x:v>
      </x:c>
      <x:c r="C8" s="44" t="str">
        <x:v>44</x:v>
      </x:c>
      <x:c r="D8" s="44" t="str">
        <x:v>Sex-coded IDs, source path, and grooming-duration units repaired</x:v>
      </x:c>
      <x:c r="E8" s="44" t="str">
        <x:v>18 rows deferred to R</x:v>
      </x:c>
      <x:c r="F8" s="44" t="str">
        <x:v>Transcription repairs are applied; median/IQR estimates will be generated reproducibly during R data wrangling.</x:v>
      </x:c>
    </x:row>
  </x:sheetData>
  <x:pageMargins left="0.7" right="0.7" top="0.75" bottom="0.75" header="0.3" footer="0.3"/>
  <x:tableParts count="1">
    <x:tablePart xmlns:r="http://schemas.openxmlformats.org/officeDocument/2006/relationships" r:id="Rec56d04281114d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1" hidden="0" customWidth="1"/>
    <x:col min="4" max="4" width="13" hidden="0" customWidth="1"/>
    <x:col min="5" max="5" width="38" hidden="0" customWidth="1"/>
    <x:col min="6" max="6" width="28" hidden="0" customWidth="1"/>
    <x:col min="7" max="7" width="42" hidden="0" customWidth="1"/>
    <x:col min="8" max="8" width="75" hidden="0" customWidth="1"/>
    <x:col min="9" max="9" width="15" hidden="0" customWidth="1"/>
    <x:col min="10" max="10" width="15" hidden="0" customWidth="1"/>
    <x:col min="11" max="11" width="55" hidden="0" customWidth="1"/>
    <x:col min="12" max="12" width="65" hidden="0" customWidth="1"/>
    <x:col min="13" max="13" width="15" hidden="0" customWidth="1"/>
    <x:col min="14" max="14" width="15" hidden="0" customWidth="1"/>
    <x:col min="15" max="15" width="55" hidden="0" customWidth="1"/>
    <x:col min="16" max="16" width="65" hidden="0" customWidth="1"/>
  </x:cols>
  <x:sheetData>
    <x:row r="1" ht="34" customHeight="1">
      <x:c r="A1" s="40" t="str">
        <x:v>source_csv_row</x:v>
      </x:c>
      <x:c r="B1" s="40" t="str">
        <x:v>study_id</x:v>
      </x:c>
      <x:c r="C1" s="40" t="str">
        <x:v>es_id</x:v>
      </x:c>
      <x:c r="D1" s="40" t="str">
        <x:v>offspring_sex</x:v>
      </x:c>
      <x:c r="E1" s="40" t="str">
        <x:v>measurement_variable</x:v>
      </x:c>
      <x:c r="F1" s="40" t="str">
        <x:v>crosscheck_status</x:v>
      </x:c>
      <x:c r="G1" s="40" t="str">
        <x:v>crosscheck_package</x:v>
      </x:c>
      <x:c r="H1" s="40" t="str">
        <x:v>crosscheck_notes</x:v>
      </x:c>
      <x:c r="I1" s="40" t="str">
        <x:v>c_se_reported</x:v>
      </x:c>
      <x:c r="J1" s="40" t="str">
        <x:v>c_se_analysis</x:v>
      </x:c>
      <x:c r="K1" s="40" t="str">
        <x:v>c_se_derivation</x:v>
      </x:c>
      <x:c r="L1" s="40" t="str">
        <x:v>c_se_source</x:v>
      </x:c>
      <x:c r="M1" s="40" t="str">
        <x:v>ex_se_reported</x:v>
      </x:c>
      <x:c r="N1" s="40" t="str">
        <x:v>ex_se_analysis</x:v>
      </x:c>
      <x:c r="O1" s="40" t="str">
        <x:v>ex_se_derivation</x:v>
      </x:c>
      <x:c r="P1" s="40" t="str">
        <x:v>ex_se_source</x:v>
      </x:c>
    </x:row>
    <x:row r="2">
      <x:c r="A2" s="42" t="str">
        <x:v>2</x:v>
      </x:c>
      <x:c r="B2" s="42" t="str">
        <x:v>uygur_2010_aphyhun</x:v>
      </x:c>
      <x:c r="C2" s="42" t="str">
        <x:v>es001</x:v>
      </x:c>
      <x:c r="D2" s="42" t="str">
        <x:v>male</x:v>
      </x:c>
      <x:c r="E2" s="42" t="str">
        <x:v>Latency to exit the dark box</x:v>
      </x:c>
      <x:c r="F2" s="42" t="str">
        <x:v>Corrected transcription</x:v>
      </x:c>
      <x:c r="G2" s="42" t="str">
        <x:v>2 – Uygur 2010 exposure and sample sizes</x:v>
      </x:c>
      <x:c r="H2" s="42" t="str">
        <x:v>The paper reports 45 minutes per day; 45/60 = 0.75 hours. | Table II identifies the control group as CON, n=10. | Table II identifies the prenatal-stress group as PSN, n=9.</x:v>
      </x:c>
      <x:c r="I2" s="42" t="str">
        <x:v>58.69</x:v>
      </x:c>
      <x:c r="J2" s="42" t="str">
        <x:v>58.69</x:v>
      </x:c>
      <x:c r="K2" s="42" t="str">
        <x:v>Reported SEM; used unchanged for analysis</x:v>
      </x:c>
      <x:c r="L2" s="42" t="str">
        <x:v>uygur_2010_table2; Table II</x:v>
      </x:c>
      <x:c r="M2" s="42" t="str">
        <x:v>66.9</x:v>
      </x:c>
      <x:c r="N2" s="42" t="str">
        <x:v>66.9</x:v>
      </x:c>
      <x:c r="O2" s="42" t="str">
        <x:v>Reported SEM; used unchanged for analysis</x:v>
      </x:c>
      <x:c r="P2" s="42" t="str">
        <x:v>uygur_2010_table2; Table II</x:v>
      </x:c>
    </x:row>
    <x:row r="3">
      <x:c r="A3" s="43" t="str">
        <x:v>3</x:v>
      </x:c>
      <x:c r="B3" s="43" t="str">
        <x:v>uygur_2010_aphyhun</x:v>
      </x:c>
      <x:c r="C3" s="43" t="str">
        <x:v>es002</x:v>
      </x:c>
      <x:c r="D3" s="43" t="str">
        <x:v>male</x:v>
      </x:c>
      <x:c r="E3" s="43" t="str">
        <x:v>Exits from dark box</x:v>
      </x:c>
      <x:c r="F3" s="43" t="str">
        <x:v>Corrected transcription</x:v>
      </x:c>
      <x:c r="G3" s="43" t="str">
        <x:v>2 – Uygur 2010 exposure and sample sizes</x:v>
      </x:c>
      <x:c r="H3" s="43" t="str">
        <x:v>The paper reports 45 minutes per day; 45/60 = 0.75 hours. | Table II identifies the control group as CON, n=10. | Table II identifies the prenatal-stress group as PSN, n=9.</x:v>
      </x:c>
      <x:c r="I3" s="43" t="str">
        <x:v>0.82</x:v>
      </x:c>
      <x:c r="J3" s="43" t="str">
        <x:v>0.82</x:v>
      </x:c>
      <x:c r="K3" s="43" t="str">
        <x:v>Reported SEM; used unchanged for analysis</x:v>
      </x:c>
      <x:c r="L3" s="43" t="str">
        <x:v>uygur_2010_table2; Table II</x:v>
      </x:c>
      <x:c r="M3" s="43" t="str">
        <x:v>0.73</x:v>
      </x:c>
      <x:c r="N3" s="43" t="str">
        <x:v>0.73</x:v>
      </x:c>
      <x:c r="O3" s="43" t="str">
        <x:v>Reported SEM; used unchanged for analysis</x:v>
      </x:c>
      <x:c r="P3" s="43" t="str">
        <x:v>uygur_2010_table2; Table II</x:v>
      </x:c>
    </x:row>
    <x:row r="4">
      <x:c r="A4" s="43" t="str">
        <x:v>4</x:v>
      </x:c>
      <x:c r="B4" s="43" t="str">
        <x:v>uygur_2010_aphyhun</x:v>
      </x:c>
      <x:c r="C4" s="43" t="str">
        <x:v>es003</x:v>
      </x:c>
      <x:c r="D4" s="43" t="str">
        <x:v>male</x:v>
      </x:c>
      <x:c r="E4" s="43" t="str">
        <x:v>Time in open field</x:v>
      </x:c>
      <x:c r="F4" s="43" t="str">
        <x:v>Corrected transcription</x:v>
      </x:c>
      <x:c r="G4" s="43" t="str">
        <x:v>2 – Uygur 2010 exposure and sample sizes</x:v>
      </x:c>
      <x:c r="H4" s="43" t="str">
        <x:v>The paper reports 45 minutes per day; 45/60 = 0.75 hours. | Table II identifies the control group as CON, n=10. | Table II identifies the prenatal-stress group as PSN, n=9.</x:v>
      </x:c>
      <x:c r="I4" s="43" t="str">
        <x:v>25.25</x:v>
      </x:c>
      <x:c r="J4" s="43" t="str">
        <x:v>25.25</x:v>
      </x:c>
      <x:c r="K4" s="43" t="str">
        <x:v>Reported SEM; used unchanged for analysis</x:v>
      </x:c>
      <x:c r="L4" s="43" t="str">
        <x:v>uygur_2010_table2; Table II</x:v>
      </x:c>
      <x:c r="M4" s="43" t="str">
        <x:v>16.87</x:v>
      </x:c>
      <x:c r="N4" s="43" t="str">
        <x:v>16.87</x:v>
      </x:c>
      <x:c r="O4" s="43" t="str">
        <x:v>Reported SEM; used unchanged for analysis</x:v>
      </x:c>
      <x:c r="P4" s="43" t="str">
        <x:v>uygur_2010_table2; Table II</x:v>
      </x:c>
    </x:row>
    <x:row r="5">
      <x:c r="A5" s="43" t="str">
        <x:v>5</x:v>
      </x:c>
      <x:c r="B5" s="43" t="str">
        <x:v>barzegar_2014_hippo</x:v>
      </x:c>
      <x:c r="C5" s="43" t="str">
        <x:v>es004</x:v>
      </x:c>
      <x:c r="D5" s="43" t="str">
        <x:v>male</x:v>
      </x:c>
      <x:c r="E5" s="43" t="str">
        <x:v>Entries into open arms (OAE)</x:v>
      </x:c>
      <x:c r="F5" s="43" t="str">
        <x:v>Corrected transcription</x:v>
      </x:c>
      <x:c r="G5" s="43" t="str">
        <x:v>4 – Barzegar 2014 title and SEM</x:v>
      </x:c>
      <x:c r="H5" s="43" t="str">
        <x:v>Replace the title copied from another study with the Barzegar paper title. | Use the exact saved image filename for reproducibility.</x:v>
      </x:c>
      <x:c r="I5" s="43" t="str">
        <x:v>3.47</x:v>
      </x:c>
      <x:c r="J5" s="43" t="str">
        <x:v>3.47</x:v>
      </x:c>
      <x:c r="K5" s="43" t="str">
        <x:v>Digitised reported SEM; used unchanged for analysis</x:v>
      </x:c>
      <x:c r="L5" s="43" t="str">
        <x:v>Metadigitise_figs/metaDigitise_output.csv and saved figure image</x:v>
      </x:c>
      <x:c r="M5" s="43" t="str">
        <x:v>6.2</x:v>
      </x:c>
      <x:c r="N5" s="43" t="str">
        <x:v>6.2</x:v>
      </x:c>
      <x:c r="O5" s="43" t="str">
        <x:v>Digitised reported SEM; used unchanged for analysis</x:v>
      </x:c>
      <x:c r="P5" s="43" t="str">
        <x:v>Metadigitise_figs/metaDigitise_output.csv and saved figure image</x:v>
      </x:c>
    </x:row>
    <x:row r="6">
      <x:c r="A6" s="43" t="str">
        <x:v>6</x:v>
      </x:c>
      <x:c r="B6" s="43" t="str">
        <x:v>barzegar_2014_hippo</x:v>
      </x:c>
      <x:c r="C6" s="43" t="str">
        <x:v>es005</x:v>
      </x:c>
      <x:c r="D6" s="43" t="str">
        <x:v>male</x:v>
      </x:c>
      <x:c r="E6" s="43" t="str">
        <x:v>Time in open arms (OAT)</x:v>
      </x:c>
      <x:c r="F6" s="43" t="str">
        <x:v>Corrected transcription</x:v>
      </x:c>
      <x:c r="G6" s="43" t="str">
        <x:v>4 – Barzegar 2014 title and SEM</x:v>
      </x:c>
      <x:c r="H6" s="43" t="str">
        <x:v>Use the exact saved image filename for reproducibility.</x:v>
      </x:c>
      <x:c r="I6" s="43" t="str">
        <x:v>2.03</x:v>
      </x:c>
      <x:c r="J6" s="43" t="str">
        <x:v>2.03</x:v>
      </x:c>
      <x:c r="K6" s="43" t="str">
        <x:v>Digitised reported SEM; used unchanged for analysis</x:v>
      </x:c>
      <x:c r="L6" s="43" t="str">
        <x:v>Metadigitise_figs/metaDigitise_output.csv and saved figure image</x:v>
      </x:c>
      <x:c r="M6" s="43" t="str">
        <x:v>1.37</x:v>
      </x:c>
      <x:c r="N6" s="43" t="str">
        <x:v>1.37</x:v>
      </x:c>
      <x:c r="O6" s="43" t="str">
        <x:v>Digitised reported SEM; used unchanged for analysis</x:v>
      </x:c>
      <x:c r="P6" s="43" t="str">
        <x:v>Metadigitise_figs/metaDigitise_output.csv and saved figure image</x:v>
      </x:c>
    </x:row>
    <x:row r="7">
      <x:c r="A7" s="43" t="str">
        <x:v>7</x:v>
      </x:c>
      <x:c r="B7" s="43" t="str">
        <x:v>barzegar_2014_hippo</x:v>
      </x:c>
      <x:c r="C7" s="43" t="str">
        <x:v>es006</x:v>
      </x:c>
      <x:c r="D7" s="43" t="str">
        <x:v>male</x:v>
      </x:c>
      <x:c r="E7" s="43" t="str">
        <x:v>Entries into open arms (OAE)</x:v>
      </x:c>
      <x:c r="F7" s="43" t="str">
        <x:v>Corrected transcription</x:v>
      </x:c>
      <x:c r="G7" s="43" t="str">
        <x:v>4 – Barzegar 2014 title and SEM</x:v>
      </x:c>
      <x:c r="H7" s="43" t="str">
        <x:v>Use the exact saved image filename for reproducibility. | Correct the N2 experimental SEM transcription while retaining the source-reported figure value separately.</x:v>
      </x:c>
      <x:c r="I7" s="43" t="str">
        <x:v>3.47</x:v>
      </x:c>
      <x:c r="J7" s="43" t="str">
        <x:v>3.47</x:v>
      </x:c>
      <x:c r="K7" s="43" t="str">
        <x:v>Digitised reported SEM; used unchanged for analysis</x:v>
      </x:c>
      <x:c r="L7" s="43" t="str">
        <x:v>Metadigitise_figs/metaDigitise_output.csv and saved figure image</x:v>
      </x:c>
      <x:c r="M7" s="43" t="str">
        <x:v>2.666667</x:v>
      </x:c>
      <x:c r="N7" s="43" t="str">
        <x:v>2.666667</x:v>
      </x:c>
      <x:c r="O7" s="43" t="str">
        <x:v>Digitised reported SEM; used unchanged for analysis</x:v>
      </x:c>
      <x:c r="P7" s="43" t="str">
        <x:v>Metadigitise_figs/metaDigitise_output.csv and saved figure image</x:v>
      </x:c>
    </x:row>
    <x:row r="8">
      <x:c r="A8" s="43" t="str">
        <x:v>8</x:v>
      </x:c>
      <x:c r="B8" s="43" t="str">
        <x:v>barzegar_2014_hippo</x:v>
      </x:c>
      <x:c r="C8" s="43" t="str">
        <x:v>es007</x:v>
      </x:c>
      <x:c r="D8" s="43" t="str">
        <x:v>male</x:v>
      </x:c>
      <x:c r="E8" s="43" t="str">
        <x:v>Time in open arms (OAT)</x:v>
      </x:c>
      <x:c r="F8" s="43" t="str">
        <x:v>Corrected transcription</x:v>
      </x:c>
      <x:c r="G8" s="43" t="str">
        <x:v>4 – Barzegar 2014 title and SEM</x:v>
      </x:c>
      <x:c r="H8" s="43" t="str">
        <x:v>Use the exact saved image filename for reproducibility.</x:v>
      </x:c>
      <x:c r="I8" s="43" t="str">
        <x:v>2.03</x:v>
      </x:c>
      <x:c r="J8" s="43" t="str">
        <x:v>2.03</x:v>
      </x:c>
      <x:c r="K8" s="43" t="str">
        <x:v>Digitised reported SEM; used unchanged for analysis</x:v>
      </x:c>
      <x:c r="L8" s="43" t="str">
        <x:v>Metadigitise_figs/metaDigitise_output.csv and saved figure image</x:v>
      </x:c>
      <x:c r="M8" s="43" t="str">
        <x:v>1.81</x:v>
      </x:c>
      <x:c r="N8" s="43" t="str">
        <x:v>1.81</x:v>
      </x:c>
      <x:c r="O8" s="43" t="str">
        <x:v>Digitised reported SEM; used unchanged for analysis</x:v>
      </x:c>
      <x:c r="P8" s="43" t="str">
        <x:v>Metadigitise_figs/metaDigitise_output.csv and saved figure image</x:v>
      </x:c>
    </x:row>
    <x:row r="9">
      <x:c r="A9" s="43" t="str">
        <x:v>9</x:v>
      </x:c>
      <x:c r="B9" s="43" t="str">
        <x:v>barzegar_2014_hippo</x:v>
      </x:c>
      <x:c r="C9" s="43" t="str">
        <x:v>es008</x:v>
      </x:c>
      <x:c r="D9" s="43" t="str">
        <x:v>male</x:v>
      </x:c>
      <x:c r="E9" s="43" t="str">
        <x:v>Entries into open arms (OAE)</x:v>
      </x:c>
      <x:c r="F9" s="43" t="str">
        <x:v>Corrected transcription</x:v>
      </x:c>
      <x:c r="G9" s="43" t="str">
        <x:v>4 – Barzegar 2014 title and SEM</x:v>
      </x:c>
      <x:c r="H9" s="43" t="str">
        <x:v>Use the exact saved image filename for reproducibility.</x:v>
      </x:c>
      <x:c r="I9" s="43" t="str">
        <x:v>3.47</x:v>
      </x:c>
      <x:c r="J9" s="43" t="str">
        <x:v>3.47</x:v>
      </x:c>
      <x:c r="K9" s="43" t="str">
        <x:v>Digitised reported SEM; used unchanged for analysis</x:v>
      </x:c>
      <x:c r="L9" s="43" t="str">
        <x:v>Metadigitise_figs/metaDigitise_output.csv and saved figure image</x:v>
      </x:c>
      <x:c r="M9" s="43" t="str">
        <x:v>2.8</x:v>
      </x:c>
      <x:c r="N9" s="43" t="str">
        <x:v>2.8</x:v>
      </x:c>
      <x:c r="O9" s="43" t="str">
        <x:v>Digitised reported SEM; used unchanged for analysis</x:v>
      </x:c>
      <x:c r="P9" s="43" t="str">
        <x:v>Metadigitise_figs/metaDigitise_output.csv and saved figure image</x:v>
      </x:c>
    </x:row>
    <x:row r="10">
      <x:c r="A10" s="43" t="str">
        <x:v>10</x:v>
      </x:c>
      <x:c r="B10" s="43" t="str">
        <x:v>barzegar_2014_hippo</x:v>
      </x:c>
      <x:c r="C10" s="43" t="str">
        <x:v>es009</x:v>
      </x:c>
      <x:c r="D10" s="43" t="str">
        <x:v>male</x:v>
      </x:c>
      <x:c r="E10" s="43" t="str">
        <x:v>Time in open arms (OAT)</x:v>
      </x:c>
      <x:c r="F10" s="43" t="str">
        <x:v>Corrected transcription</x:v>
      </x:c>
      <x:c r="G10" s="43" t="str">
        <x:v>4 – Barzegar 2014 title and SEM</x:v>
      </x:c>
      <x:c r="H10" s="43" t="str">
        <x:v>Use the exact saved image filename for reproducibility.</x:v>
      </x:c>
      <x:c r="I10" s="43" t="str">
        <x:v>2.03</x:v>
      </x:c>
      <x:c r="J10" s="43" t="str">
        <x:v>2.03</x:v>
      </x:c>
      <x:c r="K10" s="43" t="str">
        <x:v>Digitised reported SEM; used unchanged for analysis</x:v>
      </x:c>
      <x:c r="L10" s="43" t="str">
        <x:v>Metadigitise_figs/metaDigitise_output.csv and saved figure image</x:v>
      </x:c>
      <x:c r="M10" s="43" t="str">
        <x:v>2.63</x:v>
      </x:c>
      <x:c r="N10" s="43" t="str">
        <x:v>2.63</x:v>
      </x:c>
      <x:c r="O10" s="43" t="str">
        <x:v>Digitised reported SEM; used unchanged for analysis</x:v>
      </x:c>
      <x:c r="P10" s="43" t="str">
        <x:v>Metadigitise_figs/metaDigitise_output.csv and saved figure image</x:v>
      </x:c>
    </x:row>
    <x:row r="11">
      <x:c r="A11" s="43" t="str">
        <x:v>11</x:v>
      </x:c>
      <x:c r="B11" s="43" t="str">
        <x:v>hassanvand_2012_phyphar</x:v>
      </x:c>
      <x:c r="C11" s="43" t="str">
        <x:v>es010</x:v>
      </x:c>
      <x:c r="D11" s="43" t="str">
        <x:v>male</x:v>
      </x:c>
      <x:c r="E11" s="43" t="str">
        <x:v>Sniffing</x:v>
      </x:c>
      <x:c r="F11" s="43" t="str">
        <x:v>Verified – no change</x:v>
      </x:c>
      <x:c r="G11" s="43" t="str"/>
      <x:c r="H11" s="43" t="str"/>
      <x:c r="I11" s="43" t="str"/>
      <x:c r="J11" s="43" t="str">
        <x:v>1.127786</x:v>
      </x:c>
      <x:c r="K11" s="43" t="str">
        <x:v>SD / sqrt(n); derived for analysis from the extracted SD and sample size</x:v>
      </x:c>
      <x:c r="L11" s="43" t="str">
        <x:v>hassanvand_2012_phyphar_Figure2; Figure 2</x:v>
      </x:c>
      <x:c r="M11" s="43" t="str"/>
      <x:c r="N11" s="43" t="str">
        <x:v>1.190452</x:v>
      </x:c>
      <x:c r="O11" s="43" t="str">
        <x:v>SD / sqrt(n); derived for analysis from the extracted SD and sample size</x:v>
      </x:c>
      <x:c r="P11" s="43" t="str">
        <x:v>hassanvand_2012_phyphar_Figure2; Figure 2</x:v>
      </x:c>
    </x:row>
    <x:row r="12">
      <x:c r="A12" s="43" t="str">
        <x:v>12</x:v>
      </x:c>
      <x:c r="B12" s="43" t="str">
        <x:v>hassanvand_2012_phyphar</x:v>
      </x:c>
      <x:c r="C12" s="43" t="str">
        <x:v>es011</x:v>
      </x:c>
      <x:c r="D12" s="43" t="str">
        <x:v>male</x:v>
      </x:c>
      <x:c r="E12" s="43" t="str">
        <x:v>Rearing frequency</x:v>
      </x:c>
      <x:c r="F12" s="43" t="str">
        <x:v>Verified – no change</x:v>
      </x:c>
      <x:c r="G12" s="43" t="str"/>
      <x:c r="H12" s="43" t="str"/>
      <x:c r="I12" s="43" t="str"/>
      <x:c r="J12" s="43" t="str">
        <x:v>0.751871</x:v>
      </x:c>
      <x:c r="K12" s="43" t="str">
        <x:v>SD / sqrt(n); derived for analysis from the extracted SD and sample size</x:v>
      </x:c>
      <x:c r="L12" s="43" t="str">
        <x:v>hassanvand_2012_phyphar_Figure2; Figure 2</x:v>
      </x:c>
      <x:c r="M12" s="43" t="str"/>
      <x:c r="N12" s="43" t="str">
        <x:v>1.002495</x:v>
      </x:c>
      <x:c r="O12" s="43" t="str">
        <x:v>SD / sqrt(n); derived for analysis from the extracted SD and sample size</x:v>
      </x:c>
      <x:c r="P12" s="43" t="str">
        <x:v>hassanvand_2012_phyphar_Figure2; Figure 2</x:v>
      </x:c>
    </x:row>
    <x:row r="13">
      <x:c r="A13" s="43" t="str">
        <x:v>13</x:v>
      </x:c>
      <x:c r="B13" s="43" t="str">
        <x:v>hassanvand_2012_phyphar</x:v>
      </x:c>
      <x:c r="C13" s="43" t="str">
        <x:v>es012</x:v>
      </x:c>
      <x:c r="D13" s="43" t="str">
        <x:v>male</x:v>
      </x:c>
      <x:c r="E13" s="43" t="str">
        <x:v>Sections crossed</x:v>
      </x:c>
      <x:c r="F13" s="43" t="str">
        <x:v>Verified – no change</x:v>
      </x:c>
      <x:c r="G13" s="43" t="str"/>
      <x:c r="H13" s="43" t="str"/>
      <x:c r="I13" s="43" t="str"/>
      <x:c r="J13" s="43" t="str">
        <x:v>1.816991</x:v>
      </x:c>
      <x:c r="K13" s="43" t="str">
        <x:v>SD / sqrt(n); derived for analysis from the extracted SD and sample size</x:v>
      </x:c>
      <x:c r="L13" s="43" t="str">
        <x:v>hassanvand_2012_phyphar_Figure2; Figure 2</x:v>
      </x:c>
      <x:c r="M13" s="43" t="str"/>
      <x:c r="N13" s="43" t="str">
        <x:v>1.06512</x:v>
      </x:c>
      <x:c r="O13" s="43" t="str">
        <x:v>SD / sqrt(n); derived for analysis from the extracted SD and sample size</x:v>
      </x:c>
      <x:c r="P13" s="43" t="str">
        <x:v>hassanvand_2012_phyphar_Figure2; Figure 2</x:v>
      </x:c>
    </x:row>
    <x:row r="14">
      <x:c r="A14" s="43" t="str">
        <x:v>14</x:v>
      </x:c>
      <x:c r="B14" s="43" t="str">
        <x:v>arjunan_2023_stress</x:v>
      </x:c>
      <x:c r="C14" s="43" t="str">
        <x:v>es013</x:v>
      </x:c>
      <x:c r="D14" s="43" t="str">
        <x:v>male</x:v>
      </x:c>
      <x:c r="E14" s="43" t="str">
        <x:v>Time in central square</x:v>
      </x:c>
      <x:c r="F14" s="43" t="str">
        <x:v>Corrected transcription</x:v>
      </x:c>
      <x:c r="G14" s="43" t="str">
        <x:v>3 – Arjunan 2023 acoustic exposure</x:v>
      </x:c>
      <x:c r="H14" s="43" t="str">
        <x:v>The source describes a white-noise generator, not ultrasound. | The stated range is within the audible/broadband band used in this review. | The source states all frequencies from 0 to 20 kHz.</x:v>
      </x:c>
      <x:c r="I14" s="43" t="str"/>
      <x:c r="J14" s="43" t="str">
        <x:v>10.581796</x:v>
      </x:c>
      <x:c r="K14" s="43" t="str">
        <x:v>SD / sqrt(n); derived for analysis from the extracted SD and sample size</x:v>
      </x:c>
      <x:c r="L14" s="43" t="str">
        <x:v>arjunan_2023_stress_fig3B_cen; Figure 3B</x:v>
      </x:c>
      <x:c r="M14" s="43" t="str"/>
      <x:c r="N14" s="43" t="str">
        <x:v>7.69548</x:v>
      </x:c>
      <x:c r="O14" s="43" t="str">
        <x:v>SD / sqrt(n); derived for analysis from the extracted SD and sample size</x:v>
      </x:c>
      <x:c r="P14" s="43" t="str">
        <x:v>arjunan_2023_stress_fig3B_cen; Figure 3B</x:v>
      </x:c>
    </x:row>
    <x:row r="15">
      <x:c r="A15" s="43" t="str">
        <x:v>15</x:v>
      </x:c>
      <x:c r="B15" s="43" t="str">
        <x:v>arjunan_2023_stress</x:v>
      </x:c>
      <x:c r="C15" s="43" t="str">
        <x:v>es014</x:v>
      </x:c>
      <x:c r="D15" s="43" t="str">
        <x:v>male</x:v>
      </x:c>
      <x:c r="E15" s="43" t="str">
        <x:v>Time in peripheral square</x:v>
      </x:c>
      <x:c r="F15" s="43" t="str">
        <x:v>Corrected transcription</x:v>
      </x:c>
      <x:c r="G15" s="43" t="str">
        <x:v>3 – Arjunan 2023 acoustic exposure</x:v>
      </x:c>
      <x:c r="H15" s="43" t="str">
        <x:v>The source describes a white-noise generator, not ultrasound. | The stated range is within the audible/broadband band used in this review. | The source states all frequencies from 0 to 20 kHz. | Use the exact saved image filename for reproducibility.</x:v>
      </x:c>
      <x:c r="I15" s="43" t="str"/>
      <x:c r="J15" s="43" t="str">
        <x:v>11.516684</x:v>
      </x:c>
      <x:c r="K15" s="43" t="str">
        <x:v>SD / sqrt(n); derived for analysis from the extracted SD and sample size</x:v>
      </x:c>
      <x:c r="L15" s="43" t="str">
        <x:v>arjunan_2023_stress_fig3B_peri.png; Figure 3B</x:v>
      </x:c>
      <x:c r="M15" s="43" t="str"/>
      <x:c r="N15" s="43" t="str">
        <x:v>7.952677</x:v>
      </x:c>
      <x:c r="O15" s="43" t="str">
        <x:v>SD / sqrt(n); derived for analysis from the extracted SD and sample size</x:v>
      </x:c>
      <x:c r="P15" s="43" t="str">
        <x:v>arjunan_2023_stress_fig3B_peri.png; Figure 3B</x:v>
      </x:c>
    </x:row>
    <x:row r="16">
      <x:c r="A16" s="43" t="str">
        <x:v>16</x:v>
      </x:c>
      <x:c r="B16" s="43" t="str">
        <x:v>arjunan_2023_stress</x:v>
      </x:c>
      <x:c r="C16" s="43" t="str">
        <x:v>es015</x:v>
      </x:c>
      <x:c r="D16" s="43" t="str">
        <x:v>male</x:v>
      </x:c>
      <x:c r="E16" s="43" t="str">
        <x:v>Time in central square</x:v>
      </x:c>
      <x:c r="F16" s="43" t="str">
        <x:v>Corrected transcription</x:v>
      </x:c>
      <x:c r="G16" s="43" t="str">
        <x:v>3 – Arjunan 2023 acoustic exposure</x:v>
      </x:c>
      <x:c r="H16" s="43" t="str">
        <x:v>The source describes a white-noise generator, not ultrasound. | The stated range is within the audible/broadband band used in this review. | The source states all frequencies from 0 to 20 kHz.</x:v>
      </x:c>
      <x:c r="I16" s="43" t="str"/>
      <x:c r="J16" s="43" t="str">
        <x:v>10.581796</x:v>
      </x:c>
      <x:c r="K16" s="43" t="str">
        <x:v>SD / sqrt(n); derived for analysis from the extracted SD and sample size</x:v>
      </x:c>
      <x:c r="L16" s="43" t="str">
        <x:v>arjunan_2023_stress_fig3B_cen; Figure 3B</x:v>
      </x:c>
      <x:c r="M16" s="43" t="str"/>
      <x:c r="N16" s="43" t="str">
        <x:v>4.809165</x:v>
      </x:c>
      <x:c r="O16" s="43" t="str">
        <x:v>SD / sqrt(n); derived for analysis from the extracted SD and sample size</x:v>
      </x:c>
      <x:c r="P16" s="43" t="str">
        <x:v>arjunan_2023_stress_fig3B_cen; Figure 3B</x:v>
      </x:c>
    </x:row>
    <x:row r="17">
      <x:c r="A17" s="43" t="str">
        <x:v>17</x:v>
      </x:c>
      <x:c r="B17" s="43" t="str">
        <x:v>arjunan_2023_stress</x:v>
      </x:c>
      <x:c r="C17" s="43" t="str">
        <x:v>es016</x:v>
      </x:c>
      <x:c r="D17" s="43" t="str">
        <x:v>male</x:v>
      </x:c>
      <x:c r="E17" s="43" t="str">
        <x:v>Time in peripheral square</x:v>
      </x:c>
      <x:c r="F17" s="43" t="str">
        <x:v>Corrected transcription</x:v>
      </x:c>
      <x:c r="G17" s="43" t="str">
        <x:v>3 – Arjunan 2023 acoustic exposure</x:v>
      </x:c>
      <x:c r="H17" s="43" t="str">
        <x:v>The source describes a white-noise generator, not ultrasound. | The stated range is within the audible/broadband band used in this review. | The source states all frequencies from 0 to 20 kHz. | Use the exact saved image filename for reproducibility.</x:v>
      </x:c>
      <x:c r="I17" s="43" t="str"/>
      <x:c r="J17" s="43" t="str">
        <x:v>11.516684</x:v>
      </x:c>
      <x:c r="K17" s="43" t="str">
        <x:v>SD / sqrt(n); derived for analysis from the extracted SD and sample size</x:v>
      </x:c>
      <x:c r="L17" s="43" t="str">
        <x:v>arjunan_2023_stress_fig3B_peri.png; Figure 3B</x:v>
      </x:c>
      <x:c r="M17" s="43" t="str"/>
      <x:c r="N17" s="43" t="str">
        <x:v>4.388669</x:v>
      </x:c>
      <x:c r="O17" s="43" t="str">
        <x:v>SD / sqrt(n); derived for analysis from the extracted SD and sample size</x:v>
      </x:c>
      <x:c r="P17" s="43" t="str">
        <x:v>arjunan_2023_stress_fig3B_peri.png; Figure 3B</x:v>
      </x:c>
    </x:row>
    <x:row r="18">
      <x:c r="A18" s="43" t="str">
        <x:v>18</x:v>
      </x:c>
      <x:c r="B18" s="43" t="str">
        <x:v>arjunan_2023_stress</x:v>
      </x:c>
      <x:c r="C18" s="43" t="str">
        <x:v>es017</x:v>
      </x:c>
      <x:c r="D18" s="43" t="str">
        <x:v>male</x:v>
      </x:c>
      <x:c r="E18" s="43" t="str">
        <x:v>Time in central square</x:v>
      </x:c>
      <x:c r="F18" s="43" t="str">
        <x:v>Corrected transcription</x:v>
      </x:c>
      <x:c r="G18" s="43" t="str">
        <x:v>3 – Arjunan 2023 acoustic exposure</x:v>
      </x:c>
      <x:c r="H18" s="43" t="str">
        <x:v>The source describes a white-noise generator, not ultrasound. | The stated range is within the audible/broadband band used in this review. | The source states all frequencies from 0 to 20 kHz.</x:v>
      </x:c>
      <x:c r="I18" s="43" t="str"/>
      <x:c r="J18" s="43" t="str">
        <x:v>10.581796</x:v>
      </x:c>
      <x:c r="K18" s="43" t="str">
        <x:v>SD / sqrt(n); derived for analysis from the extracted SD and sample size</x:v>
      </x:c>
      <x:c r="L18" s="43" t="str">
        <x:v>arjunan_2023_stress_fig3B_cen; Figure 3B</x:v>
      </x:c>
      <x:c r="M18" s="43" t="str"/>
      <x:c r="N18" s="43" t="str">
        <x:v>4.809165</x:v>
      </x:c>
      <x:c r="O18" s="43" t="str">
        <x:v>SD / sqrt(n); derived for analysis from the extracted SD and sample size</x:v>
      </x:c>
      <x:c r="P18" s="43" t="str">
        <x:v>arjunan_2023_stress_fig3B_cen; Figure 3B</x:v>
      </x:c>
    </x:row>
    <x:row r="19">
      <x:c r="A19" s="43" t="str">
        <x:v>19</x:v>
      </x:c>
      <x:c r="B19" s="43" t="str">
        <x:v>arjunan_2023_stress</x:v>
      </x:c>
      <x:c r="C19" s="43" t="str">
        <x:v>es018</x:v>
      </x:c>
      <x:c r="D19" s="43" t="str">
        <x:v>male</x:v>
      </x:c>
      <x:c r="E19" s="43" t="str">
        <x:v>Time in peripheral square</x:v>
      </x:c>
      <x:c r="F19" s="43" t="str">
        <x:v>Corrected transcription</x:v>
      </x:c>
      <x:c r="G19" s="43" t="str">
        <x:v>3 – Arjunan 2023 acoustic exposure</x:v>
      </x:c>
      <x:c r="H19" s="43" t="str">
        <x:v>The source describes a white-noise generator, not ultrasound. | The stated range is within the audible/broadband band used in this review. | The source states all frequencies from 0 to 20 kHz. | Use the exact saved image filename for reproducibility.</x:v>
      </x:c>
      <x:c r="I19" s="43" t="str"/>
      <x:c r="J19" s="43" t="str">
        <x:v>11.516684</x:v>
      </x:c>
      <x:c r="K19" s="43" t="str">
        <x:v>SD / sqrt(n); derived for analysis from the extracted SD and sample size</x:v>
      </x:c>
      <x:c r="L19" s="43" t="str">
        <x:v>arjunan_2023_stress_fig3B_peri.png; Figure 3B</x:v>
      </x:c>
      <x:c r="M19" s="43" t="str"/>
      <x:c r="N19" s="43" t="str">
        <x:v>4.935722</x:v>
      </x:c>
      <x:c r="O19" s="43" t="str">
        <x:v>SD / sqrt(n); derived for analysis from the extracted SD and sample size</x:v>
      </x:c>
      <x:c r="P19" s="43" t="str">
        <x:v>arjunan_2023_stress_fig3B_peri.png; Figure 3B</x:v>
      </x:c>
    </x:row>
    <x:row r="20">
      <x:c r="A20" s="43" t="str">
        <x:v>20</x:v>
      </x:c>
      <x:c r="B20" s="43" t="str">
        <x:v>hadizadeh_2018_irjbamedsci</x:v>
      </x:c>
      <x:c r="C20" s="43" t="str">
        <x:v>es019</x:v>
      </x:c>
      <x:c r="D20" s="43" t="str">
        <x:v>male</x:v>
      </x:c>
      <x:c r="E20" s="43" t="str">
        <x:v>Entries into open arms (OAE)</x:v>
      </x:c>
      <x:c r="F20" s="43" t="str">
        <x:v>Verified – no change</x:v>
      </x:c>
      <x:c r="G20" s="43" t="str"/>
      <x:c r="H20" s="43" t="str"/>
      <x:c r="I20" s="43" t="str">
        <x:v>3.13</x:v>
      </x:c>
      <x:c r="J20" s="43" t="str">
        <x:v>3.13</x:v>
      </x:c>
      <x:c r="K20" s="43" t="str">
        <x:v>Reported SEM; used unchanged for analysis</x:v>
      </x:c>
      <x:c r="L20" s="43" t="str">
        <x:v>hadizadeh_2018_irjbamedsci_fig2A; Figure 2A</x:v>
      </x:c>
      <x:c r="M20" s="43" t="str">
        <x:v>1.25</x:v>
      </x:c>
      <x:c r="N20" s="43" t="str">
        <x:v>1.25</x:v>
      </x:c>
      <x:c r="O20" s="43" t="str">
        <x:v>Reported SEM; used unchanged for analysis</x:v>
      </x:c>
      <x:c r="P20" s="43" t="str">
        <x:v>hadizadeh_2018_irjbamedsci_fig2A; Figure 2A</x:v>
      </x:c>
    </x:row>
    <x:row r="21">
      <x:c r="A21" s="43" t="str">
        <x:v>21</x:v>
      </x:c>
      <x:c r="B21" s="43" t="str">
        <x:v>hadizadeh_2018_irjbamedsci</x:v>
      </x:c>
      <x:c r="C21" s="43" t="str">
        <x:v>es020</x:v>
      </x:c>
      <x:c r="D21" s="43" t="str">
        <x:v>male</x:v>
      </x:c>
      <x:c r="E21" s="43" t="str">
        <x:v>Time in open arms (OAT)</x:v>
      </x:c>
      <x:c r="F21" s="43" t="str">
        <x:v>Verified – no change</x:v>
      </x:c>
      <x:c r="G21" s="43" t="str"/>
      <x:c r="H21" s="43" t="str"/>
      <x:c r="I21" s="43" t="str">
        <x:v>1.18</x:v>
      </x:c>
      <x:c r="J21" s="43" t="str">
        <x:v>1.18</x:v>
      </x:c>
      <x:c r="K21" s="43" t="str">
        <x:v>Reported SEM; used unchanged for analysis</x:v>
      </x:c>
      <x:c r="L21" s="43" t="str">
        <x:v>hadizadeh_2018_irjbamedsci_fig2B; Figure 2B</x:v>
      </x:c>
      <x:c r="M21" s="43" t="str">
        <x:v>1.78</x:v>
      </x:c>
      <x:c r="N21" s="43" t="str">
        <x:v>1.78</x:v>
      </x:c>
      <x:c r="O21" s="43" t="str">
        <x:v>Reported SEM; used unchanged for analysis</x:v>
      </x:c>
      <x:c r="P21" s="43" t="str">
        <x:v>hadizadeh_2018_irjbamedsci_fig2B; Figure 2B</x:v>
      </x:c>
    </x:row>
    <x:row r="22">
      <x:c r="A22" s="43" t="str">
        <x:v>22</x:v>
      </x:c>
      <x:c r="B22" s="43" t="str">
        <x:v>abramova_2024_devneur</x:v>
      </x:c>
      <x:c r="C22" s="43" t="str">
        <x:v>es021</x:v>
      </x:c>
      <x:c r="D22" s="43" t="str">
        <x:v>female</x:v>
      </x:c>
      <x:c r="E22" s="43" t="str">
        <x:v>Time in open arms (OAT)</x:v>
      </x:c>
      <x:c r="F22" s="43" t="str">
        <x:v>Verified – no change</x:v>
      </x:c>
      <x:c r="G22" s="43" t="str"/>
      <x:c r="H22" s="43" t="str"/>
      <x:c r="I22" s="43" t="str"/>
      <x:c r="J22" s="43" t="str">
        <x:v>5.047049</x:v>
      </x:c>
      <x:c r="K22" s="43" t="str">
        <x:v>SD / sqrt(n); derived for analysis from the extracted SD and sample size</x:v>
      </x:c>
      <x:c r="L22" s="43" t="str">
        <x:v>abramova_2024_devneur_fig2a; Fig. 2. a</x:v>
      </x:c>
      <x:c r="M22" s="43" t="str"/>
      <x:c r="N22" s="43" t="str">
        <x:v>2.502857</x:v>
      </x:c>
      <x:c r="O22" s="43" t="str">
        <x:v>SD / sqrt(n); derived for analysis from the extracted SD and sample size</x:v>
      </x:c>
      <x:c r="P22" s="43" t="str">
        <x:v>abramova_2024_devneur_fig2a; Fig. 2. a</x:v>
      </x:c>
    </x:row>
    <x:row r="23">
      <x:c r="A23" s="43" t="str">
        <x:v>23</x:v>
      </x:c>
      <x:c r="B23" s="43" t="str">
        <x:v>abramova_2024_devneur</x:v>
      </x:c>
      <x:c r="C23" s="43" t="str">
        <x:v>es022</x:v>
      </x:c>
      <x:c r="D23" s="43" t="str">
        <x:v>male</x:v>
      </x:c>
      <x:c r="E23" s="43" t="str">
        <x:v>Time in open arms (OAT)</x:v>
      </x:c>
      <x:c r="F23" s="43" t="str">
        <x:v>Verified – no change</x:v>
      </x:c>
      <x:c r="G23" s="43" t="str"/>
      <x:c r="H23" s="43" t="str"/>
      <x:c r="I23" s="43" t="str"/>
      <x:c r="J23" s="43" t="str">
        <x:v>4.9881</x:v>
      </x:c>
      <x:c r="K23" s="43" t="str">
        <x:v>SD / sqrt(n); derived for analysis from the extracted SD and sample size</x:v>
      </x:c>
      <x:c r="L23" s="43" t="str">
        <x:v>abramova_2024_devneur_fig2a; Fig. 2. a</x:v>
      </x:c>
      <x:c r="M23" s="43" t="str"/>
      <x:c r="N23" s="43" t="str">
        <x:v>3.767384</x:v>
      </x:c>
      <x:c r="O23" s="43" t="str">
        <x:v>SD / sqrt(n); derived for analysis from the extracted SD and sample size</x:v>
      </x:c>
      <x:c r="P23" s="43" t="str">
        <x:v>abramova_2024_devneur_fig2a; Fig. 2. a</x:v>
      </x:c>
    </x:row>
    <x:row r="24">
      <x:c r="A24" s="43" t="str">
        <x:v>24</x:v>
      </x:c>
      <x:c r="B24" s="43" t="str">
        <x:v>abramova_2024_devneur</x:v>
      </x:c>
      <x:c r="C24" s="43" t="str">
        <x:v>es023</x:v>
      </x:c>
      <x:c r="D24" s="43" t="str">
        <x:v>female</x:v>
      </x:c>
      <x:c r="E24" s="43" t="str">
        <x:v>Head-dipping</x:v>
      </x:c>
      <x:c r="F24" s="43" t="str">
        <x:v>Verified – no change</x:v>
      </x:c>
      <x:c r="G24" s="43" t="str"/>
      <x:c r="H24" s="43" t="str"/>
      <x:c r="I24" s="43" t="str"/>
      <x:c r="J24" s="43" t="str">
        <x:v>0.946938</x:v>
      </x:c>
      <x:c r="K24" s="43" t="str">
        <x:v>SD / sqrt(n); derived for analysis from the extracted SD and sample size</x:v>
      </x:c>
      <x:c r="L24" s="43" t="str">
        <x:v>abramova_2024_devneur_fig2b; Fig. 2. b</x:v>
      </x:c>
      <x:c r="M24" s="43" t="str"/>
      <x:c r="N24" s="43" t="str">
        <x:v>0.441429</x:v>
      </x:c>
      <x:c r="O24" s="43" t="str">
        <x:v>SD / sqrt(n); derived for analysis from the extracted SD and sample size</x:v>
      </x:c>
      <x:c r="P24" s="43" t="str">
        <x:v>abramova_2024_devneur_fig2b; Fig. 2. b</x:v>
      </x:c>
    </x:row>
    <x:row r="25">
      <x:c r="A25" s="43" t="str">
        <x:v>25</x:v>
      </x:c>
      <x:c r="B25" s="43" t="str">
        <x:v>abramova_2024_devneur</x:v>
      </x:c>
      <x:c r="C25" s="43" t="str">
        <x:v>es024</x:v>
      </x:c>
      <x:c r="D25" s="43" t="str">
        <x:v>male</x:v>
      </x:c>
      <x:c r="E25" s="43" t="str">
        <x:v>Head-dipping</x:v>
      </x:c>
      <x:c r="F25" s="43" t="str">
        <x:v>Verified – no change</x:v>
      </x:c>
      <x:c r="G25" s="43" t="str"/>
      <x:c r="H25" s="43" t="str"/>
      <x:c r="I25" s="43" t="str"/>
      <x:c r="J25" s="43" t="str">
        <x:v>1.169693</x:v>
      </x:c>
      <x:c r="K25" s="43" t="str">
        <x:v>SD / sqrt(n); derived for analysis from the extracted SD and sample size</x:v>
      </x:c>
      <x:c r="L25" s="43" t="str">
        <x:v>abramova_2024_devneur_fig2b; Fig. 2. b</x:v>
      </x:c>
      <x:c r="M25" s="43" t="str"/>
      <x:c r="N25" s="43" t="str">
        <x:v>0.792975</x:v>
      </x:c>
      <x:c r="O25" s="43" t="str">
        <x:v>SD / sqrt(n); derived for analysis from the extracted SD and sample size</x:v>
      </x:c>
      <x:c r="P25" s="43" t="str">
        <x:v>abramova_2024_devneur_fig2b; Fig. 2. b</x:v>
      </x:c>
    </x:row>
    <x:row r="26">
      <x:c r="A26" s="43" t="str">
        <x:v>26</x:v>
      </x:c>
      <x:c r="B26" s="43" t="str">
        <x:v>abramova_2024_devneur</x:v>
      </x:c>
      <x:c r="C26" s="43" t="str">
        <x:v>es025</x:v>
      </x:c>
      <x:c r="D26" s="43" t="str">
        <x:v>female</x:v>
      </x:c>
      <x:c r="E26" s="43" t="str">
        <x:v>Total freezing time</x:v>
      </x:c>
      <x:c r="F26" s="43" t="str">
        <x:v>Verified – no change</x:v>
      </x:c>
      <x:c r="G26" s="43" t="str"/>
      <x:c r="H26" s="43" t="str"/>
      <x:c r="I26" s="43" t="str"/>
      <x:c r="J26" s="43" t="str">
        <x:v>0.567177</x:v>
      </x:c>
      <x:c r="K26" s="43" t="str">
        <x:v>SD / sqrt(n); derived for analysis from the extracted SD and sample size</x:v>
      </x:c>
      <x:c r="L26" s="43" t="str">
        <x:v>abramova_2024_devneur_fig2c; Fig. 2. c</x:v>
      </x:c>
      <x:c r="M26" s="43" t="str"/>
      <x:c r="N26" s="43" t="str">
        <x:v>2.792857</x:v>
      </x:c>
      <x:c r="O26" s="43" t="str">
        <x:v>SD / sqrt(n); derived for analysis from the extracted SD and sample size</x:v>
      </x:c>
      <x:c r="P26" s="43" t="str">
        <x:v>abramova_2024_devneur_fig2c; Fig. 2. c</x:v>
      </x:c>
    </x:row>
    <x:row r="27">
      <x:c r="A27" s="43" t="str">
        <x:v>27</x:v>
      </x:c>
      <x:c r="B27" s="43" t="str">
        <x:v>abramova_2024_devneur</x:v>
      </x:c>
      <x:c r="C27" s="43" t="str">
        <x:v>es026</x:v>
      </x:c>
      <x:c r="D27" s="43" t="str">
        <x:v>male</x:v>
      </x:c>
      <x:c r="E27" s="43" t="str">
        <x:v>Total freezing time</x:v>
      </x:c>
      <x:c r="F27" s="43" t="str">
        <x:v>Verified – no change</x:v>
      </x:c>
      <x:c r="G27" s="43" t="str"/>
      <x:c r="H27" s="43" t="str"/>
      <x:c r="I27" s="43" t="str"/>
      <x:c r="J27" s="43" t="str">
        <x:v>0.341442</x:v>
      </x:c>
      <x:c r="K27" s="43" t="str">
        <x:v>SD / sqrt(n); derived for analysis from the extracted SD and sample size</x:v>
      </x:c>
      <x:c r="L27" s="43" t="str">
        <x:v>abramova_2024_devneur_fig2c; Fig. 2. c</x:v>
      </x:c>
      <x:c r="M27" s="43" t="str"/>
      <x:c r="N27" s="43" t="str">
        <x:v>0.560811</x:v>
      </x:c>
      <x:c r="O27" s="43" t="str">
        <x:v>SD / sqrt(n); derived for analysis from the extracted SD and sample size</x:v>
      </x:c>
      <x:c r="P27" s="43" t="str">
        <x:v>abramova_2024_devneur_fig2c; Fig. 2. c</x:v>
      </x:c>
    </x:row>
    <x:row r="28">
      <x:c r="A28" s="43" t="str">
        <x:v>28</x:v>
      </x:c>
      <x:c r="B28" s="43" t="str">
        <x:v>abramova_2024_devneur</x:v>
      </x:c>
      <x:c r="C28" s="43" t="str">
        <x:v>es027</x:v>
      </x:c>
      <x:c r="D28" s="43" t="str">
        <x:v>female</x:v>
      </x:c>
      <x:c r="E28" s="43" t="str">
        <x:v>Total grooming time</x:v>
      </x:c>
      <x:c r="F28" s="43" t="str">
        <x:v>Verified – no change</x:v>
      </x:c>
      <x:c r="G28" s="43" t="str"/>
      <x:c r="H28" s="43" t="str"/>
      <x:c r="I28" s="43" t="str"/>
      <x:c r="J28" s="43" t="str">
        <x:v>2.321314</x:v>
      </x:c>
      <x:c r="K28" s="43" t="str">
        <x:v>SD / sqrt(n); derived for analysis from the extracted SD and sample size</x:v>
      </x:c>
      <x:c r="L28" s="43" t="str">
        <x:v>abramova_2024_devneur_fig2d; Fig. 2. d</x:v>
      </x:c>
      <x:c r="M28" s="43" t="str"/>
      <x:c r="N28" s="43" t="str">
        <x:v>3.232857</x:v>
      </x:c>
      <x:c r="O28" s="43" t="str">
        <x:v>SD / sqrt(n); derived for analysis from the extracted SD and sample size</x:v>
      </x:c>
      <x:c r="P28" s="43" t="str">
        <x:v>abramova_2024_devneur_fig2d; Fig. 2. d</x:v>
      </x:c>
    </x:row>
    <x:row r="29">
      <x:c r="A29" s="43" t="str">
        <x:v>29</x:v>
      </x:c>
      <x:c r="B29" s="43" t="str">
        <x:v>abramova_2024_devneur</x:v>
      </x:c>
      <x:c r="C29" s="43" t="str">
        <x:v>es028</x:v>
      </x:c>
      <x:c r="D29" s="43" t="str">
        <x:v>male</x:v>
      </x:c>
      <x:c r="E29" s="43" t="str">
        <x:v>Total grooming time</x:v>
      </x:c>
      <x:c r="F29" s="43" t="str">
        <x:v>Verified – no change</x:v>
      </x:c>
      <x:c r="G29" s="43" t="str"/>
      <x:c r="H29" s="43" t="str"/>
      <x:c r="I29" s="43" t="str"/>
      <x:c r="J29" s="43" t="str">
        <x:v>3.302863</x:v>
      </x:c>
      <x:c r="K29" s="43" t="str">
        <x:v>SD / sqrt(n); derived for analysis from the extracted SD and sample size</x:v>
      </x:c>
      <x:c r="L29" s="43" t="str">
        <x:v>abramova_2024_devneur_fig2d; Fig. 2. d</x:v>
      </x:c>
      <x:c r="M29" s="43" t="str"/>
      <x:c r="N29" s="43" t="str">
        <x:v>4.184977</x:v>
      </x:c>
      <x:c r="O29" s="43" t="str">
        <x:v>SD / sqrt(n); derived for analysis from the extracted SD and sample size</x:v>
      </x:c>
      <x:c r="P29" s="43" t="str">
        <x:v>abramova_2024_devneur_fig2d; Fig. 2. d</x:v>
      </x:c>
    </x:row>
    <x:row r="30">
      <x:c r="A30" s="43" t="str">
        <x:v>30</x:v>
      </x:c>
      <x:c r="B30" s="43" t="str">
        <x:v>abramova_2024_devneur</x:v>
      </x:c>
      <x:c r="C30" s="43" t="str">
        <x:v>es029</x:v>
      </x:c>
      <x:c r="D30" s="43" t="str">
        <x:v>female</x:v>
      </x:c>
      <x:c r="E30" s="43" t="str">
        <x:v>Mean grooming duration</x:v>
      </x:c>
      <x:c r="F30" s="43" t="str">
        <x:v>Verified – no change</x:v>
      </x:c>
      <x:c r="G30" s="43" t="str"/>
      <x:c r="H30" s="43" t="str"/>
      <x:c r="I30" s="43" t="str"/>
      <x:c r="J30" s="43" t="str">
        <x:v>0.59348</x:v>
      </x:c>
      <x:c r="K30" s="43" t="str">
        <x:v>SD / sqrt(n); derived for analysis from the extracted SD and sample size</x:v>
      </x:c>
      <x:c r="L30" s="43" t="str">
        <x:v>abramova_2024_devneur_fig2e; Fig. 2. e</x:v>
      </x:c>
      <x:c r="M30" s="43" t="str"/>
      <x:c r="N30" s="43" t="str">
        <x:v>0.661429</x:v>
      </x:c>
      <x:c r="O30" s="43" t="str">
        <x:v>SD / sqrt(n); derived for analysis from the extracted SD and sample size</x:v>
      </x:c>
      <x:c r="P30" s="43" t="str">
        <x:v>abramova_2024_devneur_fig2e; Fig. 2. e</x:v>
      </x:c>
    </x:row>
    <x:row r="31">
      <x:c r="A31" s="43" t="str">
        <x:v>31</x:v>
      </x:c>
      <x:c r="B31" s="43" t="str">
        <x:v>abramova_2024_devneur</x:v>
      </x:c>
      <x:c r="C31" s="43" t="str">
        <x:v>es030</x:v>
      </x:c>
      <x:c r="D31" s="43" t="str">
        <x:v>male</x:v>
      </x:c>
      <x:c r="E31" s="43" t="str">
        <x:v>Mean grooming duration</x:v>
      </x:c>
      <x:c r="F31" s="43" t="str">
        <x:v>Verified – no change</x:v>
      </x:c>
      <x:c r="G31" s="43" t="str"/>
      <x:c r="H31" s="43" t="str"/>
      <x:c r="I31" s="43" t="str"/>
      <x:c r="J31" s="43" t="str">
        <x:v>0.789374</x:v>
      </x:c>
      <x:c r="K31" s="43" t="str">
        <x:v>SD / sqrt(n); derived for analysis from the extracted SD and sample size</x:v>
      </x:c>
      <x:c r="L31" s="43" t="str">
        <x:v>abramova_2024_devneur_fig2e; Fig. 2. e</x:v>
      </x:c>
      <x:c r="M31" s="43" t="str"/>
      <x:c r="N31" s="43" t="str">
        <x:v>1.080918</x:v>
      </x:c>
      <x:c r="O31" s="43" t="str">
        <x:v>SD / sqrt(n); derived for analysis from the extracted SD and sample size</x:v>
      </x:c>
      <x:c r="P31" s="43" t="str">
        <x:v>abramova_2024_devneur_fig2e; Fig. 2. e</x:v>
      </x:c>
    </x:row>
    <x:row r="32">
      <x:c r="A32" s="43" t="str">
        <x:v>32</x:v>
      </x:c>
      <x:c r="B32" s="43" t="str">
        <x:v>abramova_2024_devneur</x:v>
      </x:c>
      <x:c r="C32" s="43" t="str">
        <x:v>es031</x:v>
      </x:c>
      <x:c r="D32" s="43" t="str">
        <x:v>female</x:v>
      </x:c>
      <x:c r="E32" s="43" t="str">
        <x:v>Center entries (crossing)</x:v>
      </x:c>
      <x:c r="F32" s="43" t="str">
        <x:v>Verified – no change</x:v>
      </x:c>
      <x:c r="G32" s="43" t="str"/>
      <x:c r="H32" s="43" t="str"/>
      <x:c r="I32" s="43" t="str"/>
      <x:c r="J32" s="43" t="str">
        <x:v>0.198923</x:v>
      </x:c>
      <x:c r="K32" s="43" t="str">
        <x:v>SD / sqrt(n); derived for analysis from the extracted SD and sample size</x:v>
      </x:c>
      <x:c r="L32" s="43" t="str">
        <x:v>abramova_2024_devneur_fig3a; Fig. 3. a</x:v>
      </x:c>
      <x:c r="M32" s="43" t="str"/>
      <x:c r="N32" s="43" t="str">
        <x:v>0.272857</x:v>
      </x:c>
      <x:c r="O32" s="43" t="str">
        <x:v>SD / sqrt(n); derived for analysis from the extracted SD and sample size</x:v>
      </x:c>
      <x:c r="P32" s="43" t="str">
        <x:v>abramova_2024_devneur_fig3a; Fig. 3. a</x:v>
      </x:c>
    </x:row>
    <x:row r="33">
      <x:c r="A33" s="43" t="str">
        <x:v>33</x:v>
      </x:c>
      <x:c r="B33" s="43" t="str">
        <x:v>abramova_2024_devneur</x:v>
      </x:c>
      <x:c r="C33" s="43" t="str">
        <x:v>es032</x:v>
      </x:c>
      <x:c r="D33" s="43" t="str">
        <x:v>male</x:v>
      </x:c>
      <x:c r="E33" s="43" t="str">
        <x:v>Center entries (crossing)</x:v>
      </x:c>
      <x:c r="F33" s="43" t="str">
        <x:v>Verified – no change</x:v>
      </x:c>
      <x:c r="G33" s="43" t="str"/>
      <x:c r="H33" s="43" t="str"/>
      <x:c r="I33" s="43" t="str"/>
      <x:c r="J33" s="43" t="str">
        <x:v>0.251856</x:v>
      </x:c>
      <x:c r="K33" s="43" t="str">
        <x:v>SD / sqrt(n); derived for analysis from the extracted SD and sample size</x:v>
      </x:c>
      <x:c r="L33" s="43" t="str">
        <x:v>abramova_2024_devneur_fig3a; Fig. 3. a</x:v>
      </x:c>
      <x:c r="M33" s="43" t="str"/>
      <x:c r="N33" s="43" t="str">
        <x:v>0.20352</x:v>
      </x:c>
      <x:c r="O33" s="43" t="str">
        <x:v>SD / sqrt(n); derived for analysis from the extracted SD and sample size</x:v>
      </x:c>
      <x:c r="P33" s="43" t="str">
        <x:v>abramova_2024_devneur_fig3a; Fig. 3. a</x:v>
      </x:c>
    </x:row>
    <x:row r="34">
      <x:c r="A34" s="43" t="str">
        <x:v>34</x:v>
      </x:c>
      <x:c r="B34" s="43" t="str">
        <x:v>abramova_2024_devneur</x:v>
      </x:c>
      <x:c r="C34" s="43" t="str">
        <x:v>es033</x:v>
      </x:c>
      <x:c r="D34" s="43" t="str">
        <x:v>female</x:v>
      </x:c>
      <x:c r="E34" s="43" t="str">
        <x:v>Rearing frequency</x:v>
      </x:c>
      <x:c r="F34" s="43" t="str">
        <x:v>Verified – no change</x:v>
      </x:c>
      <x:c r="G34" s="43" t="str"/>
      <x:c r="H34" s="43" t="str"/>
      <x:c r="I34" s="43" t="str"/>
      <x:c r="J34" s="43" t="str">
        <x:v>0.915702</x:v>
      </x:c>
      <x:c r="K34" s="43" t="str">
        <x:v>SD / sqrt(n); derived for analysis from the extracted SD and sample size</x:v>
      </x:c>
      <x:c r="L34" s="43" t="str">
        <x:v>abramova_2024_devneur_fig3b; Fig. 3. c</x:v>
      </x:c>
      <x:c r="M34" s="43" t="str"/>
      <x:c r="N34" s="43" t="str">
        <x:v>1.57</x:v>
      </x:c>
      <x:c r="O34" s="43" t="str">
        <x:v>SD / sqrt(n); derived for analysis from the extracted SD and sample size</x:v>
      </x:c>
      <x:c r="P34" s="43" t="str">
        <x:v>abramova_2024_devneur_fig3b; Fig. 3. c</x:v>
      </x:c>
    </x:row>
    <x:row r="35">
      <x:c r="A35" s="43" t="str">
        <x:v>35</x:v>
      </x:c>
      <x:c r="B35" s="43" t="str">
        <x:v>abramova_2024_devneur</x:v>
      </x:c>
      <x:c r="C35" s="43" t="str">
        <x:v>es034</x:v>
      </x:c>
      <x:c r="D35" s="43" t="str">
        <x:v>male</x:v>
      </x:c>
      <x:c r="E35" s="43" t="str">
        <x:v>Rearing frequency</x:v>
      </x:c>
      <x:c r="F35" s="43" t="str">
        <x:v>Verified – no change</x:v>
      </x:c>
      <x:c r="G35" s="43" t="str"/>
      <x:c r="H35" s="43" t="str"/>
      <x:c r="I35" s="43" t="str"/>
      <x:c r="J35" s="43" t="str">
        <x:v>1.64467</x:v>
      </x:c>
      <x:c r="K35" s="43" t="str">
        <x:v>SD / sqrt(n); derived for analysis from the extracted SD and sample size</x:v>
      </x:c>
      <x:c r="L35" s="43" t="str">
        <x:v>abramova_2024_devneur_fig3b; Fig. 3. c</x:v>
      </x:c>
      <x:c r="M35" s="43" t="str"/>
      <x:c r="N35" s="43" t="str">
        <x:v>1.207553</x:v>
      </x:c>
      <x:c r="O35" s="43" t="str">
        <x:v>SD / sqrt(n); derived for analysis from the extracted SD and sample size</x:v>
      </x:c>
      <x:c r="P35" s="43" t="str">
        <x:v>abramova_2024_devneur_fig3b; Fig. 3. c</x:v>
      </x:c>
    </x:row>
    <x:row r="36">
      <x:c r="A36" s="43" t="str">
        <x:v>36</x:v>
      </x:c>
      <x:c r="B36" s="43" t="str">
        <x:v>abramova_2024_devneur</x:v>
      </x:c>
      <x:c r="C36" s="43" t="str">
        <x:v>es035</x:v>
      </x:c>
      <x:c r="D36" s="43" t="str">
        <x:v>female</x:v>
      </x:c>
      <x:c r="E36" s="43" t="str">
        <x:v>Sections crossed</x:v>
      </x:c>
      <x:c r="F36" s="43" t="str">
        <x:v>Verified – no change</x:v>
      </x:c>
      <x:c r="G36" s="43" t="str"/>
      <x:c r="H36" s="43" t="str"/>
      <x:c r="I36" s="43" t="str"/>
      <x:c r="J36" s="43" t="str">
        <x:v>2.364057</x:v>
      </x:c>
      <x:c r="K36" s="43" t="str">
        <x:v>SD / sqrt(n); derived for analysis from the extracted SD and sample size</x:v>
      </x:c>
      <x:c r="L36" s="43" t="str">
        <x:v>abramova_2024_devneur_fig3c; Fig. 3. b</x:v>
      </x:c>
      <x:c r="M36" s="43" t="str"/>
      <x:c r="N36" s="43" t="str">
        <x:v>2.515714</x:v>
      </x:c>
      <x:c r="O36" s="43" t="str">
        <x:v>SD / sqrt(n); derived for analysis from the extracted SD and sample size</x:v>
      </x:c>
      <x:c r="P36" s="43" t="str">
        <x:v>abramova_2024_devneur_fig3c; Fig. 3. b</x:v>
      </x:c>
    </x:row>
    <x:row r="37">
      <x:c r="A37" s="43" t="str">
        <x:v>37</x:v>
      </x:c>
      <x:c r="B37" s="43" t="str">
        <x:v>abramova_2024_devneur</x:v>
      </x:c>
      <x:c r="C37" s="43" t="str">
        <x:v>es036</x:v>
      </x:c>
      <x:c r="D37" s="43" t="str">
        <x:v>male</x:v>
      </x:c>
      <x:c r="E37" s="43" t="str">
        <x:v>Sections crossed</x:v>
      </x:c>
      <x:c r="F37" s="43" t="str">
        <x:v>Verified – no change</x:v>
      </x:c>
      <x:c r="G37" s="43" t="str"/>
      <x:c r="H37" s="43" t="str"/>
      <x:c r="I37" s="43" t="str"/>
      <x:c r="J37" s="43" t="str">
        <x:v>2.222756</x:v>
      </x:c>
      <x:c r="K37" s="43" t="str">
        <x:v>SD / sqrt(n); derived for analysis from the extracted SD and sample size</x:v>
      </x:c>
      <x:c r="L37" s="43" t="str">
        <x:v>abramova_2024_devneur_fig3c; Fig. 3. b</x:v>
      </x:c>
      <x:c r="M37" s="43" t="str"/>
      <x:c r="N37" s="43" t="str">
        <x:v>2.06083</x:v>
      </x:c>
      <x:c r="O37" s="43" t="str">
        <x:v>SD / sqrt(n); derived for analysis from the extracted SD and sample size</x:v>
      </x:c>
      <x:c r="P37" s="43" t="str">
        <x:v>abramova_2024_devneur_fig3c; Fig. 3. b</x:v>
      </x:c>
    </x:row>
    <x:row r="38">
      <x:c r="A38" s="43" t="str">
        <x:v>38</x:v>
      </x:c>
      <x:c r="B38" s="43" t="str">
        <x:v>abramova_2024_devneur</x:v>
      </x:c>
      <x:c r="C38" s="43" t="str">
        <x:v>es037</x:v>
      </x:c>
      <x:c r="D38" s="43" t="str">
        <x:v>female</x:v>
      </x:c>
      <x:c r="E38" s="43" t="str">
        <x:v>Total freezing time</x:v>
      </x:c>
      <x:c r="F38" s="43" t="str">
        <x:v>Verified – no change</x:v>
      </x:c>
      <x:c r="G38" s="43" t="str"/>
      <x:c r="H38" s="43" t="str"/>
      <x:c r="I38" s="43" t="str"/>
      <x:c r="J38" s="43" t="str">
        <x:v>1.765645</x:v>
      </x:c>
      <x:c r="K38" s="43" t="str">
        <x:v>SD / sqrt(n); derived for analysis from the extracted SD and sample size</x:v>
      </x:c>
      <x:c r="L38" s="43" t="str">
        <x:v>abramova_2024_devneur_fig3d; Fig. 3. d</x:v>
      </x:c>
      <x:c r="M38" s="43" t="str"/>
      <x:c r="N38" s="43" t="str">
        <x:v>4.401429</x:v>
      </x:c>
      <x:c r="O38" s="43" t="str">
        <x:v>SD / sqrt(n); derived for analysis from the extracted SD and sample size</x:v>
      </x:c>
      <x:c r="P38" s="43" t="str">
        <x:v>abramova_2024_devneur_fig3d; Fig. 3. d</x:v>
      </x:c>
    </x:row>
    <x:row r="39">
      <x:c r="A39" s="43" t="str">
        <x:v>39</x:v>
      </x:c>
      <x:c r="B39" s="43" t="str">
        <x:v>abramova_2024_devneur</x:v>
      </x:c>
      <x:c r="C39" s="43" t="str">
        <x:v>es038</x:v>
      </x:c>
      <x:c r="D39" s="43" t="str">
        <x:v>male</x:v>
      </x:c>
      <x:c r="E39" s="43" t="str">
        <x:v>Total freezing time</x:v>
      </x:c>
      <x:c r="F39" s="43" t="str">
        <x:v>Verified – no change</x:v>
      </x:c>
      <x:c r="G39" s="43" t="str"/>
      <x:c r="H39" s="43" t="str"/>
      <x:c r="I39" s="43" t="str"/>
      <x:c r="J39" s="43" t="str">
        <x:v>2.665617</x:v>
      </x:c>
      <x:c r="K39" s="43" t="str">
        <x:v>SD / sqrt(n); derived for analysis from the extracted SD and sample size</x:v>
      </x:c>
      <x:c r="L39" s="43" t="str">
        <x:v>abramova_2024_devneur_fig3d; Fig. 3. d</x:v>
      </x:c>
      <x:c r="M39" s="43" t="str"/>
      <x:c r="N39" s="43" t="str">
        <x:v>7.390043</x:v>
      </x:c>
      <x:c r="O39" s="43" t="str">
        <x:v>SD / sqrt(n); derived for analysis from the extracted SD and sample size</x:v>
      </x:c>
      <x:c r="P39" s="43" t="str">
        <x:v>abramova_2024_devneur_fig3d; Fig. 3. d</x:v>
      </x:c>
    </x:row>
    <x:row r="40">
      <x:c r="A40" s="43" t="str">
        <x:v>40</x:v>
      </x:c>
      <x:c r="B40" s="43" t="str">
        <x:v>abramova_2024_devneur</x:v>
      </x:c>
      <x:c r="C40" s="43" t="str">
        <x:v>es039</x:v>
      </x:c>
      <x:c r="D40" s="43" t="str">
        <x:v>female</x:v>
      </x:c>
      <x:c r="E40" s="43" t="str">
        <x:v>Total grooming time</x:v>
      </x:c>
      <x:c r="F40" s="43" t="str">
        <x:v>Verified – no change</x:v>
      </x:c>
      <x:c r="G40" s="43" t="str"/>
      <x:c r="H40" s="43" t="str"/>
      <x:c r="I40" s="43" t="str"/>
      <x:c r="J40" s="43" t="str">
        <x:v>2.189795</x:v>
      </x:c>
      <x:c r="K40" s="43" t="str">
        <x:v>SD / sqrt(n); derived for analysis from the extracted SD and sample size</x:v>
      </x:c>
      <x:c r="L40" s="43" t="str">
        <x:v>abramova_2024_devneur_fig3e; Fig. 3. e</x:v>
      </x:c>
      <x:c r="M40" s="43" t="str"/>
      <x:c r="N40" s="43" t="str">
        <x:v>2.457143</x:v>
      </x:c>
      <x:c r="O40" s="43" t="str">
        <x:v>SD / sqrt(n); derived for analysis from the extracted SD and sample size</x:v>
      </x:c>
      <x:c r="P40" s="43" t="str">
        <x:v>abramova_2024_devneur_fig3e; Fig. 3. e</x:v>
      </x:c>
    </x:row>
    <x:row r="41">
      <x:c r="A41" s="43" t="str">
        <x:v>41</x:v>
      </x:c>
      <x:c r="B41" s="43" t="str">
        <x:v>abramova_2024_devneur</x:v>
      </x:c>
      <x:c r="C41" s="43" t="str">
        <x:v>es040</x:v>
      </x:c>
      <x:c r="D41" s="43" t="str">
        <x:v>male</x:v>
      </x:c>
      <x:c r="E41" s="43" t="str">
        <x:v>Total grooming time</x:v>
      </x:c>
      <x:c r="F41" s="43" t="str">
        <x:v>Verified – no change</x:v>
      </x:c>
      <x:c r="G41" s="43" t="str"/>
      <x:c r="H41" s="43" t="str"/>
      <x:c r="I41" s="43" t="str"/>
      <x:c r="J41" s="43" t="str">
        <x:v>1.408027</x:v>
      </x:c>
      <x:c r="K41" s="43" t="str">
        <x:v>SD / sqrt(n); derived for analysis from the extracted SD and sample size</x:v>
      </x:c>
      <x:c r="L41" s="43" t="str">
        <x:v>abramova_2024_devneur_fig3e; Fig. 3. e</x:v>
      </x:c>
      <x:c r="M41" s="43" t="str"/>
      <x:c r="N41" s="43" t="str">
        <x:v>3.814119</x:v>
      </x:c>
      <x:c r="O41" s="43" t="str">
        <x:v>SD / sqrt(n); derived for analysis from the extracted SD and sample size</x:v>
      </x:c>
      <x:c r="P41" s="43" t="str">
        <x:v>abramova_2024_devneur_fig3e; Fig. 3. e</x:v>
      </x:c>
    </x:row>
    <x:row r="42">
      <x:c r="A42" s="43" t="str">
        <x:v>42</x:v>
      </x:c>
      <x:c r="B42" s="43" t="str">
        <x:v>abramova_2024_devneur</x:v>
      </x:c>
      <x:c r="C42" s="43" t="str">
        <x:v>es041</x:v>
      </x:c>
      <x:c r="D42" s="43" t="str">
        <x:v>female</x:v>
      </x:c>
      <x:c r="E42" s="43" t="str">
        <x:v>Grooming frequency</x:v>
      </x:c>
      <x:c r="F42" s="43" t="str">
        <x:v>Verified – no change</x:v>
      </x:c>
      <x:c r="G42" s="43" t="str"/>
      <x:c r="H42" s="43" t="str"/>
      <x:c r="I42" s="43" t="str"/>
      <x:c r="J42" s="43" t="str">
        <x:v>0.35017</x:v>
      </x:c>
      <x:c r="K42" s="43" t="str">
        <x:v>SD / sqrt(n); derived for analysis from the extracted SD and sample size</x:v>
      </x:c>
      <x:c r="L42" s="43" t="str">
        <x:v>abramova_2024_devneur_fig3f; Fig. 3. f</x:v>
      </x:c>
      <x:c r="M42" s="43" t="str"/>
      <x:c r="N42" s="43" t="str">
        <x:v>0.311429</x:v>
      </x:c>
      <x:c r="O42" s="43" t="str">
        <x:v>SD / sqrt(n); derived for analysis from the extracted SD and sample size</x:v>
      </x:c>
      <x:c r="P42" s="43" t="str">
        <x:v>abramova_2024_devneur_fig3f; Fig. 3. f</x:v>
      </x:c>
    </x:row>
    <x:row r="43">
      <x:c r="A43" s="43" t="str">
        <x:v>43</x:v>
      </x:c>
      <x:c r="B43" s="43" t="str">
        <x:v>abramova_2024_devneur</x:v>
      </x:c>
      <x:c r="C43" s="43" t="str">
        <x:v>es042</x:v>
      </x:c>
      <x:c r="D43" s="43" t="str">
        <x:v>male</x:v>
      </x:c>
      <x:c r="E43" s="43" t="str">
        <x:v>Grooming frequency</x:v>
      </x:c>
      <x:c r="F43" s="43" t="str">
        <x:v>Verified – no change</x:v>
      </x:c>
      <x:c r="G43" s="43" t="str"/>
      <x:c r="H43" s="43" t="str"/>
      <x:c r="I43" s="43" t="str"/>
      <x:c r="J43" s="43" t="str">
        <x:v>0.253546</x:v>
      </x:c>
      <x:c r="K43" s="43" t="str">
        <x:v>SD / sqrt(n); derived for analysis from the extracted SD and sample size</x:v>
      </x:c>
      <x:c r="L43" s="43" t="str">
        <x:v>abramova_2024_devneur_fig3f; Fig. 3. f</x:v>
      </x:c>
      <x:c r="M43" s="43" t="str"/>
      <x:c r="N43" s="43" t="str">
        <x:v>0.419101</x:v>
      </x:c>
      <x:c r="O43" s="43" t="str">
        <x:v>SD / sqrt(n); derived for analysis from the extracted SD and sample size</x:v>
      </x:c>
      <x:c r="P43" s="43" t="str">
        <x:v>abramova_2024_devneur_fig3f; Fig. 3. f</x:v>
      </x:c>
    </x:row>
    <x:row r="44">
      <x:c r="A44" s="43" t="str">
        <x:v>44</x:v>
      </x:c>
      <x:c r="B44" s="43" t="str">
        <x:v>abramova_2024_devneur</x:v>
      </x:c>
      <x:c r="C44" s="43" t="str">
        <x:v>es043</x:v>
      </x:c>
      <x:c r="D44" s="43" t="str">
        <x:v>female</x:v>
      </x:c>
      <x:c r="E44" s="43" t="str">
        <x:v>Total immobility time</x:v>
      </x:c>
      <x:c r="F44" s="43" t="str">
        <x:v>Verified – no change</x:v>
      </x:c>
      <x:c r="G44" s="43" t="str"/>
      <x:c r="H44" s="43" t="str"/>
      <x:c r="I44" s="43" t="str"/>
      <x:c r="J44" s="43" t="str">
        <x:v>7.31494</x:v>
      </x:c>
      <x:c r="K44" s="43" t="str">
        <x:v>SD / sqrt(n); derived for analysis from the extracted SD and sample size</x:v>
      </x:c>
      <x:c r="L44" s="43" t="str">
        <x:v>abramova_2024_devneur_fig4a; Fig.4. a</x:v>
      </x:c>
      <x:c r="M44" s="43" t="str"/>
      <x:c r="N44" s="43" t="str">
        <x:v>5.388912</x:v>
      </x:c>
      <x:c r="O44" s="43" t="str">
        <x:v>SD / sqrt(n); derived for analysis from the extracted SD and sample size</x:v>
      </x:c>
      <x:c r="P44" s="43" t="str">
        <x:v>abramova_2024_devneur_fig4a; Fig.4. a</x:v>
      </x:c>
    </x:row>
    <x:row r="45">
      <x:c r="A45" s="43" t="str">
        <x:v>45</x:v>
      </x:c>
      <x:c r="B45" s="43" t="str">
        <x:v>abramova_2024_devneur</x:v>
      </x:c>
      <x:c r="C45" s="43" t="str">
        <x:v>es044</x:v>
      </x:c>
      <x:c r="D45" s="43" t="str">
        <x:v>male</x:v>
      </x:c>
      <x:c r="E45" s="43" t="str">
        <x:v>Total immobility time</x:v>
      </x:c>
      <x:c r="F45" s="43" t="str">
        <x:v>Verified – no change</x:v>
      </x:c>
      <x:c r="G45" s="43" t="str"/>
      <x:c r="H45" s="43" t="str"/>
      <x:c r="I45" s="43" t="str"/>
      <x:c r="J45" s="43" t="str">
        <x:v>12.889345</x:v>
      </x:c>
      <x:c r="K45" s="43" t="str">
        <x:v>SD / sqrt(n); derived for analysis from the extracted SD and sample size</x:v>
      </x:c>
      <x:c r="L45" s="43" t="str">
        <x:v>abramova_2024_devneur_fig4a; Fig.4. a</x:v>
      </x:c>
      <x:c r="M45" s="43" t="str"/>
      <x:c r="N45" s="43" t="str">
        <x:v>12.310053</x:v>
      </x:c>
      <x:c r="O45" s="43" t="str">
        <x:v>SD / sqrt(n); derived for analysis from the extracted SD and sample size</x:v>
      </x:c>
      <x:c r="P45" s="43" t="str">
        <x:v>abramova_2024_devneur_fig4a; Fig.4. a</x:v>
      </x:c>
    </x:row>
    <x:row r="46">
      <x:c r="A46" s="43" t="str">
        <x:v>46</x:v>
      </x:c>
      <x:c r="B46" s="43" t="str">
        <x:v>abramova_2024_devneur</x:v>
      </x:c>
      <x:c r="C46" s="43" t="str">
        <x:v>es045</x:v>
      </x:c>
      <x:c r="D46" s="43" t="str">
        <x:v>female</x:v>
      </x:c>
      <x:c r="E46" s="43" t="str">
        <x:v>Sucrose preference index</x:v>
      </x:c>
      <x:c r="F46" s="43" t="str">
        <x:v>Corrected transcription</x:v>
      </x:c>
      <x:c r="G46" s="43" t="str">
        <x:v>Source follow-up – Abramova 2024</x:v>
      </x:c>
      <x:c r="H46" s="43" t="str">
        <x:v>The supplied author email confirms the stored mean and SE values. | Link the extracted values to the archived author correspondence screenshot.</x:v>
      </x:c>
      <x:c r="I46" s="43" t="str">
        <x:v>4.3</x:v>
      </x:c>
      <x:c r="J46" s="43" t="str">
        <x:v>4.3</x:v>
      </x:c>
      <x:c r="K46" s="43" t="str">
        <x:v>Reported SE in author email; used unchanged for analysis</x:v>
      </x:c>
      <x:c r="L46" s="43" t="str">
        <x:v>included_studies/abramova_2024_devneur/abramova_2024_devneur_author_email_sucrose_preference.png</x:v>
      </x:c>
      <x:c r="M46" s="43" t="str">
        <x:v>5.4</x:v>
      </x:c>
      <x:c r="N46" s="43" t="str">
        <x:v>5.4</x:v>
      </x:c>
      <x:c r="O46" s="43" t="str">
        <x:v>Reported SE in author email; used unchanged for analysis</x:v>
      </x:c>
      <x:c r="P46" s="43" t="str">
        <x:v>included_studies/abramova_2024_devneur/abramova_2024_devneur_author_email_sucrose_preference.png</x:v>
      </x:c>
    </x:row>
    <x:row r="47">
      <x:c r="A47" s="43" t="str">
        <x:v>47</x:v>
      </x:c>
      <x:c r="B47" s="43" t="str">
        <x:v>abramova_2024_devneur</x:v>
      </x:c>
      <x:c r="C47" s="43" t="str">
        <x:v>es046</x:v>
      </x:c>
      <x:c r="D47" s="43" t="str">
        <x:v>male</x:v>
      </x:c>
      <x:c r="E47" s="43" t="str">
        <x:v>Sucrose preference index</x:v>
      </x:c>
      <x:c r="F47" s="43" t="str">
        <x:v>Corrected transcription</x:v>
      </x:c>
      <x:c r="G47" s="43" t="str">
        <x:v>Source follow-up – Abramova 2024</x:v>
      </x:c>
      <x:c r="H47" s="43" t="str">
        <x:v>The supplied author email confirms the stored mean and SE values. | Link the extracted values to the archived author correspondence screenshot.</x:v>
      </x:c>
      <x:c r="I47" s="43" t="str">
        <x:v>5.2</x:v>
      </x:c>
      <x:c r="J47" s="43" t="str">
        <x:v>5.2</x:v>
      </x:c>
      <x:c r="K47" s="43" t="str">
        <x:v>Reported SE in author email; used unchanged for analysis</x:v>
      </x:c>
      <x:c r="L47" s="43" t="str">
        <x:v>included_studies/abramova_2024_devneur/abramova_2024_devneur_author_email_sucrose_preference.png</x:v>
      </x:c>
      <x:c r="M47" s="43" t="str">
        <x:v>4.3</x:v>
      </x:c>
      <x:c r="N47" s="43" t="str">
        <x:v>4.3</x:v>
      </x:c>
      <x:c r="O47" s="43" t="str">
        <x:v>Reported SE in author email; used unchanged for analysis</x:v>
      </x:c>
      <x:c r="P47" s="43" t="str">
        <x:v>included_studies/abramova_2024_devneur/abramova_2024_devneur_author_email_sucrose_preference.png</x:v>
      </x:c>
    </x:row>
    <x:row r="48">
      <x:c r="A48" s="43" t="str">
        <x:v>48</x:v>
      </x:c>
      <x:c r="B48" s="43" t="str">
        <x:v>oliveira_2015_jbehavbraisci</x:v>
      </x:c>
      <x:c r="C48" s="43" t="str">
        <x:v>es047</x:v>
      </x:c>
      <x:c r="D48" s="43" t="str">
        <x:v>male</x:v>
      </x:c>
      <x:c r="E48" s="43" t="str">
        <x:v>Avoidance latency</x:v>
      </x:c>
      <x:c r="F48" s="43" t="str">
        <x:v>Verified – no change</x:v>
      </x:c>
      <x:c r="G48" s="43" t="str"/>
      <x:c r="H48" s="43" t="str"/>
      <x:c r="I48" s="43" t="str">
        <x:v>7.25</x:v>
      </x:c>
      <x:c r="J48" s="43" t="str">
        <x:v>7.25</x:v>
      </x:c>
      <x:c r="K48" s="43" t="str">
        <x:v>Reported SEM; used unchanged for analysis</x:v>
      </x:c>
      <x:c r="L48" s="43" t="str">
        <x:v>oliveira_2015_jbehavbraisci_fig2b; Figure 2. b</x:v>
      </x:c>
      <x:c r="M48" s="43" t="str">
        <x:v>4.15</x:v>
      </x:c>
      <x:c r="N48" s="43" t="str">
        <x:v>4.15</x:v>
      </x:c>
      <x:c r="O48" s="43" t="str">
        <x:v>Reported SEM; used unchanged for analysis</x:v>
      </x:c>
      <x:c r="P48" s="43" t="str">
        <x:v>oliveira_2015_jbehavbraisci_fig2b; Figure 2. b</x:v>
      </x:c>
    </x:row>
    <x:row r="49">
      <x:c r="A49" s="43" t="str">
        <x:v>49</x:v>
      </x:c>
      <x:c r="B49" s="43" t="str">
        <x:v>oliveira_2015_jbehavbraisci</x:v>
      </x:c>
      <x:c r="C49" s="43" t="str">
        <x:v>es048</x:v>
      </x:c>
      <x:c r="D49" s="43" t="str">
        <x:v>male</x:v>
      </x:c>
      <x:c r="E49" s="43" t="str">
        <x:v>Avoidance latency</x:v>
      </x:c>
      <x:c r="F49" s="43" t="str">
        <x:v>Verified – no change</x:v>
      </x:c>
      <x:c r="G49" s="43" t="str"/>
      <x:c r="H49" s="43" t="str"/>
      <x:c r="I49" s="43" t="str">
        <x:v>34.2</x:v>
      </x:c>
      <x:c r="J49" s="43" t="str">
        <x:v>34.2</x:v>
      </x:c>
      <x:c r="K49" s="43" t="str">
        <x:v>Reported SEM; used unchanged for analysis</x:v>
      </x:c>
      <x:c r="L49" s="43" t="str">
        <x:v>oliveira_2015_jbehavbraisci_fig2b; Figure 2. b</x:v>
      </x:c>
      <x:c r="M49" s="43" t="str">
        <x:v>37.82</x:v>
      </x:c>
      <x:c r="N49" s="43" t="str">
        <x:v>37.82</x:v>
      </x:c>
      <x:c r="O49" s="43" t="str">
        <x:v>Reported SEM; used unchanged for analysis</x:v>
      </x:c>
      <x:c r="P49" s="43" t="str">
        <x:v>oliveira_2015_jbehavbraisci_fig2b; Figure 2. b</x:v>
      </x:c>
    </x:row>
    <x:row r="50">
      <x:c r="A50" s="43" t="str">
        <x:v>50</x:v>
      </x:c>
      <x:c r="B50" s="43" t="str">
        <x:v>oliveira_2015_jbehavbraisci</x:v>
      </x:c>
      <x:c r="C50" s="43" t="str">
        <x:v>es049</x:v>
      </x:c>
      <x:c r="D50" s="43" t="str">
        <x:v>male</x:v>
      </x:c>
      <x:c r="E50" s="43" t="str">
        <x:v>Avoidance latency</x:v>
      </x:c>
      <x:c r="F50" s="43" t="str">
        <x:v>Verified – no change</x:v>
      </x:c>
      <x:c r="G50" s="43" t="str"/>
      <x:c r="H50" s="43" t="str"/>
      <x:c r="I50" s="43" t="str">
        <x:v>37.31</x:v>
      </x:c>
      <x:c r="J50" s="43" t="str">
        <x:v>37.31</x:v>
      </x:c>
      <x:c r="K50" s="43" t="str">
        <x:v>Reported SEM; used unchanged for analysis</x:v>
      </x:c>
      <x:c r="L50" s="43" t="str">
        <x:v>oliveira_2015_jbehavbraisci_fig2b; Figure 2. b</x:v>
      </x:c>
      <x:c r="M50" s="43" t="str">
        <x:v>42.49</x:v>
      </x:c>
      <x:c r="N50" s="43" t="str">
        <x:v>42.49</x:v>
      </x:c>
      <x:c r="O50" s="43" t="str">
        <x:v>Reported SEM; used unchanged for analysis</x:v>
      </x:c>
      <x:c r="P50" s="43" t="str">
        <x:v>oliveira_2015_jbehavbraisci_fig2b; Figure 2. b</x:v>
      </x:c>
    </x:row>
    <x:row r="51">
      <x:c r="A51" s="43" t="str">
        <x:v>51</x:v>
      </x:c>
      <x:c r="B51" s="43" t="str">
        <x:v>oliveira_2015_jbehavbraisci</x:v>
      </x:c>
      <x:c r="C51" s="43" t="str">
        <x:v>es050</x:v>
      </x:c>
      <x:c r="D51" s="43" t="str">
        <x:v>male</x:v>
      </x:c>
      <x:c r="E51" s="43" t="str">
        <x:v>Escape latency</x:v>
      </x:c>
      <x:c r="F51" s="43" t="str">
        <x:v>Verified – no change</x:v>
      </x:c>
      <x:c r="G51" s="43" t="str"/>
      <x:c r="H51" s="43" t="str"/>
      <x:c r="I51" s="43" t="str">
        <x:v>1.11</x:v>
      </x:c>
      <x:c r="J51" s="43" t="str">
        <x:v>1.11</x:v>
      </x:c>
      <x:c r="K51" s="43" t="str">
        <x:v>Reported SEM; used unchanged for analysis</x:v>
      </x:c>
      <x:c r="L51" s="43" t="str">
        <x:v>oliveira_2015_jbehavbraisci_fig3b; Figure 3. b</x:v>
      </x:c>
      <x:c r="M51" s="43" t="str">
        <x:v>2.37</x:v>
      </x:c>
      <x:c r="N51" s="43" t="str">
        <x:v>2.37</x:v>
      </x:c>
      <x:c r="O51" s="43" t="str">
        <x:v>Reported SEM; used unchanged for analysis</x:v>
      </x:c>
      <x:c r="P51" s="43" t="str">
        <x:v>oliveira_2015_jbehavbraisci_fig3b; Figure 3. b</x:v>
      </x:c>
    </x:row>
    <x:row r="52">
      <x:c r="A52" s="43" t="str">
        <x:v>52</x:v>
      </x:c>
      <x:c r="B52" s="43" t="str">
        <x:v>oliveira_2015_jbehavbraisci</x:v>
      </x:c>
      <x:c r="C52" s="43" t="str">
        <x:v>es051</x:v>
      </x:c>
      <x:c r="D52" s="43" t="str">
        <x:v>male</x:v>
      </x:c>
      <x:c r="E52" s="43" t="str">
        <x:v>Escape latency</x:v>
      </x:c>
      <x:c r="F52" s="43" t="str">
        <x:v>Verified – no change</x:v>
      </x:c>
      <x:c r="G52" s="43" t="str"/>
      <x:c r="H52" s="43" t="str"/>
      <x:c r="I52" s="43" t="str">
        <x:v>2.31</x:v>
      </x:c>
      <x:c r="J52" s="43" t="str">
        <x:v>2.31</x:v>
      </x:c>
      <x:c r="K52" s="43" t="str">
        <x:v>Reported SEM; used unchanged for analysis</x:v>
      </x:c>
      <x:c r="L52" s="43" t="str">
        <x:v>oliveira_2015_jbehavbraisci_fig3b; Figure 3. b</x:v>
      </x:c>
      <x:c r="M52" s="43" t="str">
        <x:v>1.17</x:v>
      </x:c>
      <x:c r="N52" s="43" t="str">
        <x:v>1.17</x:v>
      </x:c>
      <x:c r="O52" s="43" t="str">
        <x:v>Reported SEM; used unchanged for analysis</x:v>
      </x:c>
      <x:c r="P52" s="43" t="str">
        <x:v>oliveira_2015_jbehavbraisci_fig3b; Figure 3. b</x:v>
      </x:c>
    </x:row>
    <x:row r="53">
      <x:c r="A53" s="43" t="str">
        <x:v>53</x:v>
      </x:c>
      <x:c r="B53" s="43" t="str">
        <x:v>oliveira_2015_jbehavbraisci</x:v>
      </x:c>
      <x:c r="C53" s="43" t="str">
        <x:v>es052</x:v>
      </x:c>
      <x:c r="D53" s="43" t="str">
        <x:v>male</x:v>
      </x:c>
      <x:c r="E53" s="43" t="str">
        <x:v>Escape latency</x:v>
      </x:c>
      <x:c r="F53" s="43" t="str">
        <x:v>Verified – no change</x:v>
      </x:c>
      <x:c r="G53" s="43" t="str"/>
      <x:c r="H53" s="43" t="str"/>
      <x:c r="I53" s="43" t="str">
        <x:v>2.23</x:v>
      </x:c>
      <x:c r="J53" s="43" t="str">
        <x:v>2.23</x:v>
      </x:c>
      <x:c r="K53" s="43" t="str">
        <x:v>Reported SEM; used unchanged for analysis</x:v>
      </x:c>
      <x:c r="L53" s="43" t="str">
        <x:v>oliveira_2015_jbehavbraisci_fig3b; Figure 3. b</x:v>
      </x:c>
      <x:c r="M53" s="43" t="str">
        <x:v>4.46</x:v>
      </x:c>
      <x:c r="N53" s="43" t="str">
        <x:v>4.46</x:v>
      </x:c>
      <x:c r="O53" s="43" t="str">
        <x:v>Reported SEM; used unchanged for analysis</x:v>
      </x:c>
      <x:c r="P53" s="43" t="str">
        <x:v>oliveira_2015_jbehavbraisci_fig3b; Figure 3. b</x:v>
      </x:c>
    </x:row>
    <x:row r="54">
      <x:c r="A54" s="43" t="str">
        <x:v>54</x:v>
      </x:c>
      <x:c r="B54" s="43" t="str">
        <x:v>pavlov_2023_molsci</x:v>
      </x:c>
      <x:c r="C54" s="43" t="str">
        <x:v>es053</x:v>
      </x:c>
      <x:c r="D54" s="43" t="str">
        <x:v>female</x:v>
      </x:c>
      <x:c r="E54" s="43" t="str">
        <x:v>Sucrose preference index</x:v>
      </x:c>
      <x:c r="F54" s="43" t="str">
        <x:v>Verified – no change</x:v>
      </x:c>
      <x:c r="G54" s="43" t="str"/>
      <x:c r="H54" s="43" t="str"/>
      <x:c r="I54" s="43" t="str"/>
      <x:c r="J54" s="43" t="str">
        <x:v>3.073734</x:v>
      </x:c>
      <x:c r="K54" s="43" t="str">
        <x:v>SD / sqrt(n); derived for analysis from the extracted SD and sample size</x:v>
      </x:c>
      <x:c r="L54" s="43" t="str">
        <x:v>pavlov_2023_molsci_Fig4A; Figure 4A</x:v>
      </x:c>
      <x:c r="M54" s="43" t="str"/>
      <x:c r="N54" s="43" t="str">
        <x:v>3.605354</x:v>
      </x:c>
      <x:c r="O54" s="43" t="str">
        <x:v>SD / sqrt(n); derived for analysis from the extracted SD and sample size</x:v>
      </x:c>
      <x:c r="P54" s="43" t="str">
        <x:v>pavlov_2023_molsci_Fig4A; Figure 4A</x:v>
      </x:c>
    </x:row>
    <x:row r="55">
      <x:c r="A55" s="43" t="str">
        <x:v>55</x:v>
      </x:c>
      <x:c r="B55" s="43" t="str">
        <x:v>pavlov_2023_molsci</x:v>
      </x:c>
      <x:c r="C55" s="43" t="str">
        <x:v>es054</x:v>
      </x:c>
      <x:c r="D55" s="43" t="str">
        <x:v>female</x:v>
      </x:c>
      <x:c r="E55" s="43" t="str">
        <x:v>Sections crossed</x:v>
      </x:c>
      <x:c r="F55" s="43" t="str">
        <x:v>Verified – no change</x:v>
      </x:c>
      <x:c r="G55" s="43" t="str"/>
      <x:c r="H55" s="43" t="str"/>
      <x:c r="I55" s="43" t="str"/>
      <x:c r="J55" s="43" t="str">
        <x:v>1.951125</x:v>
      </x:c>
      <x:c r="K55" s="43" t="str">
        <x:v>SD / sqrt(n); derived for analysis from the extracted SD and sample size</x:v>
      </x:c>
      <x:c r="L55" s="43" t="str">
        <x:v>pavlov_2023_molsci_Fig4C; Figure 4C</x:v>
      </x:c>
      <x:c r="M55" s="43" t="str"/>
      <x:c r="N55" s="43" t="str">
        <x:v>0.847218</x:v>
      </x:c>
      <x:c r="O55" s="43" t="str">
        <x:v>SD / sqrt(n); derived for analysis from the extracted SD and sample size</x:v>
      </x:c>
      <x:c r="P55" s="43" t="str">
        <x:v>pavlov_2023_molsci_Fig4C; Figure 4C</x:v>
      </x:c>
    </x:row>
    <x:row r="56">
      <x:c r="A56" s="43" t="str">
        <x:v>56</x:v>
      </x:c>
      <x:c r="B56" s="43" t="str">
        <x:v>pavlov_2023_molsci</x:v>
      </x:c>
      <x:c r="C56" s="43" t="str">
        <x:v>es055</x:v>
      </x:c>
      <x:c r="D56" s="43" t="str">
        <x:v>female</x:v>
      </x:c>
      <x:c r="E56" s="43" t="str">
        <x:v>Time in central square</x:v>
      </x:c>
      <x:c r="F56" s="43" t="str">
        <x:v>Verified – no change</x:v>
      </x:c>
      <x:c r="G56" s="43" t="str"/>
      <x:c r="H56" s="43" t="str"/>
      <x:c r="I56" s="43" t="str"/>
      <x:c r="J56" s="43" t="str">
        <x:v>5.533986</x:v>
      </x:c>
      <x:c r="K56" s="43" t="str">
        <x:v>SD / sqrt(n); derived for analysis from the extracted SD and sample size</x:v>
      </x:c>
      <x:c r="L56" s="43" t="str">
        <x:v>pavlov_2023_molsci_Fig4D; Figure 4D</x:v>
      </x:c>
      <x:c r="M56" s="43" t="str"/>
      <x:c r="N56" s="43" t="str">
        <x:v>2.979963</x:v>
      </x:c>
      <x:c r="O56" s="43" t="str">
        <x:v>SD / sqrt(n); derived for analysis from the extracted SD and sample size</x:v>
      </x:c>
      <x:c r="P56" s="43" t="str">
        <x:v>pavlov_2023_molsci_Fig4D; Figure 4D</x:v>
      </x:c>
    </x:row>
    <x:row r="57">
      <x:c r="A57" s="43" t="str">
        <x:v>57</x:v>
      </x:c>
      <x:c r="B57" s="43" t="str">
        <x:v>pavlov_2023_molsci</x:v>
      </x:c>
      <x:c r="C57" s="43" t="str">
        <x:v>es056</x:v>
      </x:c>
      <x:c r="D57" s="43" t="str">
        <x:v>female</x:v>
      </x:c>
      <x:c r="E57" s="43" t="str">
        <x:v>Time in open arms (OAT)</x:v>
      </x:c>
      <x:c r="F57" s="43" t="str">
        <x:v>Verified – no change</x:v>
      </x:c>
      <x:c r="G57" s="43" t="str"/>
      <x:c r="H57" s="43" t="str"/>
      <x:c r="I57" s="43" t="str"/>
      <x:c r="J57" s="43" t="str">
        <x:v>6.590187</x:v>
      </x:c>
      <x:c r="K57" s="43" t="str">
        <x:v>SD / sqrt(n); derived for analysis from the extracted SD and sample size</x:v>
      </x:c>
      <x:c r="L57" s="43" t="str">
        <x:v>pavlov_2023_molsci_Fig4E; Figure 4E</x:v>
      </x:c>
      <x:c r="M57" s="43" t="str"/>
      <x:c r="N57" s="43" t="str">
        <x:v>2.555017</x:v>
      </x:c>
      <x:c r="O57" s="43" t="str">
        <x:v>SD / sqrt(n); derived for analysis from the extracted SD and sample size</x:v>
      </x:c>
      <x:c r="P57" s="43" t="str">
        <x:v>pavlov_2023_molsci_Fig4E; Figure 4E</x:v>
      </x:c>
    </x:row>
    <x:row r="58">
      <x:c r="A58" s="43" t="str">
        <x:v>58</x:v>
      </x:c>
      <x:c r="B58" s="43" t="str">
        <x:v>pavlov_2023_molsci</x:v>
      </x:c>
      <x:c r="C58" s="43" t="str">
        <x:v>es057</x:v>
      </x:c>
      <x:c r="D58" s="43" t="str">
        <x:v>female</x:v>
      </x:c>
      <x:c r="E58" s="43" t="str">
        <x:v>Entries into open arms (OAE)</x:v>
      </x:c>
      <x:c r="F58" s="43" t="str">
        <x:v>Verified – no change</x:v>
      </x:c>
      <x:c r="G58" s="43" t="str"/>
      <x:c r="H58" s="43" t="str"/>
      <x:c r="I58" s="43" t="str"/>
      <x:c r="J58" s="43" t="str">
        <x:v>1.720279</x:v>
      </x:c>
      <x:c r="K58" s="43" t="str">
        <x:v>SD / sqrt(n); derived for analysis from the extracted SD and sample size</x:v>
      </x:c>
      <x:c r="L58" s="43" t="str">
        <x:v>pavlov_2023_molsci_Fig4F; Figure 4F</x:v>
      </x:c>
      <x:c r="M58" s="43" t="str"/>
      <x:c r="N58" s="43" t="str">
        <x:v>1.130515</x:v>
      </x:c>
      <x:c r="O58" s="43" t="str">
        <x:v>SD / sqrt(n); derived for analysis from the extracted SD and sample size</x:v>
      </x:c>
      <x:c r="P58" s="43" t="str">
        <x:v>pavlov_2023_molsci_Fig4F; Figure 4F</x:v>
      </x:c>
    </x:row>
    <x:row r="59">
      <x:c r="A59" s="43" t="str">
        <x:v>59</x:v>
      </x:c>
      <x:c r="B59" s="43" t="str">
        <x:v>nishio_2006_intjdevlneur</x:v>
      </x:c>
      <x:c r="C59" s="43" t="str">
        <x:v>es058</x:v>
      </x:c>
      <x:c r="D59" s="43" t="str">
        <x:v>male</x:v>
      </x:c>
      <x:c r="E59" s="43" t="str">
        <x:v>Time in open arms (OAT)</x:v>
      </x:c>
      <x:c r="F59" s="43" t="str">
        <x:v>Verified – no change</x:v>
      </x:c>
      <x:c r="G59" s="43" t="str"/>
      <x:c r="H59" s="43" t="str"/>
      <x:c r="I59" s="43" t="str">
        <x:v>6.17</x:v>
      </x:c>
      <x:c r="J59" s="43" t="str">
        <x:v>6.17</x:v>
      </x:c>
      <x:c r="K59" s="43" t="str">
        <x:v>Reported SEM; used unchanged for analysis</x:v>
      </x:c>
      <x:c r="L59" s="43" t="str">
        <x:v>nishio_2006_intjdevlneur_fig2a; Fig. 2a</x:v>
      </x:c>
      <x:c r="M59" s="43" t="str">
        <x:v>3.55</x:v>
      </x:c>
      <x:c r="N59" s="43" t="str">
        <x:v>3.55</x:v>
      </x:c>
      <x:c r="O59" s="43" t="str">
        <x:v>Reported SEM; used unchanged for analysis</x:v>
      </x:c>
      <x:c r="P59" s="43" t="str">
        <x:v>nishio_2006_intjdevlneur_fig2a; Fig. 2a</x:v>
      </x:c>
    </x:row>
    <x:row r="60">
      <x:c r="A60" s="43" t="str">
        <x:v>60</x:v>
      </x:c>
      <x:c r="B60" s="43" t="str">
        <x:v>nishio_2006_intjdevlneur</x:v>
      </x:c>
      <x:c r="C60" s="43" t="str">
        <x:v>es059</x:v>
      </x:c>
      <x:c r="D60" s="43" t="str">
        <x:v>female</x:v>
      </x:c>
      <x:c r="E60" s="43" t="str">
        <x:v>Time in open arms (OAT)</x:v>
      </x:c>
      <x:c r="F60" s="43" t="str">
        <x:v>Verified – no change</x:v>
      </x:c>
      <x:c r="G60" s="43" t="str"/>
      <x:c r="H60" s="43" t="str"/>
      <x:c r="I60" s="43" t="str">
        <x:v>3.06</x:v>
      </x:c>
      <x:c r="J60" s="43" t="str">
        <x:v>3.06</x:v>
      </x:c>
      <x:c r="K60" s="43" t="str">
        <x:v>Reported SEM; used unchanged for analysis</x:v>
      </x:c>
      <x:c r="L60" s="43" t="str">
        <x:v>nishio_2006_intjdevlneur_fig2a; Fig. 2a</x:v>
      </x:c>
      <x:c r="M60" s="43" t="str">
        <x:v>6.17</x:v>
      </x:c>
      <x:c r="N60" s="43" t="str">
        <x:v>6.17</x:v>
      </x:c>
      <x:c r="O60" s="43" t="str">
        <x:v>Reported SEM; used unchanged for analysis</x:v>
      </x:c>
      <x:c r="P60" s="43" t="str">
        <x:v>nishio_2006_intjdevlneur_fig2a; Fig. 2a</x:v>
      </x:c>
    </x:row>
    <x:row r="61">
      <x:c r="A61" s="43" t="str">
        <x:v>61</x:v>
      </x:c>
      <x:c r="B61" s="43" t="str">
        <x:v>nishio_2006_intjdevlneur</x:v>
      </x:c>
      <x:c r="C61" s="43" t="str">
        <x:v>es060</x:v>
      </x:c>
      <x:c r="D61" s="43" t="str">
        <x:v>male</x:v>
      </x:c>
      <x:c r="E61" s="43" t="str">
        <x:v>Entries into open arms (OAE)</x:v>
      </x:c>
      <x:c r="F61" s="43" t="str">
        <x:v>Verified – no change</x:v>
      </x:c>
      <x:c r="G61" s="43" t="str"/>
      <x:c r="H61" s="43" t="str"/>
      <x:c r="I61" s="43" t="str">
        <x:v>4.31</x:v>
      </x:c>
      <x:c r="J61" s="43" t="str">
        <x:v>4.31</x:v>
      </x:c>
      <x:c r="K61" s="43" t="str">
        <x:v>Reported SEM; used unchanged for analysis</x:v>
      </x:c>
      <x:c r="L61" s="43" t="str">
        <x:v>nishio_2006_intjdevlneur_fig2b; Fig. 2b</x:v>
      </x:c>
      <x:c r="M61" s="43" t="str">
        <x:v>3.48</x:v>
      </x:c>
      <x:c r="N61" s="43" t="str">
        <x:v>3.48</x:v>
      </x:c>
      <x:c r="O61" s="43" t="str">
        <x:v>Reported SEM; used unchanged for analysis</x:v>
      </x:c>
      <x:c r="P61" s="43" t="str">
        <x:v>nishio_2006_intjdevlneur_fig2b; Fig. 2b</x:v>
      </x:c>
    </x:row>
    <x:row r="62">
      <x:c r="A62" s="43" t="str">
        <x:v>62</x:v>
      </x:c>
      <x:c r="B62" s="43" t="str">
        <x:v>nishio_2006_intjdevlneur</x:v>
      </x:c>
      <x:c r="C62" s="43" t="str">
        <x:v>es061</x:v>
      </x:c>
      <x:c r="D62" s="43" t="str">
        <x:v>female</x:v>
      </x:c>
      <x:c r="E62" s="43" t="str">
        <x:v>Entries into open arms (OAE)</x:v>
      </x:c>
      <x:c r="F62" s="43" t="str">
        <x:v>Verified – no change</x:v>
      </x:c>
      <x:c r="G62" s="43" t="str"/>
      <x:c r="H62" s="43" t="str"/>
      <x:c r="I62" s="43" t="str">
        <x:v>3.4</x:v>
      </x:c>
      <x:c r="J62" s="43" t="str">
        <x:v>3.4</x:v>
      </x:c>
      <x:c r="K62" s="43" t="str">
        <x:v>Reported SEM; used unchanged for analysis</x:v>
      </x:c>
      <x:c r="L62" s="43" t="str">
        <x:v>nishio_2006_intjdevlneur_fig2b; Fig. 2b</x:v>
      </x:c>
      <x:c r="M62" s="43" t="str">
        <x:v>6.63</x:v>
      </x:c>
      <x:c r="N62" s="43" t="str">
        <x:v>6.63</x:v>
      </x:c>
      <x:c r="O62" s="43" t="str">
        <x:v>Reported SEM; used unchanged for analysis</x:v>
      </x:c>
      <x:c r="P62" s="43" t="str">
        <x:v>nishio_2006_intjdevlneur_fig2b; Fig. 2b</x:v>
      </x:c>
    </x:row>
    <x:row r="63">
      <x:c r="A63" s="43" t="str">
        <x:v>63</x:v>
      </x:c>
      <x:c r="B63" s="43" t="str">
        <x:v>nishio_2006_intjdevlneur</x:v>
      </x:c>
      <x:c r="C63" s="43" t="str">
        <x:v>es062</x:v>
      </x:c>
      <x:c r="D63" s="43" t="str">
        <x:v>male</x:v>
      </x:c>
      <x:c r="E63" s="43" t="str">
        <x:v>Entries to closed arms</x:v>
      </x:c>
      <x:c r="F63" s="43" t="str">
        <x:v>Verified – no change</x:v>
      </x:c>
      <x:c r="G63" s="43" t="str"/>
      <x:c r="H63" s="43" t="str"/>
      <x:c r="I63" s="43" t="str">
        <x:v>0.76</x:v>
      </x:c>
      <x:c r="J63" s="43" t="str">
        <x:v>0.76</x:v>
      </x:c>
      <x:c r="K63" s="43" t="str">
        <x:v>Reported SEM; used unchanged for analysis</x:v>
      </x:c>
      <x:c r="L63" s="43" t="str">
        <x:v>nishio_2006_intjdevlneur_fig2c; Fig. 2c</x:v>
      </x:c>
      <x:c r="M63" s="43" t="str">
        <x:v>0.53</x:v>
      </x:c>
      <x:c r="N63" s="43" t="str">
        <x:v>0.53</x:v>
      </x:c>
      <x:c r="O63" s="43" t="str">
        <x:v>Reported SEM; used unchanged for analysis</x:v>
      </x:c>
      <x:c r="P63" s="43" t="str">
        <x:v>nishio_2006_intjdevlneur_fig2c; Fig. 2c</x:v>
      </x:c>
    </x:row>
    <x:row r="64">
      <x:c r="A64" s="43" t="str">
        <x:v>64</x:v>
      </x:c>
      <x:c r="B64" s="43" t="str">
        <x:v>nishio_2006_intjdevlneur</x:v>
      </x:c>
      <x:c r="C64" s="43" t="str">
        <x:v>es063</x:v>
      </x:c>
      <x:c r="D64" s="43" t="str">
        <x:v>female</x:v>
      </x:c>
      <x:c r="E64" s="43" t="str">
        <x:v>Entries to closed arms</x:v>
      </x:c>
      <x:c r="F64" s="43" t="str">
        <x:v>Verified – no change</x:v>
      </x:c>
      <x:c r="G64" s="43" t="str"/>
      <x:c r="H64" s="43" t="str"/>
      <x:c r="I64" s="43" t="str">
        <x:v>1.08</x:v>
      </x:c>
      <x:c r="J64" s="43" t="str">
        <x:v>1.08</x:v>
      </x:c>
      <x:c r="K64" s="43" t="str">
        <x:v>Reported SEM; used unchanged for analysis</x:v>
      </x:c>
      <x:c r="L64" s="43" t="str">
        <x:v>nishio_2006_intjdevlneur_fig2c; Fig. 2c</x:v>
      </x:c>
      <x:c r="M64" s="43" t="str">
        <x:v>0.51</x:v>
      </x:c>
      <x:c r="N64" s="43" t="str">
        <x:v>0.51</x:v>
      </x:c>
      <x:c r="O64" s="43" t="str">
        <x:v>Reported SEM; used unchanged for analysis</x:v>
      </x:c>
      <x:c r="P64" s="43" t="str">
        <x:v>nishio_2006_intjdevlneur_fig2c; Fig. 2c</x:v>
      </x:c>
    </x:row>
    <x:row r="65">
      <x:c r="A65" s="43" t="str">
        <x:v>65</x:v>
      </x:c>
      <x:c r="B65" s="43" t="str">
        <x:v>uygur_2011_ankarauniv</x:v>
      </x:c>
      <x:c r="C65" s="43" t="str">
        <x:v>es064</x:v>
      </x:c>
      <x:c r="D65" s="43" t="str">
        <x:v>male</x:v>
      </x:c>
      <x:c r="E65" s="43" t="str">
        <x:v>Total immobility time</x:v>
      </x:c>
      <x:c r="F65" s="43" t="str">
        <x:v>Verified – no change</x:v>
      </x:c>
      <x:c r="G65" s="43" t="str"/>
      <x:c r="H65" s="43" t="str"/>
      <x:c r="I65" s="43" t="str">
        <x:v>8.29</x:v>
      </x:c>
      <x:c r="J65" s="43" t="str">
        <x:v>8.29</x:v>
      </x:c>
      <x:c r="K65" s="43" t="str">
        <x:v>Reported SEM; used unchanged for analysis</x:v>
      </x:c>
      <x:c r="L65" s="43" t="str">
        <x:v>uygur_2011_ankarauniv.pdf; In paper: Table 2.</x:v>
      </x:c>
      <x:c r="M65" s="43" t="str">
        <x:v>7.86</x:v>
      </x:c>
      <x:c r="N65" s="43" t="str">
        <x:v>7.86</x:v>
      </x:c>
      <x:c r="O65" s="43" t="str">
        <x:v>Reported SEM; used unchanged for analysis</x:v>
      </x:c>
      <x:c r="P65" s="43" t="str">
        <x:v>uygur_2011_ankarauniv.pdf; In paper: Table 2.</x:v>
      </x:c>
    </x:row>
    <x:row r="66">
      <x:c r="A66" s="43" t="str">
        <x:v>66</x:v>
      </x:c>
      <x:c r="B66" s="43" t="str">
        <x:v>uygur_2011_ankarauniv</x:v>
      </x:c>
      <x:c r="C66" s="43" t="str">
        <x:v>es065</x:v>
      </x:c>
      <x:c r="D66" s="43" t="str">
        <x:v>male</x:v>
      </x:c>
      <x:c r="E66" s="43" t="str">
        <x:v>Total immobility time</x:v>
      </x:c>
      <x:c r="F66" s="43" t="str">
        <x:v>Verified – no change</x:v>
      </x:c>
      <x:c r="G66" s="43" t="str"/>
      <x:c r="H66" s="43" t="str"/>
      <x:c r="I66" s="43" t="str">
        <x:v>13.52</x:v>
      </x:c>
      <x:c r="J66" s="43" t="str">
        <x:v>13.52</x:v>
      </x:c>
      <x:c r="K66" s="43" t="str">
        <x:v>Reported SEM; used unchanged for analysis</x:v>
      </x:c>
      <x:c r="L66" s="43" t="str">
        <x:v>uygur_2011_ankarauniv.pdf; In paper: Table 2.</x:v>
      </x:c>
      <x:c r="M66" s="43" t="str">
        <x:v>12.83</x:v>
      </x:c>
      <x:c r="N66" s="43" t="str">
        <x:v>12.83</x:v>
      </x:c>
      <x:c r="O66" s="43" t="str">
        <x:v>Reported SEM; used unchanged for analysis</x:v>
      </x:c>
      <x:c r="P66" s="43" t="str">
        <x:v>uygur_2011_ankarauniv.pdf; In paper: Table 2.</x:v>
      </x:c>
    </x:row>
    <x:row r="67">
      <x:c r="A67" s="43" t="str">
        <x:v>67</x:v>
      </x:c>
      <x:c r="B67" s="43" t="str">
        <x:v>uygur_2011_ankarauniv</x:v>
      </x:c>
      <x:c r="C67" s="43" t="str">
        <x:v>es066</x:v>
      </x:c>
      <x:c r="D67" s="43" t="str">
        <x:v>male</x:v>
      </x:c>
      <x:c r="E67" s="43" t="str">
        <x:v>Total swimming time</x:v>
      </x:c>
      <x:c r="F67" s="43" t="str">
        <x:v>Verified – no change</x:v>
      </x:c>
      <x:c r="G67" s="43" t="str"/>
      <x:c r="H67" s="43" t="str"/>
      <x:c r="I67" s="43" t="str">
        <x:v>6.28</x:v>
      </x:c>
      <x:c r="J67" s="43" t="str">
        <x:v>6.28</x:v>
      </x:c>
      <x:c r="K67" s="43" t="str">
        <x:v>Reported SEM; used unchanged for analysis</x:v>
      </x:c>
      <x:c r="L67" s="43" t="str">
        <x:v>uygur_2011_ankarauniv.pdf; In paper: Table 2.</x:v>
      </x:c>
      <x:c r="M67" s="43" t="str">
        <x:v>5.96</x:v>
      </x:c>
      <x:c r="N67" s="43" t="str">
        <x:v>5.96</x:v>
      </x:c>
      <x:c r="O67" s="43" t="str">
        <x:v>Reported SEM; used unchanged for analysis</x:v>
      </x:c>
      <x:c r="P67" s="43" t="str">
        <x:v>uygur_2011_ankarauniv.pdf; In paper: Table 2.</x:v>
      </x:c>
    </x:row>
    <x:row r="68">
      <x:c r="A68" s="43" t="str">
        <x:v>68</x:v>
      </x:c>
      <x:c r="B68" s="43" t="str">
        <x:v>uygur_2011_ankarauniv</x:v>
      </x:c>
      <x:c r="C68" s="43" t="str">
        <x:v>es067</x:v>
      </x:c>
      <x:c r="D68" s="43" t="str">
        <x:v>male</x:v>
      </x:c>
      <x:c r="E68" s="43" t="str">
        <x:v>Total swimming time</x:v>
      </x:c>
      <x:c r="F68" s="43" t="str">
        <x:v>Verified – no change</x:v>
      </x:c>
      <x:c r="G68" s="43" t="str"/>
      <x:c r="H68" s="43" t="str"/>
      <x:c r="I68" s="43" t="str">
        <x:v>13.15</x:v>
      </x:c>
      <x:c r="J68" s="43" t="str">
        <x:v>13.15</x:v>
      </x:c>
      <x:c r="K68" s="43" t="str">
        <x:v>Reported SEM; used unchanged for analysis</x:v>
      </x:c>
      <x:c r="L68" s="43" t="str">
        <x:v>uygur_2011_ankarauniv.pdf; In paper: Table 2.</x:v>
      </x:c>
      <x:c r="M68" s="43" t="str">
        <x:v>12.48</x:v>
      </x:c>
      <x:c r="N68" s="43" t="str">
        <x:v>12.48</x:v>
      </x:c>
      <x:c r="O68" s="43" t="str">
        <x:v>Reported SEM; used unchanged for analysis</x:v>
      </x:c>
      <x:c r="P68" s="43" t="str">
        <x:v>uygur_2011_ankarauniv.pdf; In paper: Table 2.</x:v>
      </x:c>
    </x:row>
    <x:row r="69">
      <x:c r="A69" s="43" t="str">
        <x:v>69</x:v>
      </x:c>
      <x:c r="B69" s="43" t="str">
        <x:v>uygur_2011_ankarauniv</x:v>
      </x:c>
      <x:c r="C69" s="43" t="str">
        <x:v>es068</x:v>
      </x:c>
      <x:c r="D69" s="43" t="str">
        <x:v>male</x:v>
      </x:c>
      <x:c r="E69" s="43" t="str">
        <x:v>Total diving time</x:v>
      </x:c>
      <x:c r="F69" s="43" t="str">
        <x:v>Corrected transcription</x:v>
      </x:c>
      <x:c r="G69" s="43" t="str">
        <x:v>1 – Uygur 2011 outcome units</x:v>
      </x:c>
      <x:c r="H69" s="43" t="str">
        <x:v>The paper reports total time spent in diving or jumping, not event counts. | The outcome is a duration in seconds.</x:v>
      </x:c>
      <x:c r="I69" s="43" t="str">
        <x:v>1.49</x:v>
      </x:c>
      <x:c r="J69" s="43" t="str">
        <x:v>1.49</x:v>
      </x:c>
      <x:c r="K69" s="43" t="str">
        <x:v>Reported SEM; used unchanged for analysis</x:v>
      </x:c>
      <x:c r="L69" s="43" t="str">
        <x:v>uygur_2011_ankarauniv.pdf; In paper: Table 2.</x:v>
      </x:c>
      <x:c r="M69" s="43" t="str">
        <x:v>1.42</x:v>
      </x:c>
      <x:c r="N69" s="43" t="str">
        <x:v>1.42</x:v>
      </x:c>
      <x:c r="O69" s="43" t="str">
        <x:v>Reported SEM; used unchanged for analysis</x:v>
      </x:c>
      <x:c r="P69" s="43" t="str">
        <x:v>uygur_2011_ankarauniv.pdf; In paper: Table 2.</x:v>
      </x:c>
    </x:row>
    <x:row r="70">
      <x:c r="A70" s="43" t="str">
        <x:v>70</x:v>
      </x:c>
      <x:c r="B70" s="43" t="str">
        <x:v>uygur_2011_ankarauniv</x:v>
      </x:c>
      <x:c r="C70" s="43" t="str">
        <x:v>es069</x:v>
      </x:c>
      <x:c r="D70" s="43" t="str">
        <x:v>male</x:v>
      </x:c>
      <x:c r="E70" s="43" t="str">
        <x:v>Total diving time</x:v>
      </x:c>
      <x:c r="F70" s="43" t="str">
        <x:v>Corrected transcription</x:v>
      </x:c>
      <x:c r="G70" s="43" t="str">
        <x:v>1 – Uygur 2011 outcome units</x:v>
      </x:c>
      <x:c r="H70" s="43" t="str">
        <x:v>The paper reports total time spent in diving or jumping, not event counts. | The outcome is a duration in seconds.</x:v>
      </x:c>
      <x:c r="I70" s="43" t="str">
        <x:v>0.95</x:v>
      </x:c>
      <x:c r="J70" s="43" t="str">
        <x:v>0.95</x:v>
      </x:c>
      <x:c r="K70" s="43" t="str">
        <x:v>Reported SEM; used unchanged for analysis</x:v>
      </x:c>
      <x:c r="L70" s="43" t="str">
        <x:v>uygur_2011_ankarauniv.pdf; In paper: Table 2.</x:v>
      </x:c>
      <x:c r="M70" s="43" t="str">
        <x:v>0.9</x:v>
      </x:c>
      <x:c r="N70" s="43" t="str">
        <x:v>0.9</x:v>
      </x:c>
      <x:c r="O70" s="43" t="str">
        <x:v>Reported SEM; used unchanged for analysis</x:v>
      </x:c>
      <x:c r="P70" s="43" t="str">
        <x:v>uygur_2011_ankarauniv.pdf; In paper: Table 2.</x:v>
      </x:c>
    </x:row>
    <x:row r="71">
      <x:c r="A71" s="43" t="str">
        <x:v>71</x:v>
      </x:c>
      <x:c r="B71" s="43" t="str">
        <x:v>uygur_2011_ankarauniv</x:v>
      </x:c>
      <x:c r="C71" s="43" t="str">
        <x:v>es070</x:v>
      </x:c>
      <x:c r="D71" s="43" t="str">
        <x:v>male</x:v>
      </x:c>
      <x:c r="E71" s="43" t="str">
        <x:v>Total jumping time</x:v>
      </x:c>
      <x:c r="F71" s="43" t="str">
        <x:v>Corrected transcription</x:v>
      </x:c>
      <x:c r="G71" s="43" t="str">
        <x:v>1 – Uygur 2011 outcome units</x:v>
      </x:c>
      <x:c r="H71" s="43" t="str">
        <x:v>The paper reports total time spent in diving or jumping, not event counts. | The outcome is a duration in seconds.</x:v>
      </x:c>
      <x:c r="I71" s="43" t="str">
        <x:v>4.89</x:v>
      </x:c>
      <x:c r="J71" s="43" t="str">
        <x:v>4.89</x:v>
      </x:c>
      <x:c r="K71" s="43" t="str">
        <x:v>Reported SEM; used unchanged for analysis</x:v>
      </x:c>
      <x:c r="L71" s="43" t="str">
        <x:v>uygur_2011_ankarauniv.pdf; In paper: Table 2.</x:v>
      </x:c>
      <x:c r="M71" s="43" t="str">
        <x:v>4.64</x:v>
      </x:c>
      <x:c r="N71" s="43" t="str">
        <x:v>4.64</x:v>
      </x:c>
      <x:c r="O71" s="43" t="str">
        <x:v>Reported SEM; used unchanged for analysis</x:v>
      </x:c>
      <x:c r="P71" s="43" t="str">
        <x:v>uygur_2011_ankarauniv.pdf; In paper: Table 2.</x:v>
      </x:c>
    </x:row>
    <x:row r="72">
      <x:c r="A72" s="43" t="str">
        <x:v>72</x:v>
      </x:c>
      <x:c r="B72" s="43" t="str">
        <x:v>uygur_2011_ankarauniv</x:v>
      </x:c>
      <x:c r="C72" s="43" t="str">
        <x:v>es071</x:v>
      </x:c>
      <x:c r="D72" s="43" t="str">
        <x:v>male</x:v>
      </x:c>
      <x:c r="E72" s="43" t="str">
        <x:v>Total jumping time</x:v>
      </x:c>
      <x:c r="F72" s="43" t="str">
        <x:v>Corrected transcription</x:v>
      </x:c>
      <x:c r="G72" s="43" t="str">
        <x:v>1 – Uygur 2011 outcome units</x:v>
      </x:c>
      <x:c r="H72" s="43" t="str">
        <x:v>The paper reports total time spent in diving or jumping, not event counts. | The outcome is a duration in seconds.</x:v>
      </x:c>
      <x:c r="I72" s="43" t="str">
        <x:v>3.93</x:v>
      </x:c>
      <x:c r="J72" s="43" t="str">
        <x:v>3.93</x:v>
      </x:c>
      <x:c r="K72" s="43" t="str">
        <x:v>Reported SEM; used unchanged for analysis</x:v>
      </x:c>
      <x:c r="L72" s="43" t="str">
        <x:v>uygur_2011_ankarauniv.pdf; In paper: Table 2.</x:v>
      </x:c>
      <x:c r="M72" s="43" t="str">
        <x:v>3.73</x:v>
      </x:c>
      <x:c r="N72" s="43" t="str">
        <x:v>3.73</x:v>
      </x:c>
      <x:c r="O72" s="43" t="str">
        <x:v>Reported SEM; used unchanged for analysis</x:v>
      </x:c>
      <x:c r="P72" s="43" t="str">
        <x:v>uygur_2011_ankarauniv.pdf; In paper: Table 2.</x:v>
      </x:c>
    </x:row>
    <x:row r="73">
      <x:c r="A73" s="43" t="str">
        <x:v>73</x:v>
      </x:c>
      <x:c r="B73" s="43" t="str">
        <x:v>morra_1965_physiolrec</x:v>
      </x:c>
      <x:c r="C73" s="43" t="str">
        <x:v>es072</x:v>
      </x:c>
      <x:c r="D73" s="43" t="str">
        <x:v>mixed</x:v>
      </x:c>
      <x:c r="E73" s="43" t="str">
        <x:v>Sections crossed</x:v>
      </x:c>
      <x:c r="F73" s="43" t="str">
        <x:v>Verified – no change</x:v>
      </x:c>
      <x:c r="G73" s="43" t="str"/>
      <x:c r="H73" s="43" t="str"/>
      <x:c r="I73" s="43" t="str"/>
      <x:c r="J73" s="43" t="str">
        <x:v>1.058301</x:v>
      </x:c>
      <x:c r="K73" s="43" t="str">
        <x:v>SD / sqrt(n); derived for analysis from the extracted SD and sample size</x:v>
      </x:c>
      <x:c r="L73" s="43" t="str">
        <x:v>Table 2 and text</x:v>
      </x:c>
      <x:c r="M73" s="43" t="str"/>
      <x:c r="N73" s="43" t="str">
        <x:v>1.402956</x:v>
      </x:c>
      <x:c r="O73" s="43" t="str">
        <x:v>SD / sqrt(n); derived for analysis from the extracted SD and sample size</x:v>
      </x:c>
      <x:c r="P73" s="43" t="str">
        <x:v>Table 2 and text</x:v>
      </x:c>
    </x:row>
    <x:row r="74">
      <x:c r="A74" s="43" t="str">
        <x:v>74</x:v>
      </x:c>
      <x:c r="B74" s="43" t="str">
        <x:v>morra_1965_physiolrec</x:v>
      </x:c>
      <x:c r="C74" s="43" t="str">
        <x:v>es073</x:v>
      </x:c>
      <x:c r="D74" s="43" t="str">
        <x:v>mixed</x:v>
      </x:c>
      <x:c r="E74" s="43" t="str">
        <x:v>Initial latency to move</x:v>
      </x:c>
      <x:c r="F74" s="43" t="str">
        <x:v>Verified – no change</x:v>
      </x:c>
      <x:c r="G74" s="43" t="str"/>
      <x:c r="H74" s="43" t="str"/>
      <x:c r="I74" s="43" t="str"/>
      <x:c r="J74" s="43" t="str">
        <x:v>0.995306</x:v>
      </x:c>
      <x:c r="K74" s="43" t="str">
        <x:v>SD / sqrt(n); derived for analysis from the extracted SD and sample size</x:v>
      </x:c>
      <x:c r="L74" s="43" t="str">
        <x:v>Table 2 and text</x:v>
      </x:c>
      <x:c r="M74" s="43" t="str"/>
      <x:c r="N74" s="43" t="str">
        <x:v>1.386053</x:v>
      </x:c>
      <x:c r="O74" s="43" t="str">
        <x:v>SD / sqrt(n); derived for analysis from the extracted SD and sample size</x:v>
      </x:c>
      <x:c r="P74" s="43" t="str">
        <x:v>Table 2 and text</x:v>
      </x:c>
    </x:row>
    <x:row r="75">
      <x:c r="A75" s="43" t="str">
        <x:v>75</x:v>
      </x:c>
      <x:c r="B75" s="43" t="str">
        <x:v>abramova_2021_front</x:v>
      </x:c>
      <x:c r="C75" s="43" t="str">
        <x:v>es074</x:v>
      </x:c>
      <x:c r="D75" s="43" t="str">
        <x:v>female</x:v>
      </x:c>
      <x:c r="E75" s="43" t="str">
        <x:v>Sections crossed</x:v>
      </x:c>
      <x:c r="F75" s="43" t="str">
        <x:v>Corrected transcription</x:v>
      </x:c>
      <x:c r="G75" s="43" t="str">
        <x:v>6 – Abramova 2021 same-sex controls</x:v>
      </x:c>
      <x:c r="H75" s="43" t="str">
        <x:v>Use the females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c r="I75" s="43" t="str"/>
      <x:c r="J75" s="43" t="str">
        <x:v>3.523056</x:v>
      </x:c>
      <x:c r="K75" s="43" t="str">
        <x:v>SD / sqrt(n), using the same-sex subgroup in author raw data</x:v>
      </x:c>
      <x:c r="L75" s="43" t="str">
        <x:v>included_studies/abramova_2021_front/abramova_2021_front.xlsx, Лист1, handling=No handling</x:v>
      </x:c>
      <x:c r="M75" s="43" t="str"/>
      <x:c r="N75" s="43" t="str">
        <x:v>2.913236</x:v>
      </x:c>
      <x:c r="O75" s="43" t="str">
        <x:v>SD / sqrt(n), using the same-sex subgroup in author raw data</x:v>
      </x:c>
      <x:c r="P75" s="43" t="str">
        <x:v>included_studies/abramova_2021_front/abramova_2021_front.xlsx, Лист1, handling=No handling</x:v>
      </x:c>
    </x:row>
    <x:row r="76">
      <x:c r="A76" s="43" t="str">
        <x:v>76</x:v>
      </x:c>
      <x:c r="B76" s="43" t="str">
        <x:v>abramova_2021_front</x:v>
      </x:c>
      <x:c r="C76" s="43" t="str">
        <x:v>es075</x:v>
      </x:c>
      <x:c r="D76" s="43" t="str">
        <x:v>male</x:v>
      </x:c>
      <x:c r="E76" s="43" t="str">
        <x:v>Sections crossed</x:v>
      </x:c>
      <x:c r="F76" s="43" t="str">
        <x:v>Corrected transcription</x:v>
      </x:c>
      <x:c r="G76" s="43" t="str">
        <x:v>6 – Abramova 2021 same-sex controls</x:v>
      </x:c>
      <x:c r="H76" s="43" t="str">
        <x:v>Use the 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c r="I76" s="43" t="str"/>
      <x:c r="J76" s="43" t="str">
        <x:v>3.158058</x:v>
      </x:c>
      <x:c r="K76" s="43" t="str">
        <x:v>SD / sqrt(n), using the same-sex subgroup in author raw data</x:v>
      </x:c>
      <x:c r="L76" s="43" t="str">
        <x:v>included_studies/abramova_2021_front/abramova_2021_front.xlsx, Лист1, handling=No handling</x:v>
      </x:c>
      <x:c r="M76" s="43" t="str"/>
      <x:c r="N76" s="43" t="str">
        <x:v>3.43496</x:v>
      </x:c>
      <x:c r="O76" s="43" t="str">
        <x:v>SD / sqrt(n), using the same-sex subgroup in author raw data</x:v>
      </x:c>
      <x:c r="P76" s="43" t="str">
        <x:v>included_studies/abramova_2021_front/abramova_2021_front.xlsx, Лист1, handling=No handling</x:v>
      </x:c>
    </x:row>
    <x:row r="77">
      <x:c r="A77" s="43" t="str">
        <x:v>77</x:v>
      </x:c>
      <x:c r="B77" s="43" t="str">
        <x:v>abramova_2021_front</x:v>
      </x:c>
      <x:c r="C77" s="43" t="str">
        <x:v>es076</x:v>
      </x:c>
      <x:c r="D77" s="43" t="str">
        <x:v>female</x:v>
      </x:c>
      <x:c r="E77" s="43" t="str">
        <x:v>Rearing frequency</x:v>
      </x:c>
      <x:c r="F77" s="43" t="str">
        <x:v>Corrected transcription</x:v>
      </x:c>
      <x:c r="G77" s="43" t="str">
        <x:v>6 – Abramova 2021 same-sex controls</x:v>
      </x:c>
      <x:c r="H77" s="43" t="str">
        <x:v>Use the females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c r="I77" s="43" t="str"/>
      <x:c r="J77" s="43" t="str">
        <x:v>1.825711</x:v>
      </x:c>
      <x:c r="K77" s="43" t="str">
        <x:v>SD / sqrt(n), using the same-sex subgroup in author raw data</x:v>
      </x:c>
      <x:c r="L77" s="43" t="str">
        <x:v>included_studies/abramova_2021_front/abramova_2021_front.xlsx, Лист1, handling=No handling</x:v>
      </x:c>
      <x:c r="M77" s="43" t="str"/>
      <x:c r="N77" s="43" t="str">
        <x:v>1.014201</x:v>
      </x:c>
      <x:c r="O77" s="43" t="str">
        <x:v>SD / sqrt(n), using the same-sex subgroup in author raw data</x:v>
      </x:c>
      <x:c r="P77" s="43" t="str">
        <x:v>included_studies/abramova_2021_front/abramova_2021_front.xlsx, Лист1, handling=No handling</x:v>
      </x:c>
    </x:row>
    <x:row r="78">
      <x:c r="A78" s="43" t="str">
        <x:v>78</x:v>
      </x:c>
      <x:c r="B78" s="43" t="str">
        <x:v>abramova_2021_front</x:v>
      </x:c>
      <x:c r="C78" s="43" t="str">
        <x:v>es077</x:v>
      </x:c>
      <x:c r="D78" s="43" t="str">
        <x:v>male</x:v>
      </x:c>
      <x:c r="E78" s="43" t="str">
        <x:v>Rearing frequency</x:v>
      </x:c>
      <x:c r="F78" s="43" t="str">
        <x:v>Corrected transcription</x:v>
      </x:c>
      <x:c r="G78" s="43" t="str">
        <x:v>6 – Abramova 2021 same-sex controls</x:v>
      </x:c>
      <x:c r="H78" s="43" t="str">
        <x:v>Use the 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c r="I78" s="43" t="str"/>
      <x:c r="J78" s="43" t="str">
        <x:v>1.386747</x:v>
      </x:c>
      <x:c r="K78" s="43" t="str">
        <x:v>SD / sqrt(n), using the same-sex subgroup in author raw data</x:v>
      </x:c>
      <x:c r="L78" s="43" t="str">
        <x:v>included_studies/abramova_2021_front/abramova_2021_front.xlsx, Лист1, handling=No handling</x:v>
      </x:c>
      <x:c r="M78" s="43" t="str"/>
      <x:c r="N78" s="43" t="str">
        <x:v>0.983986</x:v>
      </x:c>
      <x:c r="O78" s="43" t="str">
        <x:v>SD / sqrt(n), using the same-sex subgroup in author raw data</x:v>
      </x:c>
      <x:c r="P78" s="43" t="str">
        <x:v>included_studies/abramova_2021_front/abramova_2021_front.xlsx, Лист1, handling=No handling</x:v>
      </x:c>
    </x:row>
    <x:row r="79">
      <x:c r="A79" s="43" t="str">
        <x:v>79</x:v>
      </x:c>
      <x:c r="B79" s="43" t="str">
        <x:v>abramova_2021_front</x:v>
      </x:c>
      <x:c r="C79" s="43" t="str">
        <x:v>es078</x:v>
      </x:c>
      <x:c r="D79" s="43" t="str">
        <x:v>female</x:v>
      </x:c>
      <x:c r="E79" s="43" t="str">
        <x:v>Center entries (crossing)</x:v>
      </x:c>
      <x:c r="F79" s="43" t="str">
        <x:v>Corrected transcription</x:v>
      </x:c>
      <x:c r="G79" s="43" t="str">
        <x:v>6 – Abramova 2021 same-sex controls</x:v>
      </x:c>
      <x:c r="H79" s="43" t="str">
        <x:v>Use the females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c r="I79" s="43" t="str"/>
      <x:c r="J79" s="43" t="str">
        <x:v>0.52682</x:v>
      </x:c>
      <x:c r="K79" s="43" t="str">
        <x:v>SD / sqrt(n), using the same-sex subgroup in author raw data</x:v>
      </x:c>
      <x:c r="L79" s="43" t="str">
        <x:v>included_studies/abramova_2021_front/abramova_2021_front.xlsx, Лист1, handling=No handling</x:v>
      </x:c>
      <x:c r="M79" s="43" t="str"/>
      <x:c r="N79" s="43" t="str">
        <x:v>0.465485</x:v>
      </x:c>
      <x:c r="O79" s="43" t="str">
        <x:v>SD / sqrt(n), using the same-sex subgroup in author raw data</x:v>
      </x:c>
      <x:c r="P79" s="43" t="str">
        <x:v>included_studies/abramova_2021_front/abramova_2021_front.xlsx, Лист1, handling=No handling</x:v>
      </x:c>
    </x:row>
    <x:row r="80">
      <x:c r="A80" s="43" t="str">
        <x:v>80</x:v>
      </x:c>
      <x:c r="B80" s="43" t="str">
        <x:v>abramova_2021_front</x:v>
      </x:c>
      <x:c r="C80" s="43" t="str">
        <x:v>es079</x:v>
      </x:c>
      <x:c r="D80" s="43" t="str">
        <x:v>male</x:v>
      </x:c>
      <x:c r="E80" s="43" t="str">
        <x:v>Center entries (crossing)</x:v>
      </x:c>
      <x:c r="F80" s="43" t="str">
        <x:v>Corrected transcription</x:v>
      </x:c>
      <x:c r="G80" s="43" t="str">
        <x:v>6 – Abramova 2021 same-sex controls</x:v>
      </x:c>
      <x:c r="H80" s="43" t="str">
        <x:v>Use the 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c r="I80" s="43" t="str"/>
      <x:c r="J80" s="43" t="str">
        <x:v>0.298217</x:v>
      </x:c>
      <x:c r="K80" s="43" t="str">
        <x:v>SD / sqrt(n), using the same-sex subgroup in author raw data</x:v>
      </x:c>
      <x:c r="L80" s="43" t="str">
        <x:v>included_studies/abramova_2021_front/abramova_2021_front.xlsx, Лист1, handling=No handling</x:v>
      </x:c>
      <x:c r="M80" s="43" t="str"/>
      <x:c r="N80" s="43" t="str">
        <x:v>0.547654</x:v>
      </x:c>
      <x:c r="O80" s="43" t="str">
        <x:v>SD / sqrt(n), using the same-sex subgroup in author raw data</x:v>
      </x:c>
      <x:c r="P80" s="43" t="str">
        <x:v>included_studies/abramova_2021_front/abramova_2021_front.xlsx, Лист1, handling=No handling</x:v>
      </x:c>
    </x:row>
    <x:row r="81">
      <x:c r="A81" s="43" t="str">
        <x:v>81</x:v>
      </x:c>
      <x:c r="B81" s="43" t="str">
        <x:v>abramova_2021_front</x:v>
      </x:c>
      <x:c r="C81" s="43" t="str">
        <x:v>es080</x:v>
      </x:c>
      <x:c r="D81" s="43" t="str">
        <x:v>female</x:v>
      </x:c>
      <x:c r="E81" s="43" t="str">
        <x:v>Time in central square</x:v>
      </x:c>
      <x:c r="F81" s="43" t="str">
        <x:v>Corrected transcription</x:v>
      </x:c>
      <x:c r="G81" s="43" t="str">
        <x:v>6 – Abramova 2021 same-sex controls</x:v>
      </x:c>
      <x:c r="H81" s="43" t="str">
        <x:v>Use the females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c r="I81" s="43" t="str"/>
      <x:c r="J81" s="43" t="str">
        <x:v>1.425754</x:v>
      </x:c>
      <x:c r="K81" s="43" t="str">
        <x:v>SD / sqrt(n), using the same-sex subgroup in author raw data</x:v>
      </x:c>
      <x:c r="L81" s="43" t="str">
        <x:v>included_studies/abramova_2021_front/abramova_2021_front.xlsx, Лист1, handling=No handling</x:v>
      </x:c>
      <x:c r="M81" s="43" t="str"/>
      <x:c r="N81" s="43" t="str">
        <x:v>1.174379</x:v>
      </x:c>
      <x:c r="O81" s="43" t="str">
        <x:v>SD / sqrt(n), using the same-sex subgroup in author raw data</x:v>
      </x:c>
      <x:c r="P81" s="43" t="str">
        <x:v>included_studies/abramova_2021_front/abramova_2021_front.xlsx, Лист1, handling=No handling</x:v>
      </x:c>
    </x:row>
    <x:row r="82">
      <x:c r="A82" s="43" t="str">
        <x:v>82</x:v>
      </x:c>
      <x:c r="B82" s="43" t="str">
        <x:v>abramova_2021_front</x:v>
      </x:c>
      <x:c r="C82" s="43" t="str">
        <x:v>es081</x:v>
      </x:c>
      <x:c r="D82" s="43" t="str">
        <x:v>male</x:v>
      </x:c>
      <x:c r="E82" s="43" t="str">
        <x:v>Time in central square</x:v>
      </x:c>
      <x:c r="F82" s="43" t="str">
        <x:v>Corrected transcription</x:v>
      </x:c>
      <x:c r="G82" s="43" t="str">
        <x:v>6 – Abramova 2021 same-sex controls</x:v>
      </x:c>
      <x:c r="H82" s="43" t="str">
        <x:v>Use the 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c r="I82" s="43" t="str"/>
      <x:c r="J82" s="43" t="str">
        <x:v>0.678013</x:v>
      </x:c>
      <x:c r="K82" s="43" t="str">
        <x:v>SD / sqrt(n), using the same-sex subgroup in author raw data</x:v>
      </x:c>
      <x:c r="L82" s="43" t="str">
        <x:v>included_studies/abramova_2021_front/abramova_2021_front.xlsx, Лист1, handling=No handling</x:v>
      </x:c>
      <x:c r="M82" s="43" t="str"/>
      <x:c r="N82" s="43" t="str">
        <x:v>0.516777</x:v>
      </x:c>
      <x:c r="O82" s="43" t="str">
        <x:v>SD / sqrt(n), using the same-sex subgroup in author raw data</x:v>
      </x:c>
      <x:c r="P82" s="43" t="str">
        <x:v>included_studies/abramova_2021_front/abramova_2021_front.xlsx, Лист1, handling=No handling</x:v>
      </x:c>
    </x:row>
    <x:row r="83">
      <x:c r="A83" s="43" t="str">
        <x:v>83</x:v>
      </x:c>
      <x:c r="B83" s="43" t="str">
        <x:v>abramova_2021_front</x:v>
      </x:c>
      <x:c r="C83" s="43" t="str">
        <x:v>es082</x:v>
      </x:c>
      <x:c r="D83" s="43" t="str">
        <x:v>female</x:v>
      </x:c>
      <x:c r="E83" s="43" t="str">
        <x:v>Grooming frequency</x:v>
      </x:c>
      <x:c r="F83" s="43" t="str">
        <x:v>Corrected transcription</x:v>
      </x:c>
      <x:c r="G83" s="43" t="str">
        <x:v>6 – Abramova 2021 same-sex controls</x:v>
      </x:c>
      <x:c r="H83" s="43" t="str">
        <x:v>Use the females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c r="I83" s="43" t="str"/>
      <x:c r="J83" s="43" t="str">
        <x:v>0.305475</x:v>
      </x:c>
      <x:c r="K83" s="43" t="str">
        <x:v>SD / sqrt(n), using the same-sex subgroup in author raw data</x:v>
      </x:c>
      <x:c r="L83" s="43" t="str">
        <x:v>included_studies/abramova_2021_front/abramova_2021_front.xlsx, Лист1, handling=No handling</x:v>
      </x:c>
      <x:c r="M83" s="43" t="str"/>
      <x:c r="N83" s="43" t="str">
        <x:v>0.408819</x:v>
      </x:c>
      <x:c r="O83" s="43" t="str">
        <x:v>SD / sqrt(n), using the same-sex subgroup in author raw data</x:v>
      </x:c>
      <x:c r="P83" s="43" t="str">
        <x:v>included_studies/abramova_2021_front/abramova_2021_front.xlsx, Лист1, handling=No handling</x:v>
      </x:c>
    </x:row>
    <x:row r="84">
      <x:c r="A84" s="43" t="str">
        <x:v>84</x:v>
      </x:c>
      <x:c r="B84" s="43" t="str">
        <x:v>abramova_2021_front</x:v>
      </x:c>
      <x:c r="C84" s="43" t="str">
        <x:v>es083</x:v>
      </x:c>
      <x:c r="D84" s="43" t="str">
        <x:v>male</x:v>
      </x:c>
      <x:c r="E84" s="43" t="str">
        <x:v>Grooming frequency</x:v>
      </x:c>
      <x:c r="F84" s="43" t="str">
        <x:v>Corrected transcription</x:v>
      </x:c>
      <x:c r="G84" s="43" t="str">
        <x:v>6 – Abramova 2021 same-sex controls</x:v>
      </x:c>
      <x:c r="H84" s="43" t="str">
        <x:v>Use the 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c r="I84" s="43" t="str"/>
      <x:c r="J84" s="43" t="str">
        <x:v>0.333067</x:v>
      </x:c>
      <x:c r="K84" s="43" t="str">
        <x:v>SD / sqrt(n), using the same-sex subgroup in author raw data</x:v>
      </x:c>
      <x:c r="L84" s="43" t="str">
        <x:v>included_studies/abramova_2021_front/abramova_2021_front.xlsx, Лист1, handling=No handling</x:v>
      </x:c>
      <x:c r="M84" s="43" t="str"/>
      <x:c r="N84" s="43" t="str">
        <x:v>0.41222</x:v>
      </x:c>
      <x:c r="O84" s="43" t="str">
        <x:v>SD / sqrt(n), using the same-sex subgroup in author raw data</x:v>
      </x:c>
      <x:c r="P84" s="43" t="str">
        <x:v>included_studies/abramova_2021_front/abramova_2021_front.xlsx, Лист1, handling=No handling</x:v>
      </x:c>
    </x:row>
    <x:row r="85">
      <x:c r="A85" s="43" t="str">
        <x:v>85</x:v>
      </x:c>
      <x:c r="B85" s="43" t="str">
        <x:v>abramova_2021_front</x:v>
      </x:c>
      <x:c r="C85" s="43" t="str">
        <x:v>es084</x:v>
      </x:c>
      <x:c r="D85" s="43" t="str">
        <x:v>female</x:v>
      </x:c>
      <x:c r="E85" s="43" t="str">
        <x:v>Total grooming time</x:v>
      </x:c>
      <x:c r="F85" s="43" t="str">
        <x:v>Corrected transcription</x:v>
      </x:c>
      <x:c r="G85" s="43" t="str">
        <x:v>6 – Abramova 2021 same-sex controls</x:v>
      </x:c>
      <x:c r="H85" s="43" t="str">
        <x:v>Use the females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c r="I85" s="43" t="str"/>
      <x:c r="J85" s="43" t="str">
        <x:v>2.738595</x:v>
      </x:c>
      <x:c r="K85" s="43" t="str">
        <x:v>SD / sqrt(n), using the same-sex subgroup in author raw data</x:v>
      </x:c>
      <x:c r="L85" s="43" t="str">
        <x:v>included_studies/abramova_2021_front/abramova_2021_front.xlsx, Лист1, handling=No handling</x:v>
      </x:c>
      <x:c r="M85" s="43" t="str"/>
      <x:c r="N85" s="43" t="str">
        <x:v>5.66432</x:v>
      </x:c>
      <x:c r="O85" s="43" t="str">
        <x:v>SD / sqrt(n), using the same-sex subgroup in author raw data</x:v>
      </x:c>
      <x:c r="P85" s="43" t="str">
        <x:v>included_studies/abramova_2021_front/abramova_2021_front.xlsx, Лист1, handling=No handling</x:v>
      </x:c>
    </x:row>
    <x:row r="86">
      <x:c r="A86" s="43" t="str">
        <x:v>86</x:v>
      </x:c>
      <x:c r="B86" s="43" t="str">
        <x:v>abramova_2021_front</x:v>
      </x:c>
      <x:c r="C86" s="43" t="str">
        <x:v>es085</x:v>
      </x:c>
      <x:c r="D86" s="43" t="str">
        <x:v>male</x:v>
      </x:c>
      <x:c r="E86" s="43" t="str">
        <x:v>Total grooming time</x:v>
      </x:c>
      <x:c r="F86" s="43" t="str">
        <x:v>Corrected transcription</x:v>
      </x:c>
      <x:c r="G86" s="43" t="str">
        <x:v>6 – Abramova 2021 same-sex controls</x:v>
      </x:c>
      <x:c r="H86" s="43" t="str">
        <x:v>Use the 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c r="I86" s="43" t="str"/>
      <x:c r="J86" s="43" t="str">
        <x:v>5.017053</x:v>
      </x:c>
      <x:c r="K86" s="43" t="str">
        <x:v>SD / sqrt(n), using the same-sex subgroup in author raw data</x:v>
      </x:c>
      <x:c r="L86" s="43" t="str">
        <x:v>included_studies/abramova_2021_front/abramova_2021_front.xlsx, Лист1, handling=No handling</x:v>
      </x:c>
      <x:c r="M86" s="43" t="str"/>
      <x:c r="N86" s="43" t="str">
        <x:v>4.076942</x:v>
      </x:c>
      <x:c r="O86" s="43" t="str">
        <x:v>SD / sqrt(n), using the same-sex subgroup in author raw data</x:v>
      </x:c>
      <x:c r="P86" s="43" t="str">
        <x:v>included_studies/abramova_2021_front/abramova_2021_front.xlsx, Лист1, handling=No handling</x:v>
      </x:c>
    </x:row>
    <x:row r="87">
      <x:c r="A87" s="43" t="str">
        <x:v>87</x:v>
      </x:c>
      <x:c r="B87" s="43" t="str">
        <x:v>abramova_2021_front</x:v>
      </x:c>
      <x:c r="C87" s="43" t="str">
        <x:v>es086</x:v>
      </x:c>
      <x:c r="D87" s="43" t="str">
        <x:v>female</x:v>
      </x:c>
      <x:c r="E87" s="43" t="str">
        <x:v>Total freezing time</x:v>
      </x:c>
      <x:c r="F87" s="43" t="str">
        <x:v>Corrected transcription</x:v>
      </x:c>
      <x:c r="G87" s="43" t="str">
        <x:v>6 – Abramova 2021 same-sex controls</x:v>
      </x:c>
      <x:c r="H87" s="43" t="str">
        <x:v>Use the females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c r="I87" s="43" t="str"/>
      <x:c r="J87" s="43" t="str">
        <x:v>8.700763</x:v>
      </x:c>
      <x:c r="K87" s="43" t="str">
        <x:v>SD / sqrt(n), using the same-sex subgroup in author raw data</x:v>
      </x:c>
      <x:c r="L87" s="43" t="str">
        <x:v>included_studies/abramova_2021_front/abramova_2021_front.xlsx, Лист1, handling=No handling</x:v>
      </x:c>
      <x:c r="M87" s="43" t="str"/>
      <x:c r="N87" s="43" t="str">
        <x:v>12.35351</x:v>
      </x:c>
      <x:c r="O87" s="43" t="str">
        <x:v>SD / sqrt(n), using the same-sex subgroup in author raw data</x:v>
      </x:c>
      <x:c r="P87" s="43" t="str">
        <x:v>included_studies/abramova_2021_front/abramova_2021_front.xlsx, Лист1, handling=No handling</x:v>
      </x:c>
    </x:row>
    <x:row r="88">
      <x:c r="A88" s="43" t="str">
        <x:v>88</x:v>
      </x:c>
      <x:c r="B88" s="43" t="str">
        <x:v>abramova_2021_front</x:v>
      </x:c>
      <x:c r="C88" s="43" t="str">
        <x:v>es087</x:v>
      </x:c>
      <x:c r="D88" s="43" t="str">
        <x:v>male</x:v>
      </x:c>
      <x:c r="E88" s="43" t="str">
        <x:v>Total freezing time</x:v>
      </x:c>
      <x:c r="F88" s="43" t="str">
        <x:v>Corrected transcription</x:v>
      </x:c>
      <x:c r="G88" s="43" t="str">
        <x:v>6 – Abramova 2021 same-sex controls</x:v>
      </x:c>
      <x:c r="H88" s="43" t="str">
        <x:v>Use the 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c r="I88" s="43" t="str"/>
      <x:c r="J88" s="43" t="str">
        <x:v>7.327604</x:v>
      </x:c>
      <x:c r="K88" s="43" t="str">
        <x:v>SD / sqrt(n), using the same-sex subgroup in author raw data</x:v>
      </x:c>
      <x:c r="L88" s="43" t="str">
        <x:v>included_studies/abramova_2021_front/abramova_2021_front.xlsx, Лист1, handling=No handling</x:v>
      </x:c>
      <x:c r="M88" s="43" t="str"/>
      <x:c r="N88" s="43" t="str">
        <x:v>13.077469</x:v>
      </x:c>
      <x:c r="O88" s="43" t="str">
        <x:v>SD / sqrt(n), using the same-sex subgroup in author raw data</x:v>
      </x:c>
      <x:c r="P88" s="43" t="str">
        <x:v>included_studies/abramova_2021_front/abramova_2021_front.xlsx, Лист1, handling=No handling</x:v>
      </x:c>
    </x:row>
    <x:row r="89">
      <x:c r="A89" s="43" t="str">
        <x:v>89</x:v>
      </x:c>
      <x:c r="B89" s="43" t="str">
        <x:v>badache_2017_stress</x:v>
      </x:c>
      <x:c r="C89" s="43" t="str">
        <x:v>es088</x:v>
      </x:c>
      <x:c r="D89" s="43" t="str">
        <x:v>male</x:v>
      </x:c>
      <x:c r="E89" s="43" t="str">
        <x:v>Time in corners</x:v>
      </x:c>
      <x:c r="F89" s="43" t="str">
        <x:v>Verified – no change</x:v>
      </x:c>
      <x:c r="G89" s="43" t="str"/>
      <x:c r="H89" s="43" t="str"/>
      <x:c r="I89" s="43" t="str">
        <x:v>11.76</x:v>
      </x:c>
      <x:c r="J89" s="43" t="str">
        <x:v>11.76</x:v>
      </x:c>
      <x:c r="K89" s="43" t="str">
        <x:v>Reported SEM; used unchanged for analysis</x:v>
      </x:c>
      <x:c r="L89" s="43" t="str">
        <x:v>badache_2017_stress_5a; Figure 5a</x:v>
      </x:c>
      <x:c r="M89" s="43" t="str">
        <x:v>12.97</x:v>
      </x:c>
      <x:c r="N89" s="43" t="str">
        <x:v>12.97</x:v>
      </x:c>
      <x:c r="O89" s="43" t="str">
        <x:v>Reported SEM; used unchanged for analysis</x:v>
      </x:c>
      <x:c r="P89" s="43" t="str">
        <x:v>badache_2017_stress_5a; Figure 5a</x:v>
      </x:c>
    </x:row>
    <x:row r="90">
      <x:c r="A90" s="43" t="str">
        <x:v>90</x:v>
      </x:c>
      <x:c r="B90" s="43" t="str">
        <x:v>badache_2017_stress</x:v>
      </x:c>
      <x:c r="C90" s="43" t="str">
        <x:v>es089</x:v>
      </x:c>
      <x:c r="D90" s="43" t="str">
        <x:v>male</x:v>
      </x:c>
      <x:c r="E90" s="43" t="str">
        <x:v>Sections crossed</x:v>
      </x:c>
      <x:c r="F90" s="43" t="str">
        <x:v>Verified – no change</x:v>
      </x:c>
      <x:c r="G90" s="43" t="str"/>
      <x:c r="H90" s="43" t="str"/>
      <x:c r="I90" s="43" t="str">
        <x:v>4.04</x:v>
      </x:c>
      <x:c r="J90" s="43" t="str">
        <x:v>4.04</x:v>
      </x:c>
      <x:c r="K90" s="43" t="str">
        <x:v>Reported SEM; used unchanged for analysis</x:v>
      </x:c>
      <x:c r="L90" s="43" t="str">
        <x:v>badache_2017_stress_5b; Figure 5b</x:v>
      </x:c>
      <x:c r="M90" s="43" t="str">
        <x:v>2.23</x:v>
      </x:c>
      <x:c r="N90" s="43" t="str">
        <x:v>2.23</x:v>
      </x:c>
      <x:c r="O90" s="43" t="str">
        <x:v>Reported SEM; used unchanged for analysis</x:v>
      </x:c>
      <x:c r="P90" s="43" t="str">
        <x:v>badache_2017_stress_5b; Figure 5b</x:v>
      </x:c>
    </x:row>
    <x:row r="91">
      <x:c r="A91" s="43" t="str">
        <x:v>91</x:v>
      </x:c>
      <x:c r="B91" s="43" t="str">
        <x:v>badache_2017_stress</x:v>
      </x:c>
      <x:c r="C91" s="43" t="str">
        <x:v>es090</x:v>
      </x:c>
      <x:c r="D91" s="43" t="str">
        <x:v>male</x:v>
      </x:c>
      <x:c r="E91" s="43" t="str">
        <x:v>Time in central square</x:v>
      </x:c>
      <x:c r="F91" s="43" t="str">
        <x:v>Verified – no change</x:v>
      </x:c>
      <x:c r="G91" s="43" t="str"/>
      <x:c r="H91" s="43" t="str"/>
      <x:c r="I91" s="43" t="str">
        <x:v>0.23</x:v>
      </x:c>
      <x:c r="J91" s="43" t="str">
        <x:v>0.23</x:v>
      </x:c>
      <x:c r="K91" s="43" t="str">
        <x:v>Reported SEM; used unchanged for analysis</x:v>
      </x:c>
      <x:c r="L91" s="43" t="str">
        <x:v>badache_2017_stress_5c; Figure 5c</x:v>
      </x:c>
      <x:c r="M91" s="43" t="str">
        <x:v>0.07</x:v>
      </x:c>
      <x:c r="N91" s="43" t="str">
        <x:v>0.07</x:v>
      </x:c>
      <x:c r="O91" s="43" t="str">
        <x:v>Reported SEM; used unchanged for analysis</x:v>
      </x:c>
      <x:c r="P91" s="43" t="str">
        <x:v>badache_2017_stress_5c; Figure 5c</x:v>
      </x:c>
    </x:row>
    <x:row r="92">
      <x:c r="A92" s="43" t="str">
        <x:v>92</x:v>
      </x:c>
      <x:c r="B92" s="43" t="str">
        <x:v>badache_2017_stress</x:v>
      </x:c>
      <x:c r="C92" s="43" t="str">
        <x:v>es091</x:v>
      </x:c>
      <x:c r="D92" s="43" t="str">
        <x:v>male</x:v>
      </x:c>
      <x:c r="E92" s="43" t="str">
        <x:v>Rearing time</x:v>
      </x:c>
      <x:c r="F92" s="43" t="str">
        <x:v>Verified – no change</x:v>
      </x:c>
      <x:c r="G92" s="43" t="str"/>
      <x:c r="H92" s="43" t="str"/>
      <x:c r="I92" s="43" t="str">
        <x:v>1.26</x:v>
      </x:c>
      <x:c r="J92" s="43" t="str">
        <x:v>1.26</x:v>
      </x:c>
      <x:c r="K92" s="43" t="str">
        <x:v>Reported SEM; used unchanged for analysis</x:v>
      </x:c>
      <x:c r="L92" s="43" t="str">
        <x:v>badache_2017_stress_5d; Figure 5d</x:v>
      </x:c>
      <x:c r="M92" s="43" t="str">
        <x:v>0.48</x:v>
      </x:c>
      <x:c r="N92" s="43" t="str">
        <x:v>0.48</x:v>
      </x:c>
      <x:c r="O92" s="43" t="str">
        <x:v>Reported SEM; used unchanged for analysis</x:v>
      </x:c>
      <x:c r="P92" s="43" t="str">
        <x:v>badache_2017_stress_5d; Figure 5d</x:v>
      </x:c>
    </x:row>
    <x:row r="93">
      <x:c r="A93" s="43" t="str">
        <x:v>93</x:v>
      </x:c>
      <x:c r="B93" s="43" t="str">
        <x:v>badache_2017_stress</x:v>
      </x:c>
      <x:c r="C93" s="43" t="str">
        <x:v>es092</x:v>
      </x:c>
      <x:c r="D93" s="43" t="str">
        <x:v>male</x:v>
      </x:c>
      <x:c r="E93" s="43" t="str">
        <x:v>Time in open arms (OAT)</x:v>
      </x:c>
      <x:c r="F93" s="43" t="str">
        <x:v>Verified – no change</x:v>
      </x:c>
      <x:c r="G93" s="43" t="str"/>
      <x:c r="H93" s="43" t="str"/>
      <x:c r="I93" s="43" t="str">
        <x:v>7.96</x:v>
      </x:c>
      <x:c r="J93" s="43" t="str">
        <x:v>7.96</x:v>
      </x:c>
      <x:c r="K93" s="43" t="str">
        <x:v>Reported SEM; used unchanged for analysis</x:v>
      </x:c>
      <x:c r="L93" s="43" t="str">
        <x:v>badache_2017_stress_6a; Figure 6a</x:v>
      </x:c>
      <x:c r="M93" s="43" t="str">
        <x:v>3.67</x:v>
      </x:c>
      <x:c r="N93" s="43" t="str">
        <x:v>3.67</x:v>
      </x:c>
      <x:c r="O93" s="43" t="str">
        <x:v>Reported SEM; used unchanged for analysis</x:v>
      </x:c>
      <x:c r="P93" s="43" t="str">
        <x:v>badache_2017_stress_6a; Figure 6a</x:v>
      </x:c>
    </x:row>
    <x:row r="94">
      <x:c r="A94" s="43" t="str">
        <x:v>94</x:v>
      </x:c>
      <x:c r="B94" s="43" t="str">
        <x:v>badache_2017_stress</x:v>
      </x:c>
      <x:c r="C94" s="43" t="str">
        <x:v>es093</x:v>
      </x:c>
      <x:c r="D94" s="43" t="str">
        <x:v>male</x:v>
      </x:c>
      <x:c r="E94" s="43" t="str">
        <x:v>Rearing time</x:v>
      </x:c>
      <x:c r="F94" s="43" t="str">
        <x:v>Verified – no change</x:v>
      </x:c>
      <x:c r="G94" s="43" t="str"/>
      <x:c r="H94" s="43" t="str"/>
      <x:c r="I94" s="43" t="str">
        <x:v>1.13</x:v>
      </x:c>
      <x:c r="J94" s="43" t="str">
        <x:v>1.13</x:v>
      </x:c>
      <x:c r="K94" s="43" t="str">
        <x:v>Reported SEM; used unchanged for analysis</x:v>
      </x:c>
      <x:c r="L94" s="43" t="str">
        <x:v>badache_2017_stress_6b; Figure 6b</x:v>
      </x:c>
      <x:c r="M94" s="43" t="str">
        <x:v>0.51</x:v>
      </x:c>
      <x:c r="N94" s="43" t="str">
        <x:v>0.51</x:v>
      </x:c>
      <x:c r="O94" s="43" t="str">
        <x:v>Reported SEM; used unchanged for analysis</x:v>
      </x:c>
      <x:c r="P94" s="43" t="str">
        <x:v>badache_2017_stress_6b; Figure 6b</x:v>
      </x:c>
    </x:row>
    <x:row r="95">
      <x:c r="A95" s="43" t="str">
        <x:v>95</x:v>
      </x:c>
      <x:c r="B95" s="43" t="str">
        <x:v>whitlow_1978_thesis</x:v>
      </x:c>
      <x:c r="C95" s="43" t="str">
        <x:v>es094</x:v>
      </x:c>
      <x:c r="D95" s="43" t="str">
        <x:v>male</x:v>
      </x:c>
      <x:c r="E95" s="43" t="str">
        <x:v>Sections crossed</x:v>
      </x:c>
      <x:c r="F95" s="43" t="str">
        <x:v>Corrected derived value</x:v>
      </x:c>
      <x:c r="G95" s="43" t="str">
        <x:v>Variance decision – Whitlow 1978</x:v>
      </x:c>
      <x:c r="H95" s="43" t="str">
        <x:v>Variance assumption accepted: SD=sqrt(mean), then SE=SD/sqrt(n).</x:v>
      </x:c>
      <x:c r="I95" s="43" t="str"/>
      <x:c r="J95" s="43" t="str">
        <x:v>1.811483</x:v>
      </x:c>
      <x:c r="K95" s="43" t="str">
        <x:v>Accepted analysis assumption: SD = sqrt(mean); SE = SD / sqrt(n)</x:v>
      </x:c>
      <x:c r="L95" s="43" t="str">
        <x:v>included_studies/whitlow_1978_thesis.pdf; figure error bars are not defined; assumption approved by reviewer</x:v>
      </x:c>
      <x:c r="M95" s="43" t="str"/>
      <x:c r="N95" s="43" t="str">
        <x:v>1.887174</x:v>
      </x:c>
      <x:c r="O95" s="43" t="str">
        <x:v>Accepted analysis assumption: SD = sqrt(mean); SE = SD / sqrt(n)</x:v>
      </x:c>
      <x:c r="P95" s="43" t="str">
        <x:v>included_studies/whitlow_1978_thesis.pdf; figure error bars are not defined; assumption approved by reviewer</x:v>
      </x:c>
    </x:row>
    <x:row r="96">
      <x:c r="A96" s="43" t="str">
        <x:v>96</x:v>
      </x:c>
      <x:c r="B96" s="43" t="str">
        <x:v>whitlow_1978_thesis</x:v>
      </x:c>
      <x:c r="C96" s="43" t="str">
        <x:v>es095</x:v>
      </x:c>
      <x:c r="D96" s="43" t="str">
        <x:v>male</x:v>
      </x:c>
      <x:c r="E96" s="43" t="str">
        <x:v>Sections crossed</x:v>
      </x:c>
      <x:c r="F96" s="43" t="str">
        <x:v>Corrected derived value</x:v>
      </x:c>
      <x:c r="G96" s="43" t="str">
        <x:v>Variance decision – Whitlow 1978</x:v>
      </x:c>
      <x:c r="H96" s="43" t="str">
        <x:v>Variance assumption accepted: SD=sqrt(mean), then SE=SD/sqrt(n).</x:v>
      </x:c>
      <x:c r="I96" s="43" t="str"/>
      <x:c r="J96" s="43" t="str">
        <x:v>1.811483</x:v>
      </x:c>
      <x:c r="K96" s="43" t="str">
        <x:v>Accepted analysis assumption: SD = sqrt(mean); SE = SD / sqrt(n)</x:v>
      </x:c>
      <x:c r="L96" s="43" t="str">
        <x:v>included_studies/whitlow_1978_thesis.pdf; figure error bars are not defined; assumption approved by reviewer</x:v>
      </x:c>
      <x:c r="M96" s="43" t="str"/>
      <x:c r="N96" s="43" t="str">
        <x:v>1.74458</x:v>
      </x:c>
      <x:c r="O96" s="43" t="str">
        <x:v>Accepted analysis assumption: SD = sqrt(mean); SE = SD / sqrt(n)</x:v>
      </x:c>
      <x:c r="P96" s="43" t="str">
        <x:v>included_studies/whitlow_1978_thesis.pdf; figure error bars are not defined; assumption approved by reviewer</x:v>
      </x:c>
    </x:row>
    <x:row r="97">
      <x:c r="A97" s="43" t="str">
        <x:v>97</x:v>
      </x:c>
      <x:c r="B97" s="43" t="str">
        <x:v>whitlow_1978_thesis</x:v>
      </x:c>
      <x:c r="C97" s="43" t="str">
        <x:v>es096</x:v>
      </x:c>
      <x:c r="D97" s="43" t="str">
        <x:v>male</x:v>
      </x:c>
      <x:c r="E97" s="43" t="str">
        <x:v>Sections crossed</x:v>
      </x:c>
      <x:c r="F97" s="43" t="str">
        <x:v>Corrected derived value</x:v>
      </x:c>
      <x:c r="G97" s="43" t="str">
        <x:v>Variance decision – Whitlow 1978</x:v>
      </x:c>
      <x:c r="H97" s="43" t="str">
        <x:v>Variance assumption accepted: SD=sqrt(mean), then SE=SD/sqrt(n).</x:v>
      </x:c>
      <x:c r="I97" s="43" t="str"/>
      <x:c r="J97" s="43" t="str">
        <x:v>1.409617</x:v>
      </x:c>
      <x:c r="K97" s="43" t="str">
        <x:v>Accepted analysis assumption: SD = sqrt(mean); SE = SD / sqrt(n)</x:v>
      </x:c>
      <x:c r="L97" s="43" t="str">
        <x:v>included_studies/whitlow_1978_thesis.pdf; figure error bars are not defined; assumption approved by reviewer</x:v>
      </x:c>
      <x:c r="M97" s="43" t="str"/>
      <x:c r="N97" s="43" t="str">
        <x:v>1.46288</x:v>
      </x:c>
      <x:c r="O97" s="43" t="str">
        <x:v>Accepted analysis assumption: SD = sqrt(mean); SE = SD / sqrt(n)</x:v>
      </x:c>
      <x:c r="P97" s="43" t="str">
        <x:v>included_studies/whitlow_1978_thesis.pdf; figure error bars are not defined; assumption approved by reviewer</x:v>
      </x:c>
    </x:row>
    <x:row r="98">
      <x:c r="A98" s="43" t="str">
        <x:v>98</x:v>
      </x:c>
      <x:c r="B98" s="43" t="str">
        <x:v>whitlow_1978_thesis</x:v>
      </x:c>
      <x:c r="C98" s="43" t="str">
        <x:v>es097</x:v>
      </x:c>
      <x:c r="D98" s="43" t="str">
        <x:v>male</x:v>
      </x:c>
      <x:c r="E98" s="43" t="str">
        <x:v>Sections crossed</x:v>
      </x:c>
      <x:c r="F98" s="43" t="str">
        <x:v>Corrected derived value</x:v>
      </x:c>
      <x:c r="G98" s="43" t="str">
        <x:v>Variance decision – Whitlow 1978</x:v>
      </x:c>
      <x:c r="H98" s="43" t="str">
        <x:v>Variance assumption accepted: SD=sqrt(mean), then SE=SD/sqrt(n).</x:v>
      </x:c>
      <x:c r="I98" s="43" t="str"/>
      <x:c r="J98" s="43" t="str">
        <x:v>1.409617</x:v>
      </x:c>
      <x:c r="K98" s="43" t="str">
        <x:v>Accepted analysis assumption: SD = sqrt(mean); SE = SD / sqrt(n)</x:v>
      </x:c>
      <x:c r="L98" s="43" t="str">
        <x:v>included_studies/whitlow_1978_thesis.pdf; figure error bars are not defined; assumption approved by reviewer</x:v>
      </x:c>
      <x:c r="M98" s="43" t="str"/>
      <x:c r="N98" s="43" t="str">
        <x:v>1.357986</x:v>
      </x:c>
      <x:c r="O98" s="43" t="str">
        <x:v>Accepted analysis assumption: SD = sqrt(mean); SE = SD / sqrt(n)</x:v>
      </x:c>
      <x:c r="P98" s="43" t="str">
        <x:v>included_studies/whitlow_1978_thesis.pdf; figure error bars are not defined; assumption approved by reviewer</x:v>
      </x:c>
    </x:row>
    <x:row r="99">
      <x:c r="A99" s="43" t="str">
        <x:v>99</x:v>
      </x:c>
      <x:c r="B99" s="43" t="str">
        <x:v>whitlow_1978_thesis</x:v>
      </x:c>
      <x:c r="C99" s="43" t="str">
        <x:v>es098</x:v>
      </x:c>
      <x:c r="D99" s="43" t="str">
        <x:v>male</x:v>
      </x:c>
      <x:c r="E99" s="43" t="str">
        <x:v>Sections crossed</x:v>
      </x:c>
      <x:c r="F99" s="43" t="str">
        <x:v>Corrected derived value</x:v>
      </x:c>
      <x:c r="G99" s="43" t="str">
        <x:v>Variance decision – Whitlow 1978</x:v>
      </x:c>
      <x:c r="H99" s="43" t="str">
        <x:v>Variance assumption accepted: SD=sqrt(mean), then SE=SD/sqrt(n).</x:v>
      </x:c>
      <x:c r="I99" s="43" t="str"/>
      <x:c r="J99" s="43" t="str">
        <x:v>0.930853</x:v>
      </x:c>
      <x:c r="K99" s="43" t="str">
        <x:v>Accepted analysis assumption: SD = sqrt(mean); SE = SD / sqrt(n)</x:v>
      </x:c>
      <x:c r="L99" s="43" t="str">
        <x:v>included_studies/whitlow_1978_thesis.pdf; figure error bars are not defined; assumption approved by reviewer</x:v>
      </x:c>
      <x:c r="M99" s="43" t="str"/>
      <x:c r="N99" s="43" t="str">
        <x:v>1.156226</x:v>
      </x:c>
      <x:c r="O99" s="43" t="str">
        <x:v>Accepted analysis assumption: SD = sqrt(mean); SE = SD / sqrt(n)</x:v>
      </x:c>
      <x:c r="P99" s="43" t="str">
        <x:v>included_studies/whitlow_1978_thesis.pdf; figure error bars are not defined; assumption approved by reviewer</x:v>
      </x:c>
    </x:row>
    <x:row r="100">
      <x:c r="A100" s="43" t="str">
        <x:v>100</x:v>
      </x:c>
      <x:c r="B100" s="43" t="str">
        <x:v>whitlow_1978_thesis</x:v>
      </x:c>
      <x:c r="C100" s="43" t="str">
        <x:v>es099</x:v>
      </x:c>
      <x:c r="D100" s="43" t="str">
        <x:v>male</x:v>
      </x:c>
      <x:c r="E100" s="43" t="str">
        <x:v>Sections crossed</x:v>
      </x:c>
      <x:c r="F100" s="43" t="str">
        <x:v>Corrected derived value</x:v>
      </x:c>
      <x:c r="G100" s="43" t="str">
        <x:v>Variance decision – Whitlow 1978</x:v>
      </x:c>
      <x:c r="H100" s="43" t="str">
        <x:v>Variance assumption accepted: SD=sqrt(mean), then SE=SD/sqrt(n).</x:v>
      </x:c>
      <x:c r="I100" s="43" t="str"/>
      <x:c r="J100" s="43" t="str">
        <x:v>0.930853</x:v>
      </x:c>
      <x:c r="K100" s="43" t="str">
        <x:v>Accepted analysis assumption: SD = sqrt(mean); SE = SD / sqrt(n)</x:v>
      </x:c>
      <x:c r="L100" s="43" t="str">
        <x:v>included_studies/whitlow_1978_thesis.pdf; figure error bars are not defined; assumption approved by reviewer</x:v>
      </x:c>
      <x:c r="M100" s="43" t="str"/>
      <x:c r="N100" s="43" t="str">
        <x:v>0.887316</x:v>
      </x:c>
      <x:c r="O100" s="43" t="str">
        <x:v>Accepted analysis assumption: SD = sqrt(mean); SE = SD / sqrt(n)</x:v>
      </x:c>
      <x:c r="P100" s="43" t="str">
        <x:v>included_studies/whitlow_1978_thesis.pdf; figure error bars are not defined; assumption approved by reviewer</x:v>
      </x:c>
    </x:row>
    <x:row r="101">
      <x:c r="A101" s="43" t="str">
        <x:v>101</x:v>
      </x:c>
      <x:c r="B101" s="43" t="str">
        <x:v>whitlow_1978_thesis</x:v>
      </x:c>
      <x:c r="C101" s="43" t="str">
        <x:v>es100</x:v>
      </x:c>
      <x:c r="D101" s="43" t="str">
        <x:v>male</x:v>
      </x:c>
      <x:c r="E101" s="43" t="str">
        <x:v>Grooming frequency</x:v>
      </x:c>
      <x:c r="F101" s="43" t="str">
        <x:v>Corrected derived value</x:v>
      </x:c>
      <x:c r="G101" s="43" t="str">
        <x:v>Variance decision – Whitlow 1978</x:v>
      </x:c>
      <x:c r="H101" s="43" t="str">
        <x:v>Variance assumption accepted: SD=sqrt(mean), then SE=SD/sqrt(n).</x:v>
      </x:c>
      <x:c r="I101" s="43" t="str"/>
      <x:c r="J101" s="43" t="str">
        <x:v>0.473286</x:v>
      </x:c>
      <x:c r="K101" s="43" t="str">
        <x:v>Accepted analysis assumption: SD = sqrt(mean); SE = SD / sqrt(n)</x:v>
      </x:c>
      <x:c r="L101" s="43" t="str">
        <x:v>included_studies/whitlow_1978_thesis.pdf; figure error bars are not defined; assumption approved by reviewer</x:v>
      </x:c>
      <x:c r="M101" s="43" t="str"/>
      <x:c r="N101" s="43" t="str">
        <x:v>0.429012</x:v>
      </x:c>
      <x:c r="O101" s="43" t="str">
        <x:v>Accepted analysis assumption: SD = sqrt(mean); SE = SD / sqrt(n)</x:v>
      </x:c>
      <x:c r="P101" s="43" t="str">
        <x:v>included_studies/whitlow_1978_thesis.pdf; figure error bars are not defined; assumption approved by reviewer</x:v>
      </x:c>
    </x:row>
    <x:row r="102">
      <x:c r="A102" s="43" t="str">
        <x:v>102</x:v>
      </x:c>
      <x:c r="B102" s="43" t="str">
        <x:v>whitlow_1978_thesis</x:v>
      </x:c>
      <x:c r="C102" s="43" t="str">
        <x:v>es101</x:v>
      </x:c>
      <x:c r="D102" s="43" t="str">
        <x:v>male</x:v>
      </x:c>
      <x:c r="E102" s="43" t="str">
        <x:v>Grooming frequency</x:v>
      </x:c>
      <x:c r="F102" s="43" t="str">
        <x:v>Corrected derived value</x:v>
      </x:c>
      <x:c r="G102" s="43" t="str">
        <x:v>Variance decision – Whitlow 1978</x:v>
      </x:c>
      <x:c r="H102" s="43" t="str">
        <x:v>Variance assumption accepted: SD=sqrt(mean), then SE=SD/sqrt(n).</x:v>
      </x:c>
      <x:c r="I102" s="43" t="str"/>
      <x:c r="J102" s="43" t="str">
        <x:v>0.473286</x:v>
      </x:c>
      <x:c r="K102" s="43" t="str">
        <x:v>Accepted analysis assumption: SD = sqrt(mean); SE = SD / sqrt(n)</x:v>
      </x:c>
      <x:c r="L102" s="43" t="str">
        <x:v>included_studies/whitlow_1978_thesis.pdf; figure error bars are not defined; assumption approved by reviewer</x:v>
      </x:c>
      <x:c r="M102" s="43" t="str"/>
      <x:c r="N102" s="43" t="str">
        <x:v>0.430577</x:v>
      </x:c>
      <x:c r="O102" s="43" t="str">
        <x:v>Accepted analysis assumption: SD = sqrt(mean); SE = SD / sqrt(n)</x:v>
      </x:c>
      <x:c r="P102" s="43" t="str">
        <x:v>included_studies/whitlow_1978_thesis.pdf; figure error bars are not defined; assumption approved by reviewer</x:v>
      </x:c>
    </x:row>
    <x:row r="103">
      <x:c r="A103" s="43" t="str">
        <x:v>103</x:v>
      </x:c>
      <x:c r="B103" s="43" t="str">
        <x:v>whitlow_1978_thesis</x:v>
      </x:c>
      <x:c r="C103" s="43" t="str">
        <x:v>es102</x:v>
      </x:c>
      <x:c r="D103" s="43" t="str">
        <x:v>male</x:v>
      </x:c>
      <x:c r="E103" s="43" t="str">
        <x:v>Grooming frequency</x:v>
      </x:c>
      <x:c r="F103" s="43" t="str">
        <x:v>Corrected derived value</x:v>
      </x:c>
      <x:c r="G103" s="43" t="str">
        <x:v>Variance decision – Whitlow 1978</x:v>
      </x:c>
      <x:c r="H103" s="43" t="str">
        <x:v>Variance assumption accepted: SD=sqrt(mean), then SE=SD/sqrt(n).</x:v>
      </x:c>
      <x:c r="I103" s="43" t="str"/>
      <x:c r="J103" s="43" t="str">
        <x:v>0.565233</x:v>
      </x:c>
      <x:c r="K103" s="43" t="str">
        <x:v>Accepted analysis assumption: SD = sqrt(mean); SE = SD / sqrt(n)</x:v>
      </x:c>
      <x:c r="L103" s="43" t="str">
        <x:v>included_studies/whitlow_1978_thesis.pdf; figure error bars are not defined; assumption approved by reviewer</x:v>
      </x:c>
      <x:c r="M103" s="43" t="str"/>
      <x:c r="N103" s="43" t="str">
        <x:v>0.532475</x:v>
      </x:c>
      <x:c r="O103" s="43" t="str">
        <x:v>Accepted analysis assumption: SD = sqrt(mean); SE = SD / sqrt(n)</x:v>
      </x:c>
      <x:c r="P103" s="43" t="str">
        <x:v>included_studies/whitlow_1978_thesis.pdf; figure error bars are not defined; assumption approved by reviewer</x:v>
      </x:c>
    </x:row>
    <x:row r="104">
      <x:c r="A104" s="43" t="str">
        <x:v>104</x:v>
      </x:c>
      <x:c r="B104" s="43" t="str">
        <x:v>whitlow_1978_thesis</x:v>
      </x:c>
      <x:c r="C104" s="43" t="str">
        <x:v>es103</x:v>
      </x:c>
      <x:c r="D104" s="43" t="str">
        <x:v>male</x:v>
      </x:c>
      <x:c r="E104" s="43" t="str">
        <x:v>Grooming frequency</x:v>
      </x:c>
      <x:c r="F104" s="43" t="str">
        <x:v>Corrected derived value</x:v>
      </x:c>
      <x:c r="G104" s="43" t="str">
        <x:v>Variance decision – Whitlow 1978</x:v>
      </x:c>
      <x:c r="H104" s="43" t="str">
        <x:v>Variance assumption accepted: SD=sqrt(mean), then SE=SD/sqrt(n).</x:v>
      </x:c>
      <x:c r="I104" s="43" t="str"/>
      <x:c r="J104" s="43" t="str">
        <x:v>0.565233</x:v>
      </x:c>
      <x:c r="K104" s="43" t="str">
        <x:v>Accepted analysis assumption: SD = sqrt(mean); SE = SD / sqrt(n)</x:v>
      </x:c>
      <x:c r="L104" s="43" t="str">
        <x:v>included_studies/whitlow_1978_thesis.pdf; figure error bars are not defined; assumption approved by reviewer</x:v>
      </x:c>
      <x:c r="M104" s="43" t="str"/>
      <x:c r="N104" s="43" t="str">
        <x:v>0.490012</x:v>
      </x:c>
      <x:c r="O104" s="43" t="str">
        <x:v>Accepted analysis assumption: SD = sqrt(mean); SE = SD / sqrt(n)</x:v>
      </x:c>
      <x:c r="P104" s="43" t="str">
        <x:v>included_studies/whitlow_1978_thesis.pdf; figure error bars are not defined; assumption approved by reviewer</x:v>
      </x:c>
    </x:row>
    <x:row r="105">
      <x:c r="A105" s="43" t="str">
        <x:v>105</x:v>
      </x:c>
      <x:c r="B105" s="43" t="str">
        <x:v>whitlow_1978_thesis</x:v>
      </x:c>
      <x:c r="C105" s="43" t="str">
        <x:v>es104</x:v>
      </x:c>
      <x:c r="D105" s="43" t="str">
        <x:v>male</x:v>
      </x:c>
      <x:c r="E105" s="43" t="str">
        <x:v>Grooming frequency</x:v>
      </x:c>
      <x:c r="F105" s="43" t="str">
        <x:v>Corrected derived value</x:v>
      </x:c>
      <x:c r="G105" s="43" t="str">
        <x:v>Variance decision – Whitlow 1978</x:v>
      </x:c>
      <x:c r="H105" s="43" t="str">
        <x:v>Variance assumption accepted: SD=sqrt(mean), then SE=SD/sqrt(n).</x:v>
      </x:c>
      <x:c r="I105" s="43" t="str"/>
      <x:c r="J105" s="43" t="str">
        <x:v>0.43818</x:v>
      </x:c>
      <x:c r="K105" s="43" t="str">
        <x:v>Accepted analysis assumption: SD = sqrt(mean); SE = SD / sqrt(n)</x:v>
      </x:c>
      <x:c r="L105" s="43" t="str">
        <x:v>included_studies/whitlow_1978_thesis.pdf; figure error bars are not defined; assumption approved by reviewer</x:v>
      </x:c>
      <x:c r="M105" s="43" t="str"/>
      <x:c r="N105" s="43" t="str">
        <x:v>0.429526</x:v>
      </x:c>
      <x:c r="O105" s="43" t="str">
        <x:v>Accepted analysis assumption: SD = sqrt(mean); SE = SD / sqrt(n)</x:v>
      </x:c>
      <x:c r="P105" s="43" t="str">
        <x:v>included_studies/whitlow_1978_thesis.pdf; figure error bars are not defined; assumption approved by reviewer</x:v>
      </x:c>
    </x:row>
    <x:row r="106">
      <x:c r="A106" s="43" t="str">
        <x:v>106</x:v>
      </x:c>
      <x:c r="B106" s="43" t="str">
        <x:v>whitlow_1978_thesis</x:v>
      </x:c>
      <x:c r="C106" s="43" t="str">
        <x:v>es105</x:v>
      </x:c>
      <x:c r="D106" s="43" t="str">
        <x:v>male</x:v>
      </x:c>
      <x:c r="E106" s="43" t="str">
        <x:v>Grooming frequency</x:v>
      </x:c>
      <x:c r="F106" s="43" t="str">
        <x:v>Corrected derived value</x:v>
      </x:c>
      <x:c r="G106" s="43" t="str">
        <x:v>Variance decision – Whitlow 1978</x:v>
      </x:c>
      <x:c r="H106" s="43" t="str">
        <x:v>Variance assumption accepted: SD=sqrt(mean), then SE=SD/sqrt(n).</x:v>
      </x:c>
      <x:c r="I106" s="43" t="str"/>
      <x:c r="J106" s="43" t="str">
        <x:v>0.43818</x:v>
      </x:c>
      <x:c r="K106" s="43" t="str">
        <x:v>Accepted analysis assumption: SD = sqrt(mean); SE = SD / sqrt(n)</x:v>
      </x:c>
      <x:c r="L106" s="43" t="str">
        <x:v>included_studies/whitlow_1978_thesis.pdf; figure error bars are not defined; assumption approved by reviewer</x:v>
      </x:c>
      <x:c r="M106" s="43" t="str"/>
      <x:c r="N106" s="43" t="str">
        <x:v>0.392095</x:v>
      </x:c>
      <x:c r="O106" s="43" t="str">
        <x:v>Accepted analysis assumption: SD = sqrt(mean); SE = SD / sqrt(n)</x:v>
      </x:c>
      <x:c r="P106" s="43" t="str">
        <x:v>included_studies/whitlow_1978_thesis.pdf; figure error bars are not defined; assumption approved by reviewer</x:v>
      </x:c>
    </x:row>
    <x:row r="107">
      <x:c r="A107" s="43" t="str">
        <x:v>107</x:v>
      </x:c>
      <x:c r="B107" s="43" t="str">
        <x:v>whitlow_1978_thesis</x:v>
      </x:c>
      <x:c r="C107" s="43" t="str">
        <x:v>es106</x:v>
      </x:c>
      <x:c r="D107" s="43" t="str">
        <x:v>male</x:v>
      </x:c>
      <x:c r="E107" s="43" t="str">
        <x:v>Defecation amount</x:v>
      </x:c>
      <x:c r="F107" s="43" t="str">
        <x:v>Corrected derived value</x:v>
      </x:c>
      <x:c r="G107" s="43" t="str">
        <x:v>Variance decision – Whitlow 1978</x:v>
      </x:c>
      <x:c r="H107" s="43" t="str">
        <x:v>Variance assumption accepted: SD=sqrt(mean), then SE=SD/sqrt(n).</x:v>
      </x:c>
      <x:c r="I107" s="43" t="str"/>
      <x:c r="J107" s="43" t="str">
        <x:v>0.29496</x:v>
      </x:c>
      <x:c r="K107" s="43" t="str">
        <x:v>Accepted analysis assumption: SD = sqrt(mean); SE = SD / sqrt(n)</x:v>
      </x:c>
      <x:c r="L107" s="43" t="str">
        <x:v>included_studies/whitlow_1978_thesis.pdf; figure error bars are not defined; assumption approved by reviewer</x:v>
      </x:c>
      <x:c r="M107" s="43" t="str"/>
      <x:c r="N107" s="43" t="str">
        <x:v>0.344802</x:v>
      </x:c>
      <x:c r="O107" s="43" t="str">
        <x:v>Accepted analysis assumption: SD = sqrt(mean); SE = SD / sqrt(n)</x:v>
      </x:c>
      <x:c r="P107" s="43" t="str">
        <x:v>included_studies/whitlow_1978_thesis.pdf; figure error bars are not defined; assumption approved by reviewer</x:v>
      </x:c>
    </x:row>
    <x:row r="108">
      <x:c r="A108" s="43" t="str">
        <x:v>108</x:v>
      </x:c>
      <x:c r="B108" s="43" t="str">
        <x:v>whitlow_1978_thesis</x:v>
      </x:c>
      <x:c r="C108" s="43" t="str">
        <x:v>es107</x:v>
      </x:c>
      <x:c r="D108" s="43" t="str">
        <x:v>male</x:v>
      </x:c>
      <x:c r="E108" s="43" t="str">
        <x:v>Defecation amount</x:v>
      </x:c>
      <x:c r="F108" s="43" t="str">
        <x:v>Corrected derived value</x:v>
      </x:c>
      <x:c r="G108" s="43" t="str">
        <x:v>Variance decision – Whitlow 1978</x:v>
      </x:c>
      <x:c r="H108" s="43" t="str">
        <x:v>Variance assumption accepted: SD=sqrt(mean), then SE=SD/sqrt(n).</x:v>
      </x:c>
      <x:c r="I108" s="43" t="str"/>
      <x:c r="J108" s="43" t="str">
        <x:v>0.29496</x:v>
      </x:c>
      <x:c r="K108" s="43" t="str">
        <x:v>Accepted analysis assumption: SD = sqrt(mean); SE = SD / sqrt(n)</x:v>
      </x:c>
      <x:c r="L108" s="43" t="str">
        <x:v>included_studies/whitlow_1978_thesis.pdf; figure error bars are not defined; assumption approved by reviewer</x:v>
      </x:c>
      <x:c r="M108" s="43" t="str"/>
      <x:c r="N108" s="43" t="str">
        <x:v>0.318014</x:v>
      </x:c>
      <x:c r="O108" s="43" t="str">
        <x:v>Accepted analysis assumption: SD = sqrt(mean); SE = SD / sqrt(n)</x:v>
      </x:c>
      <x:c r="P108" s="43" t="str">
        <x:v>included_studies/whitlow_1978_thesis.pdf; figure error bars are not defined; assumption approved by reviewer</x:v>
      </x:c>
    </x:row>
    <x:row r="109">
      <x:c r="A109" s="43" t="str">
        <x:v>109</x:v>
      </x:c>
      <x:c r="B109" s="43" t="str">
        <x:v>whitlow_1978_thesis</x:v>
      </x:c>
      <x:c r="C109" s="43" t="str">
        <x:v>es108</x:v>
      </x:c>
      <x:c r="D109" s="43" t="str">
        <x:v>male</x:v>
      </x:c>
      <x:c r="E109" s="43" t="str">
        <x:v>Defecation amount</x:v>
      </x:c>
      <x:c r="F109" s="43" t="str">
        <x:v>Corrected derived value</x:v>
      </x:c>
      <x:c r="G109" s="43" t="str">
        <x:v>Variance decision – Whitlow 1978</x:v>
      </x:c>
      <x:c r="H109" s="43" t="str">
        <x:v>Variance assumption accepted: SD=sqrt(mean), then SE=SD/sqrt(n).</x:v>
      </x:c>
      <x:c r="I109" s="43" t="str"/>
      <x:c r="J109" s="43" t="str">
        <x:v>0.333174</x:v>
      </x:c>
      <x:c r="K109" s="43" t="str">
        <x:v>Accepted analysis assumption: SD = sqrt(mean); SE = SD / sqrt(n)</x:v>
      </x:c>
      <x:c r="L109" s="43" t="str">
        <x:v>included_studies/whitlow_1978_thesis.pdf; figure error bars are not defined; assumption approved by reviewer</x:v>
      </x:c>
      <x:c r="M109" s="43" t="str"/>
      <x:c r="N109" s="43" t="str">
        <x:v>0.314861</x:v>
      </x:c>
      <x:c r="O109" s="43" t="str">
        <x:v>Accepted analysis assumption: SD = sqrt(mean); SE = SD / sqrt(n)</x:v>
      </x:c>
      <x:c r="P109" s="43" t="str">
        <x:v>included_studies/whitlow_1978_thesis.pdf; figure error bars are not defined; assumption approved by reviewer</x:v>
      </x:c>
    </x:row>
    <x:row r="110">
      <x:c r="A110" s="43" t="str">
        <x:v>110</x:v>
      </x:c>
      <x:c r="B110" s="43" t="str">
        <x:v>whitlow_1978_thesis</x:v>
      </x:c>
      <x:c r="C110" s="43" t="str">
        <x:v>es109</x:v>
      </x:c>
      <x:c r="D110" s="43" t="str">
        <x:v>male</x:v>
      </x:c>
      <x:c r="E110" s="43" t="str">
        <x:v>Defecation amount</x:v>
      </x:c>
      <x:c r="F110" s="43" t="str">
        <x:v>Corrected derived value</x:v>
      </x:c>
      <x:c r="G110" s="43" t="str">
        <x:v>Variance decision – Whitlow 1978</x:v>
      </x:c>
      <x:c r="H110" s="43" t="str">
        <x:v>Variance assumption accepted: SD=sqrt(mean), then SE=SD/sqrt(n).</x:v>
      </x:c>
      <x:c r="I110" s="43" t="str"/>
      <x:c r="J110" s="43" t="str">
        <x:v>0.333174</x:v>
      </x:c>
      <x:c r="K110" s="43" t="str">
        <x:v>Accepted analysis assumption: SD = sqrt(mean); SE = SD / sqrt(n)</x:v>
      </x:c>
      <x:c r="L110" s="43" t="str">
        <x:v>included_studies/whitlow_1978_thesis.pdf; figure error bars are not defined; assumption approved by reviewer</x:v>
      </x:c>
      <x:c r="M110" s="43" t="str"/>
      <x:c r="N110" s="43" t="str">
        <x:v>0.302585</x:v>
      </x:c>
      <x:c r="O110" s="43" t="str">
        <x:v>Accepted analysis assumption: SD = sqrt(mean); SE = SD / sqrt(n)</x:v>
      </x:c>
      <x:c r="P110" s="43" t="str">
        <x:v>included_studies/whitlow_1978_thesis.pdf; figure error bars are not defined; assumption approved by reviewer</x:v>
      </x:c>
    </x:row>
    <x:row r="111">
      <x:c r="A111" s="43" t="str">
        <x:v>111</x:v>
      </x:c>
      <x:c r="B111" s="43" t="str">
        <x:v>whitlow_1978_thesis</x:v>
      </x:c>
      <x:c r="C111" s="43" t="str">
        <x:v>es110</x:v>
      </x:c>
      <x:c r="D111" s="43" t="str">
        <x:v>male</x:v>
      </x:c>
      <x:c r="E111" s="43" t="str">
        <x:v>Defecation amount</x:v>
      </x:c>
      <x:c r="F111" s="43" t="str">
        <x:v>Corrected derived value</x:v>
      </x:c>
      <x:c r="G111" s="43" t="str">
        <x:v>Variance decision – Whitlow 1978</x:v>
      </x:c>
      <x:c r="H111" s="43" t="str">
        <x:v>Variance assumption accepted: SD=sqrt(mean), then SE=SD/sqrt(n).</x:v>
      </x:c>
      <x:c r="I111" s="43" t="str"/>
      <x:c r="J111" s="43" t="str">
        <x:v>0.238745</x:v>
      </x:c>
      <x:c r="K111" s="43" t="str">
        <x:v>Accepted analysis assumption: SD = sqrt(mean); SE = SD / sqrt(n)</x:v>
      </x:c>
      <x:c r="L111" s="43" t="str">
        <x:v>included_studies/whitlow_1978_thesis.pdf; figure error bars are not defined; assumption approved by reviewer</x:v>
      </x:c>
      <x:c r="M111" s="43" t="str"/>
      <x:c r="N111" s="43" t="str">
        <x:v>0.358688</x:v>
      </x:c>
      <x:c r="O111" s="43" t="str">
        <x:v>Accepted analysis assumption: SD = sqrt(mean); SE = SD / sqrt(n)</x:v>
      </x:c>
      <x:c r="P111" s="43" t="str">
        <x:v>included_studies/whitlow_1978_thesis.pdf; figure error bars are not defined; assumption approved by reviewer</x:v>
      </x:c>
    </x:row>
    <x:row r="112">
      <x:c r="A112" s="43" t="str">
        <x:v>112</x:v>
      </x:c>
      <x:c r="B112" s="43" t="str">
        <x:v>whitlow_1978_thesis</x:v>
      </x:c>
      <x:c r="C112" s="43" t="str">
        <x:v>es111</x:v>
      </x:c>
      <x:c r="D112" s="43" t="str">
        <x:v>male</x:v>
      </x:c>
      <x:c r="E112" s="43" t="str">
        <x:v>Defecation amount</x:v>
      </x:c>
      <x:c r="F112" s="43" t="str">
        <x:v>Corrected derived value</x:v>
      </x:c>
      <x:c r="G112" s="43" t="str">
        <x:v>Variance decision – Whitlow 1978</x:v>
      </x:c>
      <x:c r="H112" s="43" t="str">
        <x:v>Variance assumption accepted: SD=sqrt(mean), then SE=SD/sqrt(n).</x:v>
      </x:c>
      <x:c r="I112" s="43" t="str"/>
      <x:c r="J112" s="43" t="str">
        <x:v>0.238745</x:v>
      </x:c>
      <x:c r="K112" s="43" t="str">
        <x:v>Accepted analysis assumption: SD = sqrt(mean); SE = SD / sqrt(n)</x:v>
      </x:c>
      <x:c r="L112" s="43" t="str">
        <x:v>included_studies/whitlow_1978_thesis.pdf; figure error bars are not defined; assumption approved by reviewer</x:v>
      </x:c>
      <x:c r="M112" s="43" t="str"/>
      <x:c r="N112" s="43" t="str">
        <x:v>0.378186</x:v>
      </x:c>
      <x:c r="O112" s="43" t="str">
        <x:v>Accepted analysis assumption: SD = sqrt(mean); SE = SD / sqrt(n)</x:v>
      </x:c>
      <x:c r="P112" s="43" t="str">
        <x:v>included_studies/whitlow_1978_thesis.pdf; figure error bars are not defined; assumption approved by reviewer</x:v>
      </x:c>
    </x:row>
    <x:row r="113">
      <x:c r="A113" s="43" t="str">
        <x:v>113</x:v>
      </x:c>
      <x:c r="B113" s="43" t="str">
        <x:v>whitlow_1978_thesis</x:v>
      </x:c>
      <x:c r="C113" s="43" t="str">
        <x:v>es112</x:v>
      </x:c>
      <x:c r="D113" s="43" t="str">
        <x:v>male</x:v>
      </x:c>
      <x:c r="E113" s="43" t="str">
        <x:v>Sections crossed</x:v>
      </x:c>
      <x:c r="F113" s="43" t="str">
        <x:v>Corrected derived value</x:v>
      </x:c>
      <x:c r="G113" s="43" t="str">
        <x:v>Variance decision – Whitlow 1978</x:v>
      </x:c>
      <x:c r="H113" s="43" t="str">
        <x:v>Variance assumption accepted: SD=sqrt(mean), then SE=SD/sqrt(n).</x:v>
      </x:c>
      <x:c r="I113" s="43" t="str"/>
      <x:c r="J113" s="43" t="str">
        <x:v>1.512722</x:v>
      </x:c>
      <x:c r="K113" s="43" t="str">
        <x:v>Accepted analysis assumption: SD = sqrt(mean); SE = SD / sqrt(n)</x:v>
      </x:c>
      <x:c r="L113" s="43" t="str">
        <x:v>included_studies/whitlow_1978_thesis.pdf; figure error bars are not defined; assumption approved by reviewer</x:v>
      </x:c>
      <x:c r="M113" s="43" t="str"/>
      <x:c r="N113" s="43" t="str">
        <x:v>1.887174</x:v>
      </x:c>
      <x:c r="O113" s="43" t="str">
        <x:v>Accepted analysis assumption: SD = sqrt(mean); SE = SD / sqrt(n)</x:v>
      </x:c>
      <x:c r="P113" s="43" t="str">
        <x:v>included_studies/whitlow_1978_thesis.pdf; figure error bars are not defined; assumption approved by reviewer</x:v>
      </x:c>
    </x:row>
    <x:row r="114">
      <x:c r="A114" s="43" t="str">
        <x:v>114</x:v>
      </x:c>
      <x:c r="B114" s="43" t="str">
        <x:v>whitlow_1978_thesis</x:v>
      </x:c>
      <x:c r="C114" s="43" t="str">
        <x:v>es113</x:v>
      </x:c>
      <x:c r="D114" s="43" t="str">
        <x:v>male</x:v>
      </x:c>
      <x:c r="E114" s="43" t="str">
        <x:v>Sections crossed</x:v>
      </x:c>
      <x:c r="F114" s="43" t="str">
        <x:v>Corrected derived value</x:v>
      </x:c>
      <x:c r="G114" s="43" t="str">
        <x:v>Variance decision – Whitlow 1978</x:v>
      </x:c>
      <x:c r="H114" s="43" t="str">
        <x:v>Variance assumption accepted: SD=sqrt(mean), then SE=SD/sqrt(n).</x:v>
      </x:c>
      <x:c r="I114" s="43" t="str"/>
      <x:c r="J114" s="43" t="str">
        <x:v>1.512722</x:v>
      </x:c>
      <x:c r="K114" s="43" t="str">
        <x:v>Accepted analysis assumption: SD = sqrt(mean); SE = SD / sqrt(n)</x:v>
      </x:c>
      <x:c r="L114" s="43" t="str">
        <x:v>included_studies/whitlow_1978_thesis.pdf; figure error bars are not defined; assumption approved by reviewer</x:v>
      </x:c>
      <x:c r="M114" s="43" t="str"/>
      <x:c r="N114" s="43" t="str">
        <x:v>1.74458</x:v>
      </x:c>
      <x:c r="O114" s="43" t="str">
        <x:v>Accepted analysis assumption: SD = sqrt(mean); SE = SD / sqrt(n)</x:v>
      </x:c>
      <x:c r="P114" s="43" t="str">
        <x:v>included_studies/whitlow_1978_thesis.pdf; figure error bars are not defined; assumption approved by reviewer</x:v>
      </x:c>
    </x:row>
    <x:row r="115">
      <x:c r="A115" s="43" t="str">
        <x:v>115</x:v>
      </x:c>
      <x:c r="B115" s="43" t="str">
        <x:v>whitlow_1978_thesis</x:v>
      </x:c>
      <x:c r="C115" s="43" t="str">
        <x:v>es114</x:v>
      </x:c>
      <x:c r="D115" s="43" t="str">
        <x:v>male</x:v>
      </x:c>
      <x:c r="E115" s="43" t="str">
        <x:v>Sections crossed</x:v>
      </x:c>
      <x:c r="F115" s="43" t="str">
        <x:v>Corrected derived value</x:v>
      </x:c>
      <x:c r="G115" s="43" t="str">
        <x:v>Variance decision – Whitlow 1978</x:v>
      </x:c>
      <x:c r="H115" s="43" t="str">
        <x:v>Variance assumption accepted: SD=sqrt(mean), then SE=SD/sqrt(n).</x:v>
      </x:c>
      <x:c r="I115" s="43" t="str"/>
      <x:c r="J115" s="43" t="str">
        <x:v>1.259689</x:v>
      </x:c>
      <x:c r="K115" s="43" t="str">
        <x:v>Accepted analysis assumption: SD = sqrt(mean); SE = SD / sqrt(n)</x:v>
      </x:c>
      <x:c r="L115" s="43" t="str">
        <x:v>included_studies/whitlow_1978_thesis.pdf; figure error bars are not defined; assumption approved by reviewer</x:v>
      </x:c>
      <x:c r="M115" s="43" t="str"/>
      <x:c r="N115" s="43" t="str">
        <x:v>1.46288</x:v>
      </x:c>
      <x:c r="O115" s="43" t="str">
        <x:v>Accepted analysis assumption: SD = sqrt(mean); SE = SD / sqrt(n)</x:v>
      </x:c>
      <x:c r="P115" s="43" t="str">
        <x:v>included_studies/whitlow_1978_thesis.pdf; figure error bars are not defined; assumption approved by reviewer</x:v>
      </x:c>
    </x:row>
    <x:row r="116">
      <x:c r="A116" s="43" t="str">
        <x:v>116</x:v>
      </x:c>
      <x:c r="B116" s="43" t="str">
        <x:v>whitlow_1978_thesis</x:v>
      </x:c>
      <x:c r="C116" s="43" t="str">
        <x:v>es115</x:v>
      </x:c>
      <x:c r="D116" s="43" t="str">
        <x:v>male</x:v>
      </x:c>
      <x:c r="E116" s="43" t="str">
        <x:v>Sections crossed</x:v>
      </x:c>
      <x:c r="F116" s="43" t="str">
        <x:v>Corrected derived value</x:v>
      </x:c>
      <x:c r="G116" s="43" t="str">
        <x:v>Variance decision – Whitlow 1978</x:v>
      </x:c>
      <x:c r="H116" s="43" t="str">
        <x:v>Variance assumption accepted: SD=sqrt(mean), then SE=SD/sqrt(n).</x:v>
      </x:c>
      <x:c r="I116" s="43" t="str"/>
      <x:c r="J116" s="43" t="str">
        <x:v>1.259689</x:v>
      </x:c>
      <x:c r="K116" s="43" t="str">
        <x:v>Accepted analysis assumption: SD = sqrt(mean); SE = SD / sqrt(n)</x:v>
      </x:c>
      <x:c r="L116" s="43" t="str">
        <x:v>included_studies/whitlow_1978_thesis.pdf; figure error bars are not defined; assumption approved by reviewer</x:v>
      </x:c>
      <x:c r="M116" s="43" t="str"/>
      <x:c r="N116" s="43" t="str">
        <x:v>1.357986</x:v>
      </x:c>
      <x:c r="O116" s="43" t="str">
        <x:v>Accepted analysis assumption: SD = sqrt(mean); SE = SD / sqrt(n)</x:v>
      </x:c>
      <x:c r="P116" s="43" t="str">
        <x:v>included_studies/whitlow_1978_thesis.pdf; figure error bars are not defined; assumption approved by reviewer</x:v>
      </x:c>
    </x:row>
    <x:row r="117">
      <x:c r="A117" s="43" t="str">
        <x:v>117</x:v>
      </x:c>
      <x:c r="B117" s="43" t="str">
        <x:v>whitlow_1978_thesis</x:v>
      </x:c>
      <x:c r="C117" s="43" t="str">
        <x:v>es116</x:v>
      </x:c>
      <x:c r="D117" s="43" t="str">
        <x:v>male</x:v>
      </x:c>
      <x:c r="E117" s="43" t="str">
        <x:v>Sections crossed</x:v>
      </x:c>
      <x:c r="F117" s="43" t="str">
        <x:v>Corrected derived value</x:v>
      </x:c>
      <x:c r="G117" s="43" t="str">
        <x:v>Variance decision – Whitlow 1978</x:v>
      </x:c>
      <x:c r="H117" s="43" t="str">
        <x:v>Variance assumption accepted: SD=sqrt(mean), then SE=SD/sqrt(n).</x:v>
      </x:c>
      <x:c r="I117" s="43" t="str"/>
      <x:c r="J117" s="43" t="str">
        <x:v>0.977743</x:v>
      </x:c>
      <x:c r="K117" s="43" t="str">
        <x:v>Accepted analysis assumption: SD = sqrt(mean); SE = SD / sqrt(n)</x:v>
      </x:c>
      <x:c r="L117" s="43" t="str">
        <x:v>included_studies/whitlow_1978_thesis.pdf; figure error bars are not defined; assumption approved by reviewer</x:v>
      </x:c>
      <x:c r="M117" s="43" t="str"/>
      <x:c r="N117" s="43" t="str">
        <x:v>1.156226</x:v>
      </x:c>
      <x:c r="O117" s="43" t="str">
        <x:v>Accepted analysis assumption: SD = sqrt(mean); SE = SD / sqrt(n)</x:v>
      </x:c>
      <x:c r="P117" s="43" t="str">
        <x:v>included_studies/whitlow_1978_thesis.pdf; figure error bars are not defined; assumption approved by reviewer</x:v>
      </x:c>
    </x:row>
    <x:row r="118">
      <x:c r="A118" s="43" t="str">
        <x:v>118</x:v>
      </x:c>
      <x:c r="B118" s="43" t="str">
        <x:v>whitlow_1978_thesis</x:v>
      </x:c>
      <x:c r="C118" s="43" t="str">
        <x:v>es117</x:v>
      </x:c>
      <x:c r="D118" s="43" t="str">
        <x:v>male</x:v>
      </x:c>
      <x:c r="E118" s="43" t="str">
        <x:v>Sections crossed</x:v>
      </x:c>
      <x:c r="F118" s="43" t="str">
        <x:v>Corrected derived value</x:v>
      </x:c>
      <x:c r="G118" s="43" t="str">
        <x:v>Variance decision – Whitlow 1978</x:v>
      </x:c>
      <x:c r="H118" s="43" t="str">
        <x:v>Variance assumption accepted: SD=sqrt(mean), then SE=SD/sqrt(n).</x:v>
      </x:c>
      <x:c r="I118" s="43" t="str"/>
      <x:c r="J118" s="43" t="str">
        <x:v>0.977743</x:v>
      </x:c>
      <x:c r="K118" s="43" t="str">
        <x:v>Accepted analysis assumption: SD = sqrt(mean); SE = SD / sqrt(n)</x:v>
      </x:c>
      <x:c r="L118" s="43" t="str">
        <x:v>included_studies/whitlow_1978_thesis.pdf; figure error bars are not defined; assumption approved by reviewer</x:v>
      </x:c>
      <x:c r="M118" s="43" t="str"/>
      <x:c r="N118" s="43" t="str">
        <x:v>0.887316</x:v>
      </x:c>
      <x:c r="O118" s="43" t="str">
        <x:v>Accepted analysis assumption: SD = sqrt(mean); SE = SD / sqrt(n)</x:v>
      </x:c>
      <x:c r="P118" s="43" t="str">
        <x:v>included_studies/whitlow_1978_thesis.pdf; figure error bars are not defined; assumption approved by reviewer</x:v>
      </x:c>
    </x:row>
    <x:row r="119">
      <x:c r="A119" s="43" t="str">
        <x:v>119</x:v>
      </x:c>
      <x:c r="B119" s="43" t="str">
        <x:v>whitlow_1978_thesis</x:v>
      </x:c>
      <x:c r="C119" s="43" t="str">
        <x:v>es118</x:v>
      </x:c>
      <x:c r="D119" s="43" t="str">
        <x:v>male</x:v>
      </x:c>
      <x:c r="E119" s="43" t="str">
        <x:v>Grooming frequency</x:v>
      </x:c>
      <x:c r="F119" s="43" t="str">
        <x:v>Corrected derived value</x:v>
      </x:c>
      <x:c r="G119" s="43" t="str">
        <x:v>Variance decision – Whitlow 1978</x:v>
      </x:c>
      <x:c r="H119" s="43" t="str">
        <x:v>Variance assumption accepted: SD=sqrt(mean), then SE=SD/sqrt(n).</x:v>
      </x:c>
      <x:c r="I119" s="43" t="str"/>
      <x:c r="J119" s="43" t="str">
        <x:v>0.450143</x:v>
      </x:c>
      <x:c r="K119" s="43" t="str">
        <x:v>Accepted analysis assumption: SD = sqrt(mean); SE = SD / sqrt(n)</x:v>
      </x:c>
      <x:c r="L119" s="43" t="str">
        <x:v>included_studies/whitlow_1978_thesis.pdf; figure error bars are not defined; assumption approved by reviewer</x:v>
      </x:c>
      <x:c r="M119" s="43" t="str"/>
      <x:c r="N119" s="43" t="str">
        <x:v>0.429012</x:v>
      </x:c>
      <x:c r="O119" s="43" t="str">
        <x:v>Accepted analysis assumption: SD = sqrt(mean); SE = SD / sqrt(n)</x:v>
      </x:c>
      <x:c r="P119" s="43" t="str">
        <x:v>included_studies/whitlow_1978_thesis.pdf; figure error bars are not defined; assumption approved by reviewer</x:v>
      </x:c>
    </x:row>
    <x:row r="120">
      <x:c r="A120" s="43" t="str">
        <x:v>120</x:v>
      </x:c>
      <x:c r="B120" s="43" t="str">
        <x:v>whitlow_1978_thesis</x:v>
      </x:c>
      <x:c r="C120" s="43" t="str">
        <x:v>es119</x:v>
      </x:c>
      <x:c r="D120" s="43" t="str">
        <x:v>male</x:v>
      </x:c>
      <x:c r="E120" s="43" t="str">
        <x:v>Grooming frequency</x:v>
      </x:c>
      <x:c r="F120" s="43" t="str">
        <x:v>Corrected derived value</x:v>
      </x:c>
      <x:c r="G120" s="43" t="str">
        <x:v>Variance decision – Whitlow 1978</x:v>
      </x:c>
      <x:c r="H120" s="43" t="str">
        <x:v>Variance assumption accepted: SD=sqrt(mean), then SE=SD/sqrt(n).</x:v>
      </x:c>
      <x:c r="I120" s="43" t="str"/>
      <x:c r="J120" s="43" t="str">
        <x:v>0.450143</x:v>
      </x:c>
      <x:c r="K120" s="43" t="str">
        <x:v>Accepted analysis assumption: SD = sqrt(mean); SE = SD / sqrt(n)</x:v>
      </x:c>
      <x:c r="L120" s="43" t="str">
        <x:v>included_studies/whitlow_1978_thesis.pdf; figure error bars are not defined; assumption approved by reviewer</x:v>
      </x:c>
      <x:c r="M120" s="43" t="str"/>
      <x:c r="N120" s="43" t="str">
        <x:v>0.430577</x:v>
      </x:c>
      <x:c r="O120" s="43" t="str">
        <x:v>Accepted analysis assumption: SD = sqrt(mean); SE = SD / sqrt(n)</x:v>
      </x:c>
      <x:c r="P120" s="43" t="str">
        <x:v>included_studies/whitlow_1978_thesis.pdf; figure error bars are not defined; assumption approved by reviewer</x:v>
      </x:c>
    </x:row>
    <x:row r="121">
      <x:c r="A121" s="43" t="str">
        <x:v>121</x:v>
      </x:c>
      <x:c r="B121" s="43" t="str">
        <x:v>whitlow_1978_thesis</x:v>
      </x:c>
      <x:c r="C121" s="43" t="str">
        <x:v>es120</x:v>
      </x:c>
      <x:c r="D121" s="43" t="str">
        <x:v>male</x:v>
      </x:c>
      <x:c r="E121" s="43" t="str">
        <x:v>Grooming frequency</x:v>
      </x:c>
      <x:c r="F121" s="43" t="str">
        <x:v>Corrected derived value</x:v>
      </x:c>
      <x:c r="G121" s="43" t="str">
        <x:v>Variance decision – Whitlow 1978</x:v>
      </x:c>
      <x:c r="H121" s="43" t="str">
        <x:v>Variance assumption accepted: SD=sqrt(mean), then SE=SD/sqrt(n).</x:v>
      </x:c>
      <x:c r="I121" s="43" t="str"/>
      <x:c r="J121" s="43" t="str">
        <x:v>0.419084</x:v>
      </x:c>
      <x:c r="K121" s="43" t="str">
        <x:v>Accepted analysis assumption: SD = sqrt(mean); SE = SD / sqrt(n)</x:v>
      </x:c>
      <x:c r="L121" s="43" t="str">
        <x:v>included_studies/whitlow_1978_thesis.pdf; figure error bars are not defined; assumption approved by reviewer</x:v>
      </x:c>
      <x:c r="M121" s="43" t="str"/>
      <x:c r="N121" s="43" t="str">
        <x:v>0.532475</x:v>
      </x:c>
      <x:c r="O121" s="43" t="str">
        <x:v>Accepted analysis assumption: SD = sqrt(mean); SE = SD / sqrt(n)</x:v>
      </x:c>
      <x:c r="P121" s="43" t="str">
        <x:v>included_studies/whitlow_1978_thesis.pdf; figure error bars are not defined; assumption approved by reviewer</x:v>
      </x:c>
    </x:row>
    <x:row r="122">
      <x:c r="A122" s="43" t="str">
        <x:v>122</x:v>
      </x:c>
      <x:c r="B122" s="43" t="str">
        <x:v>whitlow_1978_thesis</x:v>
      </x:c>
      <x:c r="C122" s="43" t="str">
        <x:v>es121</x:v>
      </x:c>
      <x:c r="D122" s="43" t="str">
        <x:v>male</x:v>
      </x:c>
      <x:c r="E122" s="43" t="str">
        <x:v>Grooming frequency</x:v>
      </x:c>
      <x:c r="F122" s="43" t="str">
        <x:v>Corrected derived value</x:v>
      </x:c>
      <x:c r="G122" s="43" t="str">
        <x:v>Variance decision – Whitlow 1978</x:v>
      </x:c>
      <x:c r="H122" s="43" t="str">
        <x:v>Variance assumption accepted: SD=sqrt(mean), then SE=SD/sqrt(n).</x:v>
      </x:c>
      <x:c r="I122" s="43" t="str"/>
      <x:c r="J122" s="43" t="str">
        <x:v>0.419084</x:v>
      </x:c>
      <x:c r="K122" s="43" t="str">
        <x:v>Accepted analysis assumption: SD = sqrt(mean); SE = SD / sqrt(n)</x:v>
      </x:c>
      <x:c r="L122" s="43" t="str">
        <x:v>included_studies/whitlow_1978_thesis.pdf; figure error bars are not defined; assumption approved by reviewer</x:v>
      </x:c>
      <x:c r="M122" s="43" t="str"/>
      <x:c r="N122" s="43" t="str">
        <x:v>0.490012</x:v>
      </x:c>
      <x:c r="O122" s="43" t="str">
        <x:v>Accepted analysis assumption: SD = sqrt(mean); SE = SD / sqrt(n)</x:v>
      </x:c>
      <x:c r="P122" s="43" t="str">
        <x:v>included_studies/whitlow_1978_thesis.pdf; figure error bars are not defined; assumption approved by reviewer</x:v>
      </x:c>
    </x:row>
    <x:row r="123">
      <x:c r="A123" s="43" t="str">
        <x:v>123</x:v>
      </x:c>
      <x:c r="B123" s="43" t="str">
        <x:v>whitlow_1978_thesis</x:v>
      </x:c>
      <x:c r="C123" s="43" t="str">
        <x:v>es122</x:v>
      </x:c>
      <x:c r="D123" s="43" t="str">
        <x:v>male</x:v>
      </x:c>
      <x:c r="E123" s="43" t="str">
        <x:v>Grooming frequency</x:v>
      </x:c>
      <x:c r="F123" s="43" t="str">
        <x:v>Corrected derived value</x:v>
      </x:c>
      <x:c r="G123" s="43" t="str">
        <x:v>Variance decision – Whitlow 1978</x:v>
      </x:c>
      <x:c r="H123" s="43" t="str">
        <x:v>Variance assumption accepted: SD=sqrt(mean), then SE=SD/sqrt(n).</x:v>
      </x:c>
      <x:c r="I123" s="43" t="str"/>
      <x:c r="J123" s="43" t="str">
        <x:v>0.438627</x:v>
      </x:c>
      <x:c r="K123" s="43" t="str">
        <x:v>Accepted analysis assumption: SD = sqrt(mean); SE = SD / sqrt(n)</x:v>
      </x:c>
      <x:c r="L123" s="43" t="str">
        <x:v>included_studies/whitlow_1978_thesis.pdf; figure error bars are not defined; assumption approved by reviewer</x:v>
      </x:c>
      <x:c r="M123" s="43" t="str"/>
      <x:c r="N123" s="43" t="str">
        <x:v>0.429526</x:v>
      </x:c>
      <x:c r="O123" s="43" t="str">
        <x:v>Accepted analysis assumption: SD = sqrt(mean); SE = SD / sqrt(n)</x:v>
      </x:c>
      <x:c r="P123" s="43" t="str">
        <x:v>included_studies/whitlow_1978_thesis.pdf; figure error bars are not defined; assumption approved by reviewer</x:v>
      </x:c>
    </x:row>
    <x:row r="124">
      <x:c r="A124" s="43" t="str">
        <x:v>124</x:v>
      </x:c>
      <x:c r="B124" s="43" t="str">
        <x:v>whitlow_1978_thesis</x:v>
      </x:c>
      <x:c r="C124" s="43" t="str">
        <x:v>es123</x:v>
      </x:c>
      <x:c r="D124" s="43" t="str">
        <x:v>male</x:v>
      </x:c>
      <x:c r="E124" s="43" t="str">
        <x:v>Grooming frequency</x:v>
      </x:c>
      <x:c r="F124" s="43" t="str">
        <x:v>Corrected derived value</x:v>
      </x:c>
      <x:c r="G124" s="43" t="str">
        <x:v>Variance decision – Whitlow 1978</x:v>
      </x:c>
      <x:c r="H124" s="43" t="str">
        <x:v>Variance assumption accepted: SD=sqrt(mean), then SE=SD/sqrt(n).</x:v>
      </x:c>
      <x:c r="I124" s="43" t="str"/>
      <x:c r="J124" s="43" t="str">
        <x:v>0.438627</x:v>
      </x:c>
      <x:c r="K124" s="43" t="str">
        <x:v>Accepted analysis assumption: SD = sqrt(mean); SE = SD / sqrt(n)</x:v>
      </x:c>
      <x:c r="L124" s="43" t="str">
        <x:v>included_studies/whitlow_1978_thesis.pdf; figure error bars are not defined; assumption approved by reviewer</x:v>
      </x:c>
      <x:c r="M124" s="43" t="str"/>
      <x:c r="N124" s="43" t="str">
        <x:v>0.392095</x:v>
      </x:c>
      <x:c r="O124" s="43" t="str">
        <x:v>Accepted analysis assumption: SD = sqrt(mean); SE = SD / sqrt(n)</x:v>
      </x:c>
      <x:c r="P124" s="43" t="str">
        <x:v>included_studies/whitlow_1978_thesis.pdf; figure error bars are not defined; assumption approved by reviewer</x:v>
      </x:c>
    </x:row>
    <x:row r="125">
      <x:c r="A125" s="43" t="str">
        <x:v>125</x:v>
      </x:c>
      <x:c r="B125" s="43" t="str">
        <x:v>whitlow_1978_thesis</x:v>
      </x:c>
      <x:c r="C125" s="43" t="str">
        <x:v>es124</x:v>
      </x:c>
      <x:c r="D125" s="43" t="str">
        <x:v>male</x:v>
      </x:c>
      <x:c r="E125" s="43" t="str">
        <x:v>Defecation amount</x:v>
      </x:c>
      <x:c r="F125" s="43" t="str">
        <x:v>Corrected derived value</x:v>
      </x:c>
      <x:c r="G125" s="43" t="str">
        <x:v>Variance decision – Whitlow 1978</x:v>
      </x:c>
      <x:c r="H125" s="43" t="str">
        <x:v>Variance assumption accepted: SD=sqrt(mean), then SE=SD/sqrt(n).</x:v>
      </x:c>
      <x:c r="I125" s="43" t="str"/>
      <x:c r="J125" s="43" t="str">
        <x:v>0.345316</x:v>
      </x:c>
      <x:c r="K125" s="43" t="str">
        <x:v>Accepted analysis assumption: SD = sqrt(mean); SE = SD / sqrt(n)</x:v>
      </x:c>
      <x:c r="L125" s="43" t="str">
        <x:v>included_studies/whitlow_1978_thesis.pdf; figure error bars are not defined; assumption approved by reviewer</x:v>
      </x:c>
      <x:c r="M125" s="43" t="str"/>
      <x:c r="N125" s="43" t="str">
        <x:v>0.344802</x:v>
      </x:c>
      <x:c r="O125" s="43" t="str">
        <x:v>Accepted analysis assumption: SD = sqrt(mean); SE = SD / sqrt(n)</x:v>
      </x:c>
      <x:c r="P125" s="43" t="str">
        <x:v>included_studies/whitlow_1978_thesis.pdf; figure error bars are not defined; assumption approved by reviewer</x:v>
      </x:c>
    </x:row>
    <x:row r="126">
      <x:c r="A126" s="43" t="str">
        <x:v>126</x:v>
      </x:c>
      <x:c r="B126" s="43" t="str">
        <x:v>whitlow_1978_thesis</x:v>
      </x:c>
      <x:c r="C126" s="43" t="str">
        <x:v>es125</x:v>
      </x:c>
      <x:c r="D126" s="43" t="str">
        <x:v>male</x:v>
      </x:c>
      <x:c r="E126" s="43" t="str">
        <x:v>Defecation amount</x:v>
      </x:c>
      <x:c r="F126" s="43" t="str">
        <x:v>Corrected derived value</x:v>
      </x:c>
      <x:c r="G126" s="43" t="str">
        <x:v>Variance decision – Whitlow 1978</x:v>
      </x:c>
      <x:c r="H126" s="43" t="str">
        <x:v>Variance assumption accepted: SD=sqrt(mean), then SE=SD/sqrt(n).</x:v>
      </x:c>
      <x:c r="I126" s="43" t="str"/>
      <x:c r="J126" s="43" t="str">
        <x:v>0.345316</x:v>
      </x:c>
      <x:c r="K126" s="43" t="str">
        <x:v>Accepted analysis assumption: SD = sqrt(mean); SE = SD / sqrt(n)</x:v>
      </x:c>
      <x:c r="L126" s="43" t="str">
        <x:v>included_studies/whitlow_1978_thesis.pdf; figure error bars are not defined; assumption approved by reviewer</x:v>
      </x:c>
      <x:c r="M126" s="43" t="str"/>
      <x:c r="N126" s="43" t="str">
        <x:v>0.318014</x:v>
      </x:c>
      <x:c r="O126" s="43" t="str">
        <x:v>Accepted analysis assumption: SD = sqrt(mean); SE = SD / sqrt(n)</x:v>
      </x:c>
      <x:c r="P126" s="43" t="str">
        <x:v>included_studies/whitlow_1978_thesis.pdf; figure error bars are not defined; assumption approved by reviewer</x:v>
      </x:c>
    </x:row>
    <x:row r="127">
      <x:c r="A127" s="43" t="str">
        <x:v>127</x:v>
      </x:c>
      <x:c r="B127" s="43" t="str">
        <x:v>whitlow_1978_thesis</x:v>
      </x:c>
      <x:c r="C127" s="43" t="str">
        <x:v>es126</x:v>
      </x:c>
      <x:c r="D127" s="43" t="str">
        <x:v>male</x:v>
      </x:c>
      <x:c r="E127" s="43" t="str">
        <x:v>Defecation amount</x:v>
      </x:c>
      <x:c r="F127" s="43" t="str">
        <x:v>Corrected derived value</x:v>
      </x:c>
      <x:c r="G127" s="43" t="str">
        <x:v>Variance decision – Whitlow 1978</x:v>
      </x:c>
      <x:c r="H127" s="43" t="str">
        <x:v>Variance assumption accepted: SD=sqrt(mean), then SE=SD/sqrt(n).</x:v>
      </x:c>
      <x:c r="I127" s="43" t="str"/>
      <x:c r="J127" s="43" t="str">
        <x:v>0.276311</x:v>
      </x:c>
      <x:c r="K127" s="43" t="str">
        <x:v>Accepted analysis assumption: SD = sqrt(mean); SE = SD / sqrt(n)</x:v>
      </x:c>
      <x:c r="L127" s="43" t="str">
        <x:v>included_studies/whitlow_1978_thesis.pdf; figure error bars are not defined; assumption approved by reviewer</x:v>
      </x:c>
      <x:c r="M127" s="43" t="str"/>
      <x:c r="N127" s="43" t="str">
        <x:v>0.314861</x:v>
      </x:c>
      <x:c r="O127" s="43" t="str">
        <x:v>Accepted analysis assumption: SD = sqrt(mean); SE = SD / sqrt(n)</x:v>
      </x:c>
      <x:c r="P127" s="43" t="str">
        <x:v>included_studies/whitlow_1978_thesis.pdf; figure error bars are not defined; assumption approved by reviewer</x:v>
      </x:c>
    </x:row>
    <x:row r="128">
      <x:c r="A128" s="43" t="str">
        <x:v>128</x:v>
      </x:c>
      <x:c r="B128" s="43" t="str">
        <x:v>whitlow_1978_thesis</x:v>
      </x:c>
      <x:c r="C128" s="43" t="str">
        <x:v>es127</x:v>
      </x:c>
      <x:c r="D128" s="43" t="str">
        <x:v>male</x:v>
      </x:c>
      <x:c r="E128" s="43" t="str">
        <x:v>Defecation amount</x:v>
      </x:c>
      <x:c r="F128" s="43" t="str">
        <x:v>Corrected derived value</x:v>
      </x:c>
      <x:c r="G128" s="43" t="str">
        <x:v>Variance decision – Whitlow 1978</x:v>
      </x:c>
      <x:c r="H128" s="43" t="str">
        <x:v>Variance assumption accepted: SD=sqrt(mean), then SE=SD/sqrt(n).</x:v>
      </x:c>
      <x:c r="I128" s="43" t="str"/>
      <x:c r="J128" s="43" t="str">
        <x:v>0.276311</x:v>
      </x:c>
      <x:c r="K128" s="43" t="str">
        <x:v>Accepted analysis assumption: SD = sqrt(mean); SE = SD / sqrt(n)</x:v>
      </x:c>
      <x:c r="L128" s="43" t="str">
        <x:v>included_studies/whitlow_1978_thesis.pdf; figure error bars are not defined; assumption approved by reviewer</x:v>
      </x:c>
      <x:c r="M128" s="43" t="str"/>
      <x:c r="N128" s="43" t="str">
        <x:v>0.302585</x:v>
      </x:c>
      <x:c r="O128" s="43" t="str">
        <x:v>Accepted analysis assumption: SD = sqrt(mean); SE = SD / sqrt(n)</x:v>
      </x:c>
      <x:c r="P128" s="43" t="str">
        <x:v>included_studies/whitlow_1978_thesis.pdf; figure error bars are not defined; assumption approved by reviewer</x:v>
      </x:c>
    </x:row>
    <x:row r="129">
      <x:c r="A129" s="43" t="str">
        <x:v>129</x:v>
      </x:c>
      <x:c r="B129" s="43" t="str">
        <x:v>whitlow_1978_thesis</x:v>
      </x:c>
      <x:c r="C129" s="43" t="str">
        <x:v>es128</x:v>
      </x:c>
      <x:c r="D129" s="43" t="str">
        <x:v>male</x:v>
      </x:c>
      <x:c r="E129" s="43" t="str">
        <x:v>Defecation amount</x:v>
      </x:c>
      <x:c r="F129" s="43" t="str">
        <x:v>Corrected derived value</x:v>
      </x:c>
      <x:c r="G129" s="43" t="str">
        <x:v>Variance decision – Whitlow 1978</x:v>
      </x:c>
      <x:c r="H129" s="43" t="str">
        <x:v>Variance assumption accepted: SD=sqrt(mean), then SE=SD/sqrt(n).</x:v>
      </x:c>
      <x:c r="I129" s="43" t="str"/>
      <x:c r="J129" s="43" t="str">
        <x:v>0.372484</x:v>
      </x:c>
      <x:c r="K129" s="43" t="str">
        <x:v>Accepted analysis assumption: SD = sqrt(mean); SE = SD / sqrt(n)</x:v>
      </x:c>
      <x:c r="L129" s="43" t="str">
        <x:v>included_studies/whitlow_1978_thesis.pdf; figure error bars are not defined; assumption approved by reviewer</x:v>
      </x:c>
      <x:c r="M129" s="43" t="str"/>
      <x:c r="N129" s="43" t="str">
        <x:v>0.358688</x:v>
      </x:c>
      <x:c r="O129" s="43" t="str">
        <x:v>Accepted analysis assumption: SD = sqrt(mean); SE = SD / sqrt(n)</x:v>
      </x:c>
      <x:c r="P129" s="43" t="str">
        <x:v>included_studies/whitlow_1978_thesis.pdf; figure error bars are not defined; assumption approved by reviewer</x:v>
      </x:c>
    </x:row>
    <x:row r="130">
      <x:c r="A130" s="43" t="str">
        <x:v>130</x:v>
      </x:c>
      <x:c r="B130" s="43" t="str">
        <x:v>whitlow_1978_thesis</x:v>
      </x:c>
      <x:c r="C130" s="43" t="str">
        <x:v>es129</x:v>
      </x:c>
      <x:c r="D130" s="43" t="str">
        <x:v>male</x:v>
      </x:c>
      <x:c r="E130" s="43" t="str">
        <x:v>Defecation amount</x:v>
      </x:c>
      <x:c r="F130" s="43" t="str">
        <x:v>Corrected derived value</x:v>
      </x:c>
      <x:c r="G130" s="43" t="str">
        <x:v>Variance decision – Whitlow 1978</x:v>
      </x:c>
      <x:c r="H130" s="43" t="str">
        <x:v>Variance assumption accepted: SD=sqrt(mean), then SE=SD/sqrt(n).</x:v>
      </x:c>
      <x:c r="I130" s="43" t="str"/>
      <x:c r="J130" s="43" t="str">
        <x:v>0.372484</x:v>
      </x:c>
      <x:c r="K130" s="43" t="str">
        <x:v>Accepted analysis assumption: SD = sqrt(mean); SE = SD / sqrt(n)</x:v>
      </x:c>
      <x:c r="L130" s="43" t="str">
        <x:v>included_studies/whitlow_1978_thesis.pdf; figure error bars are not defined; assumption approved by reviewer</x:v>
      </x:c>
      <x:c r="M130" s="43" t="str"/>
      <x:c r="N130" s="43" t="str">
        <x:v>0.378186</x:v>
      </x:c>
      <x:c r="O130" s="43" t="str">
        <x:v>Accepted analysis assumption: SD = sqrt(mean); SE = SD / sqrt(n)</x:v>
      </x:c>
      <x:c r="P130" s="43" t="str">
        <x:v>included_studies/whitlow_1978_thesis.pdf; figure error bars are not defined; assumption approved by reviewer</x:v>
      </x:c>
    </x:row>
    <x:row r="131">
      <x:c r="A131" s="43" t="str">
        <x:v>131</x:v>
      </x:c>
      <x:c r="B131" s="43" t="str">
        <x:v>abramova_2020_genpath</x:v>
      </x:c>
      <x:c r="C131" s="43" t="str">
        <x:v>es130</x:v>
      </x:c>
      <x:c r="D131" s="43" t="str">
        <x:v>male</x:v>
      </x:c>
      <x:c r="E131" s="43" t="str">
        <x:v>Sections crossed</x:v>
      </x:c>
      <x:c r="F131" s="43" t="str">
        <x:v>Corrected derived value</x:v>
      </x:c>
      <x:c r="G131" s="43" t="str">
        <x:v>5 – Abramova 2020 derived SEs</x:v>
      </x:c>
      <x:c r="H131" s="43" t="str">
        <x:v>The analysis SE is recalculated as SD/sqrt(n); no author-reported statistic is overwritten.</x:v>
      </x:c>
      <x:c r="I131" s="43" t="str"/>
      <x:c r="J131" s="43" t="str">
        <x:v>5.948995</x:v>
      </x:c>
      <x:c r="K131" s="43" t="str">
        <x:v>SD / sqrt(n), using descriptive statistics calculated from author raw data</x:v>
      </x:c>
      <x:c r="L131" s="43" t="str">
        <x:v>included_studies/abramova_2020_genpath/abramova2020_descriptives.xlsx, tidy_all</x:v>
      </x:c>
      <x:c r="M131" s="43" t="str"/>
      <x:c r="N131" s="43" t="str">
        <x:v>6.070662</x:v>
      </x:c>
      <x:c r="O131" s="43" t="str">
        <x:v>SD / sqrt(n), using descriptive statistics calculated from author raw data</x:v>
      </x:c>
      <x:c r="P131" s="43" t="str">
        <x:v>included_studies/abramova_2020_genpath/abramova2020_descriptives.xlsx, tidy_all</x:v>
      </x:c>
    </x:row>
    <x:row r="132">
      <x:c r="A132" s="43" t="str">
        <x:v>132</x:v>
      </x:c>
      <x:c r="B132" s="43" t="str">
        <x:v>abramova_2020_genpath</x:v>
      </x:c>
      <x:c r="C132" s="43" t="str">
        <x:v>es131</x:v>
      </x:c>
      <x:c r="D132" s="43" t="str">
        <x:v>female</x:v>
      </x:c>
      <x:c r="E132" s="43" t="str">
        <x:v>Sections crossed</x:v>
      </x:c>
      <x:c r="F132" s="43" t="str">
        <x:v>Corrected derived value</x:v>
      </x:c>
      <x:c r="G132" s="43" t="str">
        <x:v>5 – Abramova 2020 derived SEs</x:v>
      </x:c>
      <x:c r="H132" s="43" t="str">
        <x:v>The analysis SE is recalculated as SD/sqrt(n); no author-reported statistic is overwritten.</x:v>
      </x:c>
      <x:c r="I132" s="43" t="str"/>
      <x:c r="J132" s="43" t="str">
        <x:v>6.011893</x:v>
      </x:c>
      <x:c r="K132" s="43" t="str">
        <x:v>SD / sqrt(n), using descriptive statistics calculated from author raw data</x:v>
      </x:c>
      <x:c r="L132" s="43" t="str">
        <x:v>included_studies/abramova_2020_genpath/abramova2020_descriptives.xlsx, tidy_all</x:v>
      </x:c>
      <x:c r="M132" s="43" t="str"/>
      <x:c r="N132" s="43" t="str">
        <x:v>4.86045</x:v>
      </x:c>
      <x:c r="O132" s="43" t="str">
        <x:v>SD / sqrt(n), using descriptive statistics calculated from author raw data</x:v>
      </x:c>
      <x:c r="P132" s="43" t="str">
        <x:v>included_studies/abramova_2020_genpath/abramova2020_descriptives.xlsx, tidy_all</x:v>
      </x:c>
    </x:row>
    <x:row r="133">
      <x:c r="A133" s="43" t="str">
        <x:v>133</x:v>
      </x:c>
      <x:c r="B133" s="43" t="str">
        <x:v>abramova_2020_genpath</x:v>
      </x:c>
      <x:c r="C133" s="43" t="str">
        <x:v>es132</x:v>
      </x:c>
      <x:c r="D133" s="43" t="str">
        <x:v>male</x:v>
      </x:c>
      <x:c r="E133" s="43" t="str">
        <x:v>Rearing frequency</x:v>
      </x:c>
      <x:c r="F133" s="43" t="str">
        <x:v>Corrected derived value</x:v>
      </x:c>
      <x:c r="G133" s="43" t="str">
        <x:v>5 – Abramova 2020 derived SEs</x:v>
      </x:c>
      <x:c r="H133" s="43" t="str">
        <x:v>The analysis SE is recalculated as SD/sqrt(n); no author-reported statistic is overwritten.</x:v>
      </x:c>
      <x:c r="I133" s="43" t="str"/>
      <x:c r="J133" s="43" t="str">
        <x:v>2.38249</x:v>
      </x:c>
      <x:c r="K133" s="43" t="str">
        <x:v>SD / sqrt(n), using descriptive statistics calculated from author raw data</x:v>
      </x:c>
      <x:c r="L133" s="43" t="str">
        <x:v>included_studies/abramova_2020_genpath/abramova2020_descriptives.xlsx, tidy_all</x:v>
      </x:c>
      <x:c r="M133" s="43" t="str"/>
      <x:c r="N133" s="43" t="str">
        <x:v>2.53665</x:v>
      </x:c>
      <x:c r="O133" s="43" t="str">
        <x:v>SD / sqrt(n), using descriptive statistics calculated from author raw data</x:v>
      </x:c>
      <x:c r="P133" s="43" t="str">
        <x:v>included_studies/abramova_2020_genpath/abramova2020_descriptives.xlsx, tidy_all</x:v>
      </x:c>
    </x:row>
    <x:row r="134">
      <x:c r="A134" s="43" t="str">
        <x:v>134</x:v>
      </x:c>
      <x:c r="B134" s="43" t="str">
        <x:v>abramova_2020_genpath</x:v>
      </x:c>
      <x:c r="C134" s="43" t="str">
        <x:v>es133</x:v>
      </x:c>
      <x:c r="D134" s="43" t="str">
        <x:v>female</x:v>
      </x:c>
      <x:c r="E134" s="43" t="str">
        <x:v>Rearing frequency</x:v>
      </x:c>
      <x:c r="F134" s="43" t="str">
        <x:v>Corrected derived value</x:v>
      </x:c>
      <x:c r="G134" s="43" t="str">
        <x:v>5 – Abramova 2020 derived SEs</x:v>
      </x:c>
      <x:c r="H134" s="43" t="str">
        <x:v>The analysis SE is recalculated as SD/sqrt(n); no author-reported statistic is overwritten.</x:v>
      </x:c>
      <x:c r="I134" s="43" t="str"/>
      <x:c r="J134" s="43" t="str">
        <x:v>2.286889</x:v>
      </x:c>
      <x:c r="K134" s="43" t="str">
        <x:v>SD / sqrt(n), using descriptive statistics calculated from author raw data</x:v>
      </x:c>
      <x:c r="L134" s="43" t="str">
        <x:v>included_studies/abramova_2020_genpath/abramova2020_descriptives.xlsx, tidy_all</x:v>
      </x:c>
      <x:c r="M134" s="43" t="str"/>
      <x:c r="N134" s="43" t="str">
        <x:v>2.22715</x:v>
      </x:c>
      <x:c r="O134" s="43" t="str">
        <x:v>SD / sqrt(n), using descriptive statistics calculated from author raw data</x:v>
      </x:c>
      <x:c r="P134" s="43" t="str">
        <x:v>included_studies/abramova_2020_genpath/abramova2020_descriptives.xlsx, tidy_all</x:v>
      </x:c>
    </x:row>
    <x:row r="135">
      <x:c r="A135" s="43" t="str">
        <x:v>135</x:v>
      </x:c>
      <x:c r="B135" s="43" t="str">
        <x:v>abramova_2020_genpath</x:v>
      </x:c>
      <x:c r="C135" s="43" t="str">
        <x:v>es134</x:v>
      </x:c>
      <x:c r="D135" s="43" t="str">
        <x:v>male</x:v>
      </x:c>
      <x:c r="E135" s="43" t="str">
        <x:v>Center entries (crossing)</x:v>
      </x:c>
      <x:c r="F135" s="43" t="str">
        <x:v>Corrected derived value</x:v>
      </x:c>
      <x:c r="G135" s="43" t="str">
        <x:v>5 – Abramova 2020 derived SEs</x:v>
      </x:c>
      <x:c r="H135" s="43" t="str">
        <x:v>The analysis SE is recalculated as SD/sqrt(n); no author-reported statistic is overwritten.</x:v>
      </x:c>
      <x:c r="I135" s="43" t="str"/>
      <x:c r="J135" s="43" t="str">
        <x:v>1.0596</x:v>
      </x:c>
      <x:c r="K135" s="43" t="str">
        <x:v>SD / sqrt(n), using descriptive statistics calculated from author raw data</x:v>
      </x:c>
      <x:c r="L135" s="43" t="str">
        <x:v>included_studies/abramova_2020_genpath/abramova2020_descriptives.xlsx, tidy_all</x:v>
      </x:c>
      <x:c r="M135" s="43" t="str"/>
      <x:c r="N135" s="43" t="str">
        <x:v>0.326803</x:v>
      </x:c>
      <x:c r="O135" s="43" t="str">
        <x:v>SD / sqrt(n), using descriptive statistics calculated from author raw data</x:v>
      </x:c>
      <x:c r="P135" s="43" t="str">
        <x:v>included_studies/abramova_2020_genpath/abramova2020_descriptives.xlsx, tidy_all</x:v>
      </x:c>
    </x:row>
    <x:row r="136">
      <x:c r="A136" s="43" t="str">
        <x:v>136</x:v>
      </x:c>
      <x:c r="B136" s="43" t="str">
        <x:v>abramova_2020_genpath</x:v>
      </x:c>
      <x:c r="C136" s="43" t="str">
        <x:v>es135</x:v>
      </x:c>
      <x:c r="D136" s="43" t="str">
        <x:v>female</x:v>
      </x:c>
      <x:c r="E136" s="43" t="str">
        <x:v>Center entries (crossing)</x:v>
      </x:c>
      <x:c r="F136" s="43" t="str">
        <x:v>Corrected derived value</x:v>
      </x:c>
      <x:c r="G136" s="43" t="str">
        <x:v>5 – Abramova 2020 derived SEs</x:v>
      </x:c>
      <x:c r="H136" s="43" t="str">
        <x:v>The analysis SE is recalculated as SD/sqrt(n); no author-reported statistic is overwritten.</x:v>
      </x:c>
      <x:c r="I136" s="43" t="str"/>
      <x:c r="J136" s="43" t="str">
        <x:v>0.647816</x:v>
      </x:c>
      <x:c r="K136" s="43" t="str">
        <x:v>SD / sqrt(n), using descriptive statistics calculated from author raw data</x:v>
      </x:c>
      <x:c r="L136" s="43" t="str">
        <x:v>included_studies/abramova_2020_genpath/abramova2020_descriptives.xlsx, tidy_all</x:v>
      </x:c>
      <x:c r="M136" s="43" t="str"/>
      <x:c r="N136" s="43" t="str">
        <x:v>0.232725</x:v>
      </x:c>
      <x:c r="O136" s="43" t="str">
        <x:v>SD / sqrt(n), using descriptive statistics calculated from author raw data</x:v>
      </x:c>
      <x:c r="P136" s="43" t="str">
        <x:v>included_studies/abramova_2020_genpath/abramova2020_descriptives.xlsx, tidy_all</x:v>
      </x:c>
    </x:row>
    <x:row r="137">
      <x:c r="A137" s="43" t="str">
        <x:v>137</x:v>
      </x:c>
      <x:c r="B137" s="43" t="str">
        <x:v>abramova_2020_genpath</x:v>
      </x:c>
      <x:c r="C137" s="43" t="str">
        <x:v>es136</x:v>
      </x:c>
      <x:c r="D137" s="43" t="str">
        <x:v>male</x:v>
      </x:c>
      <x:c r="E137" s="43" t="str">
        <x:v>Total grooming time</x:v>
      </x:c>
      <x:c r="F137" s="43" t="str">
        <x:v>Corrected derived value</x:v>
      </x:c>
      <x:c r="G137" s="43" t="str">
        <x:v>5 – Abramova 2020 derived SEs</x:v>
      </x:c>
      <x:c r="H137" s="43" t="str">
        <x:v>The analysis SE is recalculated as SD/sqrt(n); no author-reported statistic is overwritten.</x:v>
      </x:c>
      <x:c r="I137" s="43" t="str"/>
      <x:c r="J137" s="43" t="str">
        <x:v>3.898315</x:v>
      </x:c>
      <x:c r="K137" s="43" t="str">
        <x:v>SD / sqrt(n), using descriptive statistics calculated from author raw data</x:v>
      </x:c>
      <x:c r="L137" s="43" t="str">
        <x:v>included_studies/abramova_2020_genpath/abramova2020_descriptives.xlsx, tidy_all</x:v>
      </x:c>
      <x:c r="M137" s="43" t="str"/>
      <x:c r="N137" s="43" t="str">
        <x:v>4.581983</x:v>
      </x:c>
      <x:c r="O137" s="43" t="str">
        <x:v>SD / sqrt(n), using descriptive statistics calculated from author raw data</x:v>
      </x:c>
      <x:c r="P137" s="43" t="str">
        <x:v>included_studies/abramova_2020_genpath/abramova2020_descriptives.xlsx, tidy_all</x:v>
      </x:c>
    </x:row>
    <x:row r="138">
      <x:c r="A138" s="43" t="str">
        <x:v>138</x:v>
      </x:c>
      <x:c r="B138" s="43" t="str">
        <x:v>abramova_2020_genpath</x:v>
      </x:c>
      <x:c r="C138" s="43" t="str">
        <x:v>es137</x:v>
      </x:c>
      <x:c r="D138" s="43" t="str">
        <x:v>female</x:v>
      </x:c>
      <x:c r="E138" s="43" t="str">
        <x:v>Total grooming time</x:v>
      </x:c>
      <x:c r="F138" s="43" t="str">
        <x:v>Corrected derived value</x:v>
      </x:c>
      <x:c r="G138" s="43" t="str">
        <x:v>5 – Abramova 2020 derived SEs</x:v>
      </x:c>
      <x:c r="H138" s="43" t="str">
        <x:v>The analysis SE is recalculated as SD/sqrt(n); no author-reported statistic is overwritten.</x:v>
      </x:c>
      <x:c r="I138" s="43" t="str"/>
      <x:c r="J138" s="43" t="str">
        <x:v>4.774845</x:v>
      </x:c>
      <x:c r="K138" s="43" t="str">
        <x:v>SD / sqrt(n), using descriptive statistics calculated from author raw data</x:v>
      </x:c>
      <x:c r="L138" s="43" t="str">
        <x:v>included_studies/abramova_2020_genpath/abramova2020_descriptives.xlsx, tidy_all</x:v>
      </x:c>
      <x:c r="M138" s="43" t="str"/>
      <x:c r="N138" s="43" t="str">
        <x:v>3.074025</x:v>
      </x:c>
      <x:c r="O138" s="43" t="str">
        <x:v>SD / sqrt(n), using descriptive statistics calculated from author raw data</x:v>
      </x:c>
      <x:c r="P138" s="43" t="str">
        <x:v>included_studies/abramova_2020_genpath/abramova2020_descriptives.xlsx, tidy_all</x:v>
      </x:c>
    </x:row>
    <x:row r="139">
      <x:c r="A139" s="43" t="str">
        <x:v>139</x:v>
      </x:c>
      <x:c r="B139" s="43" t="str">
        <x:v>abramova_2020_genpath</x:v>
      </x:c>
      <x:c r="C139" s="43" t="str">
        <x:v>es138</x:v>
      </x:c>
      <x:c r="D139" s="43" t="str">
        <x:v>male</x:v>
      </x:c>
      <x:c r="E139" s="43" t="str">
        <x:v>Total freezing time</x:v>
      </x:c>
      <x:c r="F139" s="43" t="str">
        <x:v>Corrected derived value</x:v>
      </x:c>
      <x:c r="G139" s="43" t="str">
        <x:v>5 – Abramova 2020 derived SEs</x:v>
      </x:c>
      <x:c r="H139" s="43" t="str">
        <x:v>The analysis SE is recalculated as SD/sqrt(n); no author-reported statistic is overwritten.</x:v>
      </x:c>
      <x:c r="I139" s="43" t="str"/>
      <x:c r="J139" s="43" t="str">
        <x:v>5.49871</x:v>
      </x:c>
      <x:c r="K139" s="43" t="str">
        <x:v>SD / sqrt(n), using descriptive statistics calculated from author raw data</x:v>
      </x:c>
      <x:c r="L139" s="43" t="str">
        <x:v>included_studies/abramova_2020_genpath/abramova2020_descriptives.xlsx, tidy_all</x:v>
      </x:c>
      <x:c r="M139" s="43" t="str"/>
      <x:c r="N139" s="43" t="str">
        <x:v>10.044119</x:v>
      </x:c>
      <x:c r="O139" s="43" t="str">
        <x:v>SD / sqrt(n), using descriptive statistics calculated from author raw data</x:v>
      </x:c>
      <x:c r="P139" s="43" t="str">
        <x:v>included_studies/abramova_2020_genpath/abramova2020_descriptives.xlsx, tidy_all</x:v>
      </x:c>
    </x:row>
    <x:row r="140">
      <x:c r="A140" s="43" t="str">
        <x:v>140</x:v>
      </x:c>
      <x:c r="B140" s="43" t="str">
        <x:v>abramova_2020_genpath</x:v>
      </x:c>
      <x:c r="C140" s="43" t="str">
        <x:v>es139</x:v>
      </x:c>
      <x:c r="D140" s="43" t="str">
        <x:v>female</x:v>
      </x:c>
      <x:c r="E140" s="43" t="str">
        <x:v>Total freezing time</x:v>
      </x:c>
      <x:c r="F140" s="43" t="str">
        <x:v>Corrected derived value</x:v>
      </x:c>
      <x:c r="G140" s="43" t="str">
        <x:v>5 – Abramova 2020 derived SEs</x:v>
      </x:c>
      <x:c r="H140" s="43" t="str">
        <x:v>The analysis SE is recalculated as SD/sqrt(n); no author-reported statistic is overwritten.</x:v>
      </x:c>
      <x:c r="I140" s="43" t="str"/>
      <x:c r="J140" s="43" t="str">
        <x:v>7.584251</x:v>
      </x:c>
      <x:c r="K140" s="43" t="str">
        <x:v>SD / sqrt(n), using descriptive statistics calculated from author raw data</x:v>
      </x:c>
      <x:c r="L140" s="43" t="str">
        <x:v>included_studies/abramova_2020_genpath/abramova2020_descriptives.xlsx, tidy_all</x:v>
      </x:c>
      <x:c r="M140" s="43" t="str"/>
      <x:c r="N140" s="43" t="str">
        <x:v>7.162475</x:v>
      </x:c>
      <x:c r="O140" s="43" t="str">
        <x:v>SD / sqrt(n), using descriptive statistics calculated from author raw data</x:v>
      </x:c>
      <x:c r="P140" s="43" t="str">
        <x:v>included_studies/abramova_2020_genpath/abramova2020_descriptives.xlsx, tidy_all</x:v>
      </x:c>
    </x:row>
    <x:row r="141">
      <x:c r="A141" s="43" t="str">
        <x:v>141</x:v>
      </x:c>
      <x:c r="B141" s="43" t="str">
        <x:v>abramova_2020_genpath</x:v>
      </x:c>
      <x:c r="C141" s="43" t="str">
        <x:v>es140</x:v>
      </x:c>
      <x:c r="D141" s="43" t="str">
        <x:v>male</x:v>
      </x:c>
      <x:c r="E141" s="43" t="str">
        <x:v>Grooming frequency</x:v>
      </x:c>
      <x:c r="F141" s="43" t="str">
        <x:v>Corrected derived value</x:v>
      </x:c>
      <x:c r="G141" s="43" t="str">
        <x:v>5 – Abramova 2020 derived SEs</x:v>
      </x:c>
      <x:c r="H141" s="43" t="str">
        <x:v>The analysis SE is recalculated as SD/sqrt(n); no author-reported statistic is overwritten.</x:v>
      </x:c>
      <x:c r="I141" s="43" t="str"/>
      <x:c r="J141" s="43" t="str">
        <x:v>1.308466</x:v>
      </x:c>
      <x:c r="K141" s="43" t="str">
        <x:v>SD / sqrt(n), using descriptive statistics calculated from author raw data</x:v>
      </x:c>
      <x:c r="L141" s="43" t="str">
        <x:v>included_studies/abramova_2020_genpath/abramova2020_descriptives.xlsx, tidy_all</x:v>
      </x:c>
      <x:c r="M141" s="43" t="str"/>
      <x:c r="N141" s="43" t="str">
        <x:v>0.499002</x:v>
      </x:c>
      <x:c r="O141" s="43" t="str">
        <x:v>SD / sqrt(n), using descriptive statistics calculated from author raw data</x:v>
      </x:c>
      <x:c r="P141" s="43" t="str">
        <x:v>included_studies/abramova_2020_genpath/abramova2020_descriptives.xlsx, tidy_all</x:v>
      </x:c>
    </x:row>
    <x:row r="142">
      <x:c r="A142" s="43" t="str">
        <x:v>142</x:v>
      </x:c>
      <x:c r="B142" s="43" t="str">
        <x:v>abramova_2020_genpath</x:v>
      </x:c>
      <x:c r="C142" s="43" t="str">
        <x:v>es141</x:v>
      </x:c>
      <x:c r="D142" s="43" t="str">
        <x:v>female</x:v>
      </x:c>
      <x:c r="E142" s="43" t="str">
        <x:v>Grooming frequency</x:v>
      </x:c>
      <x:c r="F142" s="43" t="str">
        <x:v>Corrected derived value</x:v>
      </x:c>
      <x:c r="G142" s="43" t="str">
        <x:v>5 – Abramova 2020 derived SEs</x:v>
      </x:c>
      <x:c r="H142" s="43" t="str">
        <x:v>The analysis SE is recalculated as SD/sqrt(n); no author-reported statistic is overwritten.</x:v>
      </x:c>
      <x:c r="I142" s="43" t="str"/>
      <x:c r="J142" s="43" t="str">
        <x:v>0.639118</x:v>
      </x:c>
      <x:c r="K142" s="43" t="str">
        <x:v>SD / sqrt(n), using descriptive statistics calculated from author raw data</x:v>
      </x:c>
      <x:c r="L142" s="43" t="str">
        <x:v>included_studies/abramova_2020_genpath/abramova2020_descriptives.xlsx, tidy_all</x:v>
      </x:c>
      <x:c r="M142" s="43" t="str"/>
      <x:c r="N142" s="43" t="str">
        <x:v>0.341575</x:v>
      </x:c>
      <x:c r="O142" s="43" t="str">
        <x:v>SD / sqrt(n), using descriptive statistics calculated from author raw data</x:v>
      </x:c>
      <x:c r="P142" s="43" t="str">
        <x:v>included_studies/abramova_2020_genpath/abramova2020_descriptives.xlsx, tidy_all</x:v>
      </x:c>
    </x:row>
    <x:row r="143">
      <x:c r="A143" s="43" t="str">
        <x:v>143</x:v>
      </x:c>
      <x:c r="B143" s="43" t="str">
        <x:v>abramova_2020_genpath</x:v>
      </x:c>
      <x:c r="C143" s="43" t="str">
        <x:v>es142</x:v>
      </x:c>
      <x:c r="D143" s="43" t="str">
        <x:v>male</x:v>
      </x:c>
      <x:c r="E143" s="43" t="str">
        <x:v>Total time in dark</x:v>
      </x:c>
      <x:c r="F143" s="43" t="str">
        <x:v>Corrected derived value</x:v>
      </x:c>
      <x:c r="G143" s="43" t="str">
        <x:v>5 – Abramova 2020 derived SEs</x:v>
      </x:c>
      <x:c r="H143" s="43" t="str">
        <x:v>The analysis SE is recalculated as SD/sqrt(n); no author-reported statistic is overwritten.</x:v>
      </x:c>
      <x:c r="I143" s="43" t="str"/>
      <x:c r="J143" s="43" t="str">
        <x:v>3.82068</x:v>
      </x:c>
      <x:c r="K143" s="43" t="str">
        <x:v>SD / sqrt(n), using descriptive statistics calculated from author raw data</x:v>
      </x:c>
      <x:c r="L143" s="43" t="str">
        <x:v>included_studies/abramova_2020_genpath/abramova2020_descriptives.xlsx, tidy_all</x:v>
      </x:c>
      <x:c r="M143" s="43" t="str"/>
      <x:c r="N143" s="43" t="str">
        <x:v>9.054465</x:v>
      </x:c>
      <x:c r="O143" s="43" t="str">
        <x:v>SD / sqrt(n), using descriptive statistics calculated from author raw data</x:v>
      </x:c>
      <x:c r="P143" s="43" t="str">
        <x:v>included_studies/abramova_2020_genpath/abramova2020_descriptives.xlsx, tidy_all</x:v>
      </x:c>
    </x:row>
    <x:row r="144">
      <x:c r="A144" s="43" t="str">
        <x:v>144</x:v>
      </x:c>
      <x:c r="B144" s="43" t="str">
        <x:v>abramova_2020_genpath</x:v>
      </x:c>
      <x:c r="C144" s="43" t="str">
        <x:v>es143</x:v>
      </x:c>
      <x:c r="D144" s="43" t="str">
        <x:v>female</x:v>
      </x:c>
      <x:c r="E144" s="43" t="str">
        <x:v>Total time in dark</x:v>
      </x:c>
      <x:c r="F144" s="43" t="str">
        <x:v>Corrected derived value</x:v>
      </x:c>
      <x:c r="G144" s="43" t="str">
        <x:v>5 – Abramova 2020 derived SEs</x:v>
      </x:c>
      <x:c r="H144" s="43" t="str">
        <x:v>The analysis SE is recalculated as SD/sqrt(n); no author-reported statistic is overwritten.</x:v>
      </x:c>
      <x:c r="I144" s="43" t="str"/>
      <x:c r="J144" s="43" t="str">
        <x:v>5.562291</x:v>
      </x:c>
      <x:c r="K144" s="43" t="str">
        <x:v>SD / sqrt(n), using descriptive statistics calculated from author raw data</x:v>
      </x:c>
      <x:c r="L144" s="43" t="str">
        <x:v>included_studies/abramova_2020_genpath/abramova2020_descriptives.xlsx, tidy_all</x:v>
      </x:c>
      <x:c r="M144" s="43" t="str"/>
      <x:c r="N144" s="43" t="str">
        <x:v>10.968425</x:v>
      </x:c>
      <x:c r="O144" s="43" t="str">
        <x:v>SD / sqrt(n), using descriptive statistics calculated from author raw data</x:v>
      </x:c>
      <x:c r="P144" s="43" t="str">
        <x:v>included_studies/abramova_2020_genpath/abramova2020_descriptives.xlsx, tidy_all</x:v>
      </x:c>
    </x:row>
    <x:row r="145">
      <x:c r="A145" s="43" t="str">
        <x:v>145</x:v>
      </x:c>
      <x:c r="B145" s="43" t="str">
        <x:v>abramova_2020_genpath</x:v>
      </x:c>
      <x:c r="C145" s="43" t="str">
        <x:v>es144</x:v>
      </x:c>
      <x:c r="D145" s="43" t="str">
        <x:v>male</x:v>
      </x:c>
      <x:c r="E145" s="43" t="str">
        <x:v>Total time in light</x:v>
      </x:c>
      <x:c r="F145" s="43" t="str">
        <x:v>Corrected derived value</x:v>
      </x:c>
      <x:c r="G145" s="43" t="str">
        <x:v>5 – Abramova 2020 derived SEs</x:v>
      </x:c>
      <x:c r="H145" s="43" t="str">
        <x:v>The analysis SE is recalculated as SD/sqrt(n); no author-reported statistic is overwritten.</x:v>
      </x:c>
      <x:c r="I145" s="43" t="str"/>
      <x:c r="J145" s="43" t="str">
        <x:v>3.644701</x:v>
      </x:c>
      <x:c r="K145" s="43" t="str">
        <x:v>SD / sqrt(n), using descriptive statistics calculated from author raw data</x:v>
      </x:c>
      <x:c r="L145" s="43" t="str">
        <x:v>included_studies/abramova_2020_genpath/abramova2020_descriptives.xlsx, tidy_all</x:v>
      </x:c>
      <x:c r="M145" s="43" t="str"/>
      <x:c r="N145" s="43" t="str">
        <x:v>8.912044</x:v>
      </x:c>
      <x:c r="O145" s="43" t="str">
        <x:v>SD / sqrt(n), using descriptive statistics calculated from author raw data</x:v>
      </x:c>
      <x:c r="P145" s="43" t="str">
        <x:v>included_studies/abramova_2020_genpath/abramova2020_descriptives.xlsx, tidy_all</x:v>
      </x:c>
    </x:row>
    <x:row r="146">
      <x:c r="A146" s="43" t="str">
        <x:v>146</x:v>
      </x:c>
      <x:c r="B146" s="43" t="str">
        <x:v>abramova_2020_genpath</x:v>
      </x:c>
      <x:c r="C146" s="43" t="str">
        <x:v>es145</x:v>
      </x:c>
      <x:c r="D146" s="43" t="str">
        <x:v>female</x:v>
      </x:c>
      <x:c r="E146" s="43" t="str">
        <x:v>Total time in light</x:v>
      </x:c>
      <x:c r="F146" s="43" t="str">
        <x:v>Corrected derived value</x:v>
      </x:c>
      <x:c r="G146" s="43" t="str">
        <x:v>5 – Abramova 2020 derived SEs</x:v>
      </x:c>
      <x:c r="H146" s="43" t="str">
        <x:v>The analysis SE is recalculated as SD/sqrt(n); no author-reported statistic is overwritten.</x:v>
      </x:c>
      <x:c r="I146" s="43" t="str"/>
      <x:c r="J146" s="43" t="str">
        <x:v>5.168479</x:v>
      </x:c>
      <x:c r="K146" s="43" t="str">
        <x:v>SD / sqrt(n), using descriptive statistics calculated from author raw data</x:v>
      </x:c>
      <x:c r="L146" s="43" t="str">
        <x:v>included_studies/abramova_2020_genpath/abramova2020_descriptives.xlsx, tidy_all</x:v>
      </x:c>
      <x:c r="M146" s="43" t="str"/>
      <x:c r="N146" s="43" t="str">
        <x:v>10.4604</x:v>
      </x:c>
      <x:c r="O146" s="43" t="str">
        <x:v>SD / sqrt(n), using descriptive statistics calculated from author raw data</x:v>
      </x:c>
      <x:c r="P146" s="43" t="str">
        <x:v>included_studies/abramova_2020_genpath/abramova2020_descriptives.xlsx, tidy_all</x:v>
      </x:c>
    </x:row>
    <x:row r="147">
      <x:c r="A147" s="43" t="str">
        <x:v>147</x:v>
      </x:c>
      <x:c r="B147" s="43" t="str">
        <x:v>abramova_2020_genpath</x:v>
      </x:c>
      <x:c r="C147" s="43" t="str">
        <x:v>es146</x:v>
      </x:c>
      <x:c r="D147" s="43" t="str">
        <x:v>male</x:v>
      </x:c>
      <x:c r="E147" s="43" t="str">
        <x:v>Center entries (crossing)</x:v>
      </x:c>
      <x:c r="F147" s="43" t="str">
        <x:v>Corrected derived value</x:v>
      </x:c>
      <x:c r="G147" s="43" t="str">
        <x:v>5 – Abramova 2020 derived SEs</x:v>
      </x:c>
      <x:c r="H147" s="43" t="str">
        <x:v>The analysis SE is recalculated as SD/sqrt(n); no author-reported statistic is overwritten.</x:v>
      </x:c>
      <x:c r="I147" s="43" t="str"/>
      <x:c r="J147" s="43" t="str">
        <x:v>0.467204</x:v>
      </x:c>
      <x:c r="K147" s="43" t="str">
        <x:v>SD / sqrt(n), using descriptive statistics calculated from author raw data</x:v>
      </x:c>
      <x:c r="L147" s="43" t="str">
        <x:v>included_studies/abramova_2020_genpath/abramova2020_descriptives.xlsx, tidy_all</x:v>
      </x:c>
      <x:c r="M147" s="43" t="str"/>
      <x:c r="N147" s="43" t="str">
        <x:v>0.719723</x:v>
      </x:c>
      <x:c r="O147" s="43" t="str">
        <x:v>SD / sqrt(n), using descriptive statistics calculated from author raw data</x:v>
      </x:c>
      <x:c r="P147" s="43" t="str">
        <x:v>included_studies/abramova_2020_genpath/abramova2020_descriptives.xlsx, tidy_all</x:v>
      </x:c>
    </x:row>
    <x:row r="148">
      <x:c r="A148" s="43" t="str">
        <x:v>148</x:v>
      </x:c>
      <x:c r="B148" s="43" t="str">
        <x:v>abramova_2020_genpath</x:v>
      </x:c>
      <x:c r="C148" s="43" t="str">
        <x:v>es147</x:v>
      </x:c>
      <x:c r="D148" s="43" t="str">
        <x:v>female</x:v>
      </x:c>
      <x:c r="E148" s="43" t="str">
        <x:v>Center entries (crossing)</x:v>
      </x:c>
      <x:c r="F148" s="43" t="str">
        <x:v>Corrected derived value</x:v>
      </x:c>
      <x:c r="G148" s="43" t="str">
        <x:v>5 – Abramova 2020 derived SEs</x:v>
      </x:c>
      <x:c r="H148" s="43" t="str">
        <x:v>The analysis SE is recalculated as SD/sqrt(n); no author-reported statistic is overwritten.</x:v>
      </x:c>
      <x:c r="I148" s="43" t="str"/>
      <x:c r="J148" s="43" t="str">
        <x:v>0.616432</x:v>
      </x:c>
      <x:c r="K148" s="43" t="str">
        <x:v>SD / sqrt(n), using descriptive statistics calculated from author raw data</x:v>
      </x:c>
      <x:c r="L148" s="43" t="str">
        <x:v>included_studies/abramova_2020_genpath/abramova2020_descriptives.xlsx, tidy_all</x:v>
      </x:c>
      <x:c r="M148" s="43" t="str"/>
      <x:c r="N148" s="43" t="str">
        <x:v>0.809925</x:v>
      </x:c>
      <x:c r="O148" s="43" t="str">
        <x:v>SD / sqrt(n), using descriptive statistics calculated from author raw data</x:v>
      </x:c>
      <x:c r="P148" s="43" t="str">
        <x:v>included_studies/abramova_2020_genpath/abramova2020_descriptives.xlsx, tidy_all</x:v>
      </x:c>
    </x:row>
    <x:row r="149">
      <x:c r="A149" s="43" t="str">
        <x:v>149</x:v>
      </x:c>
      <x:c r="B149" s="43" t="str">
        <x:v>abramova_2020_genpath</x:v>
      </x:c>
      <x:c r="C149" s="43" t="str">
        <x:v>es148</x:v>
      </x:c>
      <x:c r="D149" s="43" t="str">
        <x:v>male</x:v>
      </x:c>
      <x:c r="E149" s="43" t="str">
        <x:v>Head-out inspections</x:v>
      </x:c>
      <x:c r="F149" s="43" t="str">
        <x:v>Corrected derived value</x:v>
      </x:c>
      <x:c r="G149" s="43" t="str">
        <x:v>5 – Abramova 2020 derived SEs</x:v>
      </x:c>
      <x:c r="H149" s="43" t="str">
        <x:v>The analysis SE is recalculated as SD/sqrt(n); no author-reported statistic is overwritten.</x:v>
      </x:c>
      <x:c r="I149" s="43" t="str"/>
      <x:c r="J149" s="43" t="str">
        <x:v>0.280045</x:v>
      </x:c>
      <x:c r="K149" s="43" t="str">
        <x:v>SD / sqrt(n), using descriptive statistics calculated from author raw data</x:v>
      </x:c>
      <x:c r="L149" s="43" t="str">
        <x:v>included_studies/abramova_2020_genpath/abramova2020_descriptives.xlsx, tidy_all</x:v>
      </x:c>
      <x:c r="M149" s="43" t="str"/>
      <x:c r="N149" s="43" t="str">
        <x:v>0.50421</x:v>
      </x:c>
      <x:c r="O149" s="43" t="str">
        <x:v>SD / sqrt(n), using descriptive statistics calculated from author raw data</x:v>
      </x:c>
      <x:c r="P149" s="43" t="str">
        <x:v>included_studies/abramova_2020_genpath/abramova2020_descriptives.xlsx, tidy_all</x:v>
      </x:c>
    </x:row>
    <x:row r="150">
      <x:c r="A150" s="43" t="str">
        <x:v>150</x:v>
      </x:c>
      <x:c r="B150" s="43" t="str">
        <x:v>abramova_2020_genpath</x:v>
      </x:c>
      <x:c r="C150" s="43" t="str">
        <x:v>es149</x:v>
      </x:c>
      <x:c r="D150" s="43" t="str">
        <x:v>female</x:v>
      </x:c>
      <x:c r="E150" s="43" t="str">
        <x:v>Head-out inspections</x:v>
      </x:c>
      <x:c r="F150" s="43" t="str">
        <x:v>Corrected derived value</x:v>
      </x:c>
      <x:c r="G150" s="43" t="str">
        <x:v>5 – Abramova 2020 derived SEs</x:v>
      </x:c>
      <x:c r="H150" s="43" t="str">
        <x:v>The analysis SE is recalculated as SD/sqrt(n); no author-reported statistic is overwritten.</x:v>
      </x:c>
      <x:c r="I150" s="43" t="str"/>
      <x:c r="J150" s="43" t="str">
        <x:v>0.441376</x:v>
      </x:c>
      <x:c r="K150" s="43" t="str">
        <x:v>SD / sqrt(n), using descriptive statistics calculated from author raw data</x:v>
      </x:c>
      <x:c r="L150" s="43" t="str">
        <x:v>included_studies/abramova_2020_genpath/abramova2020_descriptives.xlsx, tidy_all</x:v>
      </x:c>
      <x:c r="M150" s="43" t="str"/>
      <x:c r="N150" s="43" t="str">
        <x:v>0.478725</x:v>
      </x:c>
      <x:c r="O150" s="43" t="str">
        <x:v>SD / sqrt(n), using descriptive statistics calculated from author raw data</x:v>
      </x:c>
      <x:c r="P150" s="43" t="str">
        <x:v>included_studies/abramova_2020_genpath/abramova2020_descriptives.xlsx, tidy_all</x:v>
      </x:c>
    </x:row>
    <x:row r="151">
      <x:c r="A151" s="43" t="str">
        <x:v>151</x:v>
      </x:c>
      <x:c r="B151" s="43" t="str">
        <x:v>abramova_2020_genpath</x:v>
      </x:c>
      <x:c r="C151" s="43" t="str">
        <x:v>es150</x:v>
      </x:c>
      <x:c r="D151" s="43" t="str">
        <x:v>male</x:v>
      </x:c>
      <x:c r="E151" s="43" t="str">
        <x:v>Overhangs</x:v>
      </x:c>
      <x:c r="F151" s="43" t="str">
        <x:v>Corrected derived value</x:v>
      </x:c>
      <x:c r="G151" s="43" t="str">
        <x:v>5 – Abramova 2020 derived SEs</x:v>
      </x:c>
      <x:c r="H151" s="43" t="str">
        <x:v>The analysis SE is recalculated as SD/sqrt(n); no author-reported statistic is overwritten.</x:v>
      </x:c>
      <x:c r="I151" s="43" t="str"/>
      <x:c r="J151" s="43" t="str">
        <x:v>0.682381</x:v>
      </x:c>
      <x:c r="K151" s="43" t="str">
        <x:v>SD / sqrt(n), using descriptive statistics calculated from author raw data</x:v>
      </x:c>
      <x:c r="L151" s="43" t="str">
        <x:v>included_studies/abramova_2020_genpath/abramova2020_descriptives.xlsx, tidy_all</x:v>
      </x:c>
      <x:c r="M151" s="43" t="str"/>
      <x:c r="N151" s="43" t="str">
        <x:v>1.242263</x:v>
      </x:c>
      <x:c r="O151" s="43" t="str">
        <x:v>SD / sqrt(n), using descriptive statistics calculated from author raw data</x:v>
      </x:c>
      <x:c r="P151" s="43" t="str">
        <x:v>included_studies/abramova_2020_genpath/abramova2020_descriptives.xlsx, tidy_all</x:v>
      </x:c>
    </x:row>
    <x:row r="152">
      <x:c r="A152" s="43" t="str">
        <x:v>152</x:v>
      </x:c>
      <x:c r="B152" s="43" t="str">
        <x:v>abramova_2020_genpath</x:v>
      </x:c>
      <x:c r="C152" s="43" t="str">
        <x:v>es151</x:v>
      </x:c>
      <x:c r="D152" s="43" t="str">
        <x:v>female</x:v>
      </x:c>
      <x:c r="E152" s="43" t="str">
        <x:v>Overhangs</x:v>
      </x:c>
      <x:c r="F152" s="43" t="str">
        <x:v>Corrected derived value</x:v>
      </x:c>
      <x:c r="G152" s="43" t="str">
        <x:v>5 – Abramova 2020 derived SEs</x:v>
      </x:c>
      <x:c r="H152" s="43" t="str">
        <x:v>The analysis SE is recalculated as SD/sqrt(n); no author-reported statistic is overwritten.</x:v>
      </x:c>
      <x:c r="I152" s="43" t="str"/>
      <x:c r="J152" s="43" t="str">
        <x:v>1.164723</x:v>
      </x:c>
      <x:c r="K152" s="43" t="str">
        <x:v>SD / sqrt(n), using descriptive statistics calculated from author raw data</x:v>
      </x:c>
      <x:c r="L152" s="43" t="str">
        <x:v>included_studies/abramova_2020_genpath/abramova2020_descriptives.xlsx, tidy_all</x:v>
      </x:c>
      <x:c r="M152" s="43" t="str"/>
      <x:c r="N152" s="43" t="str">
        <x:v>1.714825</x:v>
      </x:c>
      <x:c r="O152" s="43" t="str">
        <x:v>SD / sqrt(n), using descriptive statistics calculated from author raw data</x:v>
      </x:c>
      <x:c r="P152" s="43" t="str">
        <x:v>included_studies/abramova_2020_genpath/abramova2020_descriptives.xlsx, tidy_all</x:v>
      </x:c>
    </x:row>
    <x:row r="153">
      <x:c r="A153" s="43" t="str">
        <x:v>153</x:v>
      </x:c>
      <x:c r="B153" s="43" t="str">
        <x:v>abramova_2020_genpath</x:v>
      </x:c>
      <x:c r="C153" s="43" t="str">
        <x:v>es152</x:v>
      </x:c>
      <x:c r="D153" s="43" t="str">
        <x:v>male</x:v>
      </x:c>
      <x:c r="E153" s="43" t="str">
        <x:v>Total grooming time</x:v>
      </x:c>
      <x:c r="F153" s="43" t="str">
        <x:v>Corrected derived value</x:v>
      </x:c>
      <x:c r="G153" s="43" t="str">
        <x:v>5 – Abramova 2020 derived SEs</x:v>
      </x:c>
      <x:c r="H153" s="43" t="str">
        <x:v>The analysis SE is recalculated as SD/sqrt(n); no author-reported statistic is overwritten.</x:v>
      </x:c>
      <x:c r="I153" s="43" t="str"/>
      <x:c r="J153" s="43" t="str">
        <x:v>8.57418</x:v>
      </x:c>
      <x:c r="K153" s="43" t="str">
        <x:v>SD / sqrt(n), using descriptive statistics calculated from author raw data</x:v>
      </x:c>
      <x:c r="L153" s="43" t="str">
        <x:v>included_studies/abramova_2020_genpath/abramova2020_descriptives.xlsx, tidy_all</x:v>
      </x:c>
      <x:c r="M153" s="43" t="str"/>
      <x:c r="N153" s="43" t="str">
        <x:v>4.762694</x:v>
      </x:c>
      <x:c r="O153" s="43" t="str">
        <x:v>SD / sqrt(n), using descriptive statistics calculated from author raw data</x:v>
      </x:c>
      <x:c r="P153" s="43" t="str">
        <x:v>included_studies/abramova_2020_genpath/abramova2020_descriptives.xlsx, tidy_all</x:v>
      </x:c>
    </x:row>
    <x:row r="154">
      <x:c r="A154" s="43" t="str">
        <x:v>154</x:v>
      </x:c>
      <x:c r="B154" s="43" t="str">
        <x:v>abramova_2020_genpath</x:v>
      </x:c>
      <x:c r="C154" s="43" t="str">
        <x:v>es153</x:v>
      </x:c>
      <x:c r="D154" s="43" t="str">
        <x:v>female</x:v>
      </x:c>
      <x:c r="E154" s="43" t="str">
        <x:v>Total grooming time</x:v>
      </x:c>
      <x:c r="F154" s="43" t="str">
        <x:v>Corrected derived value</x:v>
      </x:c>
      <x:c r="G154" s="43" t="str">
        <x:v>5 – Abramova 2020 derived SEs</x:v>
      </x:c>
      <x:c r="H154" s="43" t="str">
        <x:v>The analysis SE is recalculated as SD/sqrt(n); no author-reported statistic is overwritten.</x:v>
      </x:c>
      <x:c r="I154" s="43" t="str"/>
      <x:c r="J154" s="43" t="str">
        <x:v>10.421458</x:v>
      </x:c>
      <x:c r="K154" s="43" t="str">
        <x:v>SD / sqrt(n), using descriptive statistics calculated from author raw data</x:v>
      </x:c>
      <x:c r="L154" s="43" t="str">
        <x:v>included_studies/abramova_2020_genpath/abramova2020_descriptives.xlsx, tidy_all</x:v>
      </x:c>
      <x:c r="M154" s="43" t="str"/>
      <x:c r="N154" s="43" t="str">
        <x:v>5.518025</x:v>
      </x:c>
      <x:c r="O154" s="43" t="str">
        <x:v>SD / sqrt(n), using descriptive statistics calculated from author raw data</x:v>
      </x:c>
      <x:c r="P154" s="43" t="str">
        <x:v>included_studies/abramova_2020_genpath/abramova2020_descriptives.xlsx, tidy_all</x:v>
      </x:c>
    </x:row>
    <x:row r="155">
      <x:c r="A155" s="43" t="str">
        <x:v>155</x:v>
      </x:c>
      <x:c r="B155" s="43" t="str">
        <x:v>abramova_2020_genpath</x:v>
      </x:c>
      <x:c r="C155" s="43" t="str">
        <x:v>es154</x:v>
      </x:c>
      <x:c r="D155" s="43" t="str">
        <x:v>male</x:v>
      </x:c>
      <x:c r="E155" s="43" t="str">
        <x:v>Rearing frequency</x:v>
      </x:c>
      <x:c r="F155" s="43" t="str">
        <x:v>Corrected derived value</x:v>
      </x:c>
      <x:c r="G155" s="43" t="str">
        <x:v>5 – Abramova 2020 derived SEs</x:v>
      </x:c>
      <x:c r="H155" s="43" t="str">
        <x:v>The analysis SE is recalculated as SD/sqrt(n); no author-reported statistic is overwritten.</x:v>
      </x:c>
      <x:c r="I155" s="43" t="str"/>
      <x:c r="J155" s="43" t="str">
        <x:v>0.864128</x:v>
      </x:c>
      <x:c r="K155" s="43" t="str">
        <x:v>SD / sqrt(n), using descriptive statistics calculated from author raw data</x:v>
      </x:c>
      <x:c r="L155" s="43" t="str">
        <x:v>included_studies/abramova_2020_genpath/abramova2020_descriptives.xlsx, tidy_all</x:v>
      </x:c>
      <x:c r="M155" s="43" t="str"/>
      <x:c r="N155" s="43" t="str">
        <x:v>1.231458</x:v>
      </x:c>
      <x:c r="O155" s="43" t="str">
        <x:v>SD / sqrt(n), using descriptive statistics calculated from author raw data</x:v>
      </x:c>
      <x:c r="P155" s="43" t="str">
        <x:v>included_studies/abramova_2020_genpath/abramova2020_descriptives.xlsx, tidy_all</x:v>
      </x:c>
    </x:row>
    <x:row r="156">
      <x:c r="A156" s="43" t="str">
        <x:v>156</x:v>
      </x:c>
      <x:c r="B156" s="43" t="str">
        <x:v>abramova_2020_genpath</x:v>
      </x:c>
      <x:c r="C156" s="43" t="str">
        <x:v>es155</x:v>
      </x:c>
      <x:c r="D156" s="43" t="str">
        <x:v>female</x:v>
      </x:c>
      <x:c r="E156" s="43" t="str">
        <x:v>Rearing frequency</x:v>
      </x:c>
      <x:c r="F156" s="43" t="str">
        <x:v>Corrected derived value</x:v>
      </x:c>
      <x:c r="G156" s="43" t="str">
        <x:v>5 – Abramova 2020 derived SEs</x:v>
      </x:c>
      <x:c r="H156" s="43" t="str">
        <x:v>The analysis SE is recalculated as SD/sqrt(n); no author-reported statistic is overwritten.</x:v>
      </x:c>
      <x:c r="I156" s="43" t="str"/>
      <x:c r="J156" s="43" t="str">
        <x:v>1.295561</x:v>
      </x:c>
      <x:c r="K156" s="43" t="str">
        <x:v>SD / sqrt(n), using descriptive statistics calculated from author raw data</x:v>
      </x:c>
      <x:c r="L156" s="43" t="str">
        <x:v>included_studies/abramova_2020_genpath/abramova2020_descriptives.xlsx, tidy_all</x:v>
      </x:c>
      <x:c r="M156" s="43" t="str"/>
      <x:c r="N156" s="43" t="str">
        <x:v>1.6695</x:v>
      </x:c>
      <x:c r="O156" s="43" t="str">
        <x:v>SD / sqrt(n), using descriptive statistics calculated from author raw data</x:v>
      </x:c>
      <x:c r="P156" s="43" t="str">
        <x:v>included_studies/abramova_2020_genpath/abramova2020_descriptives.xlsx, tidy_all</x:v>
      </x:c>
    </x:row>
    <x:row r="157">
      <x:c r="A157" s="43" t="str">
        <x:v>157</x:v>
      </x:c>
      <x:c r="B157" s="43" t="str">
        <x:v>abramova_2020_genpath</x:v>
      </x:c>
      <x:c r="C157" s="43" t="str">
        <x:v>es156</x:v>
      </x:c>
      <x:c r="D157" s="43" t="str">
        <x:v>male</x:v>
      </x:c>
      <x:c r="E157" s="43" t="str">
        <x:v>Total freezing time</x:v>
      </x:c>
      <x:c r="F157" s="43" t="str">
        <x:v>Corrected derived value</x:v>
      </x:c>
      <x:c r="G157" s="43" t="str">
        <x:v>5 – Abramova 2020 derived SEs</x:v>
      </x:c>
      <x:c r="H157" s="43" t="str">
        <x:v>The analysis SE is recalculated as SD/sqrt(n); no author-reported statistic is overwritten.</x:v>
      </x:c>
      <x:c r="I157" s="43" t="str"/>
      <x:c r="J157" s="43" t="str">
        <x:v>8.108117</x:v>
      </x:c>
      <x:c r="K157" s="43" t="str">
        <x:v>SD / sqrt(n), using descriptive statistics calculated from author raw data</x:v>
      </x:c>
      <x:c r="L157" s="43" t="str">
        <x:v>included_studies/abramova_2020_genpath/abramova2020_descriptives.xlsx, tidy_all</x:v>
      </x:c>
      <x:c r="M157" s="43" t="str"/>
      <x:c r="N157" s="43" t="str">
        <x:v>2.588911</x:v>
      </x:c>
      <x:c r="O157" s="43" t="str">
        <x:v>SD / sqrt(n), using descriptive statistics calculated from author raw data</x:v>
      </x:c>
      <x:c r="P157" s="43" t="str">
        <x:v>included_studies/abramova_2020_genpath/abramova2020_descriptives.xlsx, tidy_all</x:v>
      </x:c>
    </x:row>
    <x:row r="158">
      <x:c r="A158" s="43" t="str">
        <x:v>158</x:v>
      </x:c>
      <x:c r="B158" s="43" t="str">
        <x:v>abramova_2020_genpath</x:v>
      </x:c>
      <x:c r="C158" s="43" t="str">
        <x:v>es157</x:v>
      </x:c>
      <x:c r="D158" s="43" t="str">
        <x:v>female</x:v>
      </x:c>
      <x:c r="E158" s="43" t="str">
        <x:v>Total freezing time</x:v>
      </x:c>
      <x:c r="F158" s="43" t="str">
        <x:v>Corrected derived value</x:v>
      </x:c>
      <x:c r="G158" s="43" t="str">
        <x:v>5 – Abramova 2020 derived SEs</x:v>
      </x:c>
      <x:c r="H158" s="43" t="str">
        <x:v>The analysis SE is recalculated as SD/sqrt(n); no author-reported statistic is overwritten.</x:v>
      </x:c>
      <x:c r="I158" s="43" t="str"/>
      <x:c r="J158" s="43" t="str">
        <x:v>7.265923</x:v>
      </x:c>
      <x:c r="K158" s="43" t="str">
        <x:v>SD / sqrt(n), using descriptive statistics calculated from author raw data</x:v>
      </x:c>
      <x:c r="L158" s="43" t="str">
        <x:v>included_studies/abramova_2020_genpath/abramova2020_descriptives.xlsx, tidy_all</x:v>
      </x:c>
      <x:c r="M158" s="43" t="str"/>
      <x:c r="N158" s="43" t="str">
        <x:v>4.602875</x:v>
      </x:c>
      <x:c r="O158" s="43" t="str">
        <x:v>SD / sqrt(n), using descriptive statistics calculated from author raw data</x:v>
      </x:c>
      <x:c r="P158" s="43" t="str">
        <x:v>included_studies/abramova_2020_genpath/abramova2020_descriptives.xlsx, tidy_all</x:v>
      </x:c>
    </x:row>
    <x:row r="159">
      <x:c r="A159" s="43" t="str">
        <x:v>159</x:v>
      </x:c>
      <x:c r="B159" s="43" t="str">
        <x:v>abramova_2020_genpath</x:v>
      </x:c>
      <x:c r="C159" s="43" t="str">
        <x:v>es158</x:v>
      </x:c>
      <x:c r="D159" s="43" t="str">
        <x:v>male</x:v>
      </x:c>
      <x:c r="E159" s="43" t="str">
        <x:v>Grooming frequency</x:v>
      </x:c>
      <x:c r="F159" s="43" t="str">
        <x:v>Corrected derived value</x:v>
      </x:c>
      <x:c r="G159" s="43" t="str">
        <x:v>5 – Abramova 2020 derived SEs</x:v>
      </x:c>
      <x:c r="H159" s="43" t="str">
        <x:v>The analysis SE is recalculated as SD/sqrt(n); no author-reported statistic is overwritten.</x:v>
      </x:c>
      <x:c r="I159" s="43" t="str"/>
      <x:c r="J159" s="43" t="str">
        <x:v>0.531133</x:v>
      </x:c>
      <x:c r="K159" s="43" t="str">
        <x:v>SD / sqrt(n), using descriptive statistics calculated from author raw data</x:v>
      </x:c>
      <x:c r="L159" s="43" t="str">
        <x:v>included_studies/abramova_2020_genpath/abramova2020_descriptives.xlsx, tidy_all</x:v>
      </x:c>
      <x:c r="M159" s="43" t="str"/>
      <x:c r="N159" s="43" t="str">
        <x:v>0.578678</x:v>
      </x:c>
      <x:c r="O159" s="43" t="str">
        <x:v>SD / sqrt(n), using descriptive statistics calculated from author raw data</x:v>
      </x:c>
      <x:c r="P159" s="43" t="str">
        <x:v>included_studies/abramova_2020_genpath/abramova2020_descriptives.xlsx, tidy_all</x:v>
      </x:c>
    </x:row>
    <x:row r="160">
      <x:c r="A160" s="43" t="str">
        <x:v>160</x:v>
      </x:c>
      <x:c r="B160" s="43" t="str">
        <x:v>abramova_2020_genpath</x:v>
      </x:c>
      <x:c r="C160" s="43" t="str">
        <x:v>es159</x:v>
      </x:c>
      <x:c r="D160" s="43" t="str">
        <x:v>female</x:v>
      </x:c>
      <x:c r="E160" s="43" t="str">
        <x:v>Grooming frequency</x:v>
      </x:c>
      <x:c r="F160" s="43" t="str">
        <x:v>Corrected derived value</x:v>
      </x:c>
      <x:c r="G160" s="43" t="str">
        <x:v>5 – Abramova 2020 derived SEs</x:v>
      </x:c>
      <x:c r="H160" s="43" t="str">
        <x:v>The analysis SE is recalculated as SD/sqrt(n); no author-reported statistic is overwritten.</x:v>
      </x:c>
      <x:c r="I160" s="43" t="str"/>
      <x:c r="J160" s="43" t="str">
        <x:v>0.53099</x:v>
      </x:c>
      <x:c r="K160" s="43" t="str">
        <x:v>SD / sqrt(n), using descriptive statistics calculated from author raw data</x:v>
      </x:c>
      <x:c r="L160" s="43" t="str">
        <x:v>included_studies/abramova_2020_genpath/abramova2020_descriptives.xlsx, tidy_all</x:v>
      </x:c>
      <x:c r="M160" s="43" t="str"/>
      <x:c r="N160" s="43" t="str">
        <x:v>0.4652</x:v>
      </x:c>
      <x:c r="O160" s="43" t="str">
        <x:v>SD / sqrt(n), using descriptive statistics calculated from author raw data</x:v>
      </x:c>
      <x:c r="P160" s="43" t="str">
        <x:v>included_studies/abramova_2020_genpath/abramova2020_descriptives.xlsx, tidy_all</x:v>
      </x:c>
    </x:row>
    <x:row r="161">
      <x:c r="A161" s="43" t="str">
        <x:v>161</x:v>
      </x:c>
      <x:c r="B161" s="43" t="str">
        <x:v>abramova_2020_genpath</x:v>
      </x:c>
      <x:c r="C161" s="43" t="str">
        <x:v>es160</x:v>
      </x:c>
      <x:c r="D161" s="43" t="str">
        <x:v>male</x:v>
      </x:c>
      <x:c r="E161" s="43" t="str">
        <x:v>Total immobility time</x:v>
      </x:c>
      <x:c r="F161" s="43" t="str">
        <x:v>Corrected derived value</x:v>
      </x:c>
      <x:c r="G161" s="43" t="str">
        <x:v>5 – Abramova 2020 derived SEs</x:v>
      </x:c>
      <x:c r="H161" s="43" t="str">
        <x:v>The analysis SE is recalculated as SD/sqrt(n); no author-reported statistic is overwritten.</x:v>
      </x:c>
      <x:c r="I161" s="43" t="str"/>
      <x:c r="J161" s="43" t="str">
        <x:v>13.930026</x:v>
      </x:c>
      <x:c r="K161" s="43" t="str">
        <x:v>SD / sqrt(n), using descriptive statistics calculated from author raw data</x:v>
      </x:c>
      <x:c r="L161" s="43" t="str">
        <x:v>included_studies/abramova_2020_genpath/abramova2020_descriptives.xlsx, tidy_all</x:v>
      </x:c>
      <x:c r="M161" s="43" t="str"/>
      <x:c r="N161" s="43" t="str">
        <x:v>16.378815</x:v>
      </x:c>
      <x:c r="O161" s="43" t="str">
        <x:v>SD / sqrt(n), using descriptive statistics calculated from author raw data</x:v>
      </x:c>
      <x:c r="P161" s="43" t="str">
        <x:v>included_studies/abramova_2020_genpath/abramova2020_descriptives.xlsx, tidy_all</x:v>
      </x:c>
    </x:row>
    <x:row r="162">
      <x:c r="A162" s="43" t="str">
        <x:v>162</x:v>
      </x:c>
      <x:c r="B162" s="43" t="str">
        <x:v>abramova_2020_genpath</x:v>
      </x:c>
      <x:c r="C162" s="43" t="str">
        <x:v>es161</x:v>
      </x:c>
      <x:c r="D162" s="43" t="str">
        <x:v>female</x:v>
      </x:c>
      <x:c r="E162" s="43" t="str">
        <x:v>Total immobility time</x:v>
      </x:c>
      <x:c r="F162" s="43" t="str">
        <x:v>Corrected derived value</x:v>
      </x:c>
      <x:c r="G162" s="43" t="str">
        <x:v>5 – Abramova 2020 derived SEs</x:v>
      </x:c>
      <x:c r="H162" s="43" t="str">
        <x:v>The analysis SE is recalculated as SD/sqrt(n); no author-reported statistic is overwritten.</x:v>
      </x:c>
      <x:c r="I162" s="43" t="str"/>
      <x:c r="J162" s="43" t="str">
        <x:v>13.264451</x:v>
      </x:c>
      <x:c r="K162" s="43" t="str">
        <x:v>SD / sqrt(n), using descriptive statistics calculated from author raw data</x:v>
      </x:c>
      <x:c r="L162" s="43" t="str">
        <x:v>included_studies/abramova_2020_genpath/abramova2020_descriptives.xlsx, tidy_all</x:v>
      </x:c>
      <x:c r="M162" s="43" t="str"/>
      <x:c r="N162" s="43" t="str">
        <x:v>18.9553</x:v>
      </x:c>
      <x:c r="O162" s="43" t="str">
        <x:v>SD / sqrt(n), using descriptive statistics calculated from author raw data</x:v>
      </x:c>
      <x:c r="P162" s="43" t="str">
        <x:v>included_studies/abramova_2020_genpath/abramova2020_descriptives.xlsx, tidy_all</x:v>
      </x:c>
    </x:row>
    <x:row r="163">
      <x:c r="A163" s="43" t="str">
        <x:v>163</x:v>
      </x:c>
      <x:c r="B163" s="43" t="str">
        <x:v>abramova_2020_genpath</x:v>
      </x:c>
      <x:c r="C163" s="43" t="str">
        <x:v>es162</x:v>
      </x:c>
      <x:c r="D163" s="43" t="str">
        <x:v>male</x:v>
      </x:c>
      <x:c r="E163" s="43" t="str">
        <x:v>Sucrose preference index</x:v>
      </x:c>
      <x:c r="F163" s="43" t="str">
        <x:v>Corrected transcription</x:v>
      </x:c>
      <x:c r="G163" s="43" t="str">
        <x:v>5 – Abramova 2020 derived SEs</x:v>
      </x:c>
      <x:c r="H163" s="43" t="str">
        <x:v>Use the SD in the matching author-data descriptive row before deriving SE. | The analysis SE is recalculated as SD/sqrt(n); no author-reported statistic is overwritten.</x:v>
      </x:c>
      <x:c r="I163" s="43" t="str"/>
      <x:c r="J163" s="43" t="str">
        <x:v>12.045387</x:v>
      </x:c>
      <x:c r="K163" s="43" t="str">
        <x:v>SD / sqrt(n), using descriptive statistics calculated from author raw data</x:v>
      </x:c>
      <x:c r="L163" s="43" t="str">
        <x:v>included_studies/abramova_2020_genpath/abramova2020_descriptives.xlsx, tidy_all</x:v>
      </x:c>
      <x:c r="M163" s="43" t="str"/>
      <x:c r="N163" s="43" t="str">
        <x:v>6.63828</x:v>
      </x:c>
      <x:c r="O163" s="43" t="str">
        <x:v>SD / sqrt(n), using descriptive statistics calculated from author raw data</x:v>
      </x:c>
      <x:c r="P163" s="43" t="str">
        <x:v>included_studies/abramova_2020_genpath/abramova2020_descriptives.xlsx, tidy_all</x:v>
      </x:c>
    </x:row>
    <x:row r="164">
      <x:c r="A164" s="43" t="str">
        <x:v>164</x:v>
      </x:c>
      <x:c r="B164" s="43" t="str">
        <x:v>abramova_2020_genpath</x:v>
      </x:c>
      <x:c r="C164" s="43" t="str">
        <x:v>es163</x:v>
      </x:c>
      <x:c r="D164" s="43" t="str">
        <x:v>female</x:v>
      </x:c>
      <x:c r="E164" s="43" t="str">
        <x:v>Sucrose preference index</x:v>
      </x:c>
      <x:c r="F164" s="43" t="str">
        <x:v>Corrected derived value</x:v>
      </x:c>
      <x:c r="G164" s="43" t="str">
        <x:v>5 – Abramova 2020 derived SEs</x:v>
      </x:c>
      <x:c r="H164" s="43" t="str">
        <x:v>The analysis SE is recalculated as SD/sqrt(n); no author-reported statistic is overwritten.</x:v>
      </x:c>
      <x:c r="I164" s="43" t="str"/>
      <x:c r="J164" s="43" t="str">
        <x:v>6.411963</x:v>
      </x:c>
      <x:c r="K164" s="43" t="str">
        <x:v>SD / sqrt(n), using descriptive statistics calculated from author raw data</x:v>
      </x:c>
      <x:c r="L164" s="43" t="str">
        <x:v>included_studies/abramova_2020_genpath/abramova2020_descriptives.xlsx, tidy_all</x:v>
      </x:c>
      <x:c r="M164" s="43" t="str"/>
      <x:c r="N164" s="43" t="str">
        <x:v>8.4909</x:v>
      </x:c>
      <x:c r="O164" s="43" t="str">
        <x:v>SD / sqrt(n), using descriptive statistics calculated from author raw data</x:v>
      </x:c>
      <x:c r="P164" s="43" t="str">
        <x:v>included_studies/abramova_2020_genpath/abramova2020_descriptives.xlsx, tidy_all</x:v>
      </x:c>
    </x:row>
    <x:row r="165">
      <x:c r="A165" s="43" t="str">
        <x:v>165</x:v>
      </x:c>
      <x:c r="B165" s="43" t="str">
        <x:v>abramova_2023_biopsy</x:v>
      </x:c>
      <x:c r="C165" s="43" t="str">
        <x:v>es164</x:v>
      </x:c>
      <x:c r="D165" s="43" t="str">
        <x:v>male</x:v>
      </x:c>
      <x:c r="E165" s="43" t="str">
        <x:v>Sections crossed</x:v>
      </x:c>
      <x:c r="F165" s="43" t="str">
        <x:v>Corrected transcription</x:v>
      </x:c>
      <x:c r="G165" s="43" t="str">
        <x:v>7 – Abramova 2023 identifiers and units</x:v>
      </x:c>
      <x:c r="H165" s="43" t="str">
        <x:v>Use the stable path to the saved extraction/calculation workbook.</x:v>
      </x:c>
      <x:c r="I165" s="43" t="str">
        <x:v>2.7</x:v>
      </x:c>
      <x:c r="J165" s="43" t="str">
        <x:v>2.7</x:v>
      </x:c>
      <x:c r="K165" s="43" t="str">
        <x:v>Reported SEM; used unchanged for analysis</x:v>
      </x:c>
      <x:c r="L165" s="43" t="str">
        <x:v>included_studies/abramova_2023_biopsy/abramova_2023_biopsy_data_calculations.xlsx, Table1_Extract, source row 2</x:v>
      </x:c>
      <x:c r="M165" s="43" t="str">
        <x:v>3.3</x:v>
      </x:c>
      <x:c r="N165" s="43" t="str">
        <x:v>3.3</x:v>
      </x:c>
      <x:c r="O165" s="43" t="str">
        <x:v>Reported SEM; used unchanged for analysis</x:v>
      </x:c>
      <x:c r="P165" s="43" t="str">
        <x:v>included_studies/abramova_2023_biopsy/abramova_2023_biopsy_data_calculations.xlsx, Table1_Extract, source row 2</x:v>
      </x:c>
    </x:row>
    <x:row r="166">
      <x:c r="A166" s="43" t="str">
        <x:v>166</x:v>
      </x:c>
      <x:c r="B166" s="43" t="str">
        <x:v>abramova_2023_biopsy</x:v>
      </x:c>
      <x:c r="C166" s="43" t="str">
        <x:v>es165</x:v>
      </x:c>
      <x:c r="D166" s="43" t="str">
        <x:v>female</x:v>
      </x:c>
      <x:c r="E166" s="43" t="str">
        <x:v>Sections crossed</x:v>
      </x:c>
      <x:c r="F166" s="43" t="str">
        <x:v>Corrected transcription</x:v>
      </x:c>
      <x:c r="G166" s="43" t="str">
        <x:v>7 – Abramova 2023 identifiers and units</x:v>
      </x:c>
      <x:c r="H166" s="43" t="str">
        <x:v>Use the stable path to the saved extraction/calculation workbook.</x:v>
      </x:c>
      <x:c r="I166" s="43" t="str">
        <x:v>3.5</x:v>
      </x:c>
      <x:c r="J166" s="43" t="str">
        <x:v>3.5</x:v>
      </x:c>
      <x:c r="K166" s="43" t="str">
        <x:v>Reported SEM; used unchanged for analysis</x:v>
      </x:c>
      <x:c r="L166" s="43" t="str">
        <x:v>included_studies/abramova_2023_biopsy/abramova_2023_biopsy_data_calculations.xlsx, Table1_Extract, source row 3</x:v>
      </x:c>
      <x:c r="M166" s="43" t="str">
        <x:v>5.1</x:v>
      </x:c>
      <x:c r="N166" s="43" t="str">
        <x:v>5.1</x:v>
      </x:c>
      <x:c r="O166" s="43" t="str">
        <x:v>Reported SEM; used unchanged for analysis</x:v>
      </x:c>
      <x:c r="P166" s="43" t="str">
        <x:v>included_studies/abramova_2023_biopsy/abramova_2023_biopsy_data_calculations.xlsx, Table1_Extract, source row 3</x:v>
      </x:c>
    </x:row>
    <x:row r="167">
      <x:c r="A167" s="43" t="str">
        <x:v>167</x:v>
      </x:c>
      <x:c r="B167" s="43" t="str">
        <x:v>abramova_2023_biopsy</x:v>
      </x:c>
      <x:c r="C167" s="43" t="str">
        <x:v>es166</x:v>
      </x:c>
      <x:c r="D167" s="43" t="str">
        <x:v>male</x:v>
      </x:c>
      <x:c r="E167" s="43" t="str">
        <x:v>Rearing frequency</x:v>
      </x:c>
      <x:c r="F167" s="43" t="str">
        <x:v>Corrected transcription</x:v>
      </x:c>
      <x:c r="G167" s="43" t="str">
        <x:v>7 – Abramova 2023 identifiers and units</x:v>
      </x:c>
      <x:c r="H167" s="43" t="str">
        <x:v>Use the stable path to the saved extraction/calculation workbook.</x:v>
      </x:c>
      <x:c r="I167" s="43" t="str">
        <x:v>1.7</x:v>
      </x:c>
      <x:c r="J167" s="43" t="str">
        <x:v>1.7</x:v>
      </x:c>
      <x:c r="K167" s="43" t="str">
        <x:v>Reported SEM; used unchanged for analysis</x:v>
      </x:c>
      <x:c r="L167" s="43" t="str">
        <x:v>included_studies/abramova_2023_biopsy/abramova_2023_biopsy_data_calculations.xlsx, Table1_Extract, source row 4</x:v>
      </x:c>
      <x:c r="M167" s="43" t="str">
        <x:v>1.2</x:v>
      </x:c>
      <x:c r="N167" s="43" t="str">
        <x:v>1.2</x:v>
      </x:c>
      <x:c r="O167" s="43" t="str">
        <x:v>Reported SEM; used unchanged for analysis</x:v>
      </x:c>
      <x:c r="P167" s="43" t="str">
        <x:v>included_studies/abramova_2023_biopsy/abramova_2023_biopsy_data_calculations.xlsx, Table1_Extract, source row 4</x:v>
      </x:c>
    </x:row>
    <x:row r="168">
      <x:c r="A168" s="43" t="str">
        <x:v>168</x:v>
      </x:c>
      <x:c r="B168" s="43" t="str">
        <x:v>abramova_2023_biopsy</x:v>
      </x:c>
      <x:c r="C168" s="43" t="str">
        <x:v>es167</x:v>
      </x:c>
      <x:c r="D168" s="43" t="str">
        <x:v>female</x:v>
      </x:c>
      <x:c r="E168" s="43" t="str">
        <x:v>Rearing frequency</x:v>
      </x:c>
      <x:c r="F168" s="43" t="str">
        <x:v>Corrected transcription</x:v>
      </x:c>
      <x:c r="G168" s="43" t="str">
        <x:v>7 – Abramova 2023 identifiers and units</x:v>
      </x:c>
      <x:c r="H168" s="43" t="str">
        <x:v>Use the stable path to the saved extraction/calculation workbook.</x:v>
      </x:c>
      <x:c r="I168" s="43" t="str">
        <x:v>2.5</x:v>
      </x:c>
      <x:c r="J168" s="43" t="str">
        <x:v>2.5</x:v>
      </x:c>
      <x:c r="K168" s="43" t="str">
        <x:v>Reported SEM; used unchanged for analysis</x:v>
      </x:c>
      <x:c r="L168" s="43" t="str">
        <x:v>included_studies/abramova_2023_biopsy/abramova_2023_biopsy_data_calculations.xlsx, Table1_Extract, source row 5</x:v>
      </x:c>
      <x:c r="M168" s="43" t="str">
        <x:v>1.7</x:v>
      </x:c>
      <x:c r="N168" s="43" t="str">
        <x:v>1.7</x:v>
      </x:c>
      <x:c r="O168" s="43" t="str">
        <x:v>Reported SEM; used unchanged for analysis</x:v>
      </x:c>
      <x:c r="P168" s="43" t="str">
        <x:v>included_studies/abramova_2023_biopsy/abramova_2023_biopsy_data_calculations.xlsx, Table1_Extract, source row 5</x:v>
      </x:c>
    </x:row>
    <x:row r="169">
      <x:c r="A169" s="43" t="str">
        <x:v>169</x:v>
      </x:c>
      <x:c r="B169" s="43" t="str">
        <x:v>abramova_2023_biopsy</x:v>
      </x:c>
      <x:c r="C169" s="43" t="str">
        <x:v>es168</x:v>
      </x:c>
      <x:c r="D169" s="43" t="str">
        <x:v>male</x:v>
      </x:c>
      <x:c r="E169" s="43" t="str">
        <x:v>Center entries (crossing)</x:v>
      </x:c>
      <x:c r="F169" s="43" t="str">
        <x:v>Analysis decision required</x:v>
      </x:c>
      <x:c r="G169" s="43" t="str">
        <x:v>7 – Abramova 2023 identifiers and units</x:v>
      </x:c>
      <x:c r="H169" s="43" t="str">
        <x:v>Use the stable path to the saved extraction/calculation workbook. | Choose and implement the central-tendency/dispersion conversion in the R data-wrangling workflow.</x:v>
      </x:c>
      <x:c r="I169" s="43" t="str"/>
      <x:c r="J169" s="43" t="str"/>
      <x:c r="K169" s="43" t="str">
        <x:v>Not calculated here: median (Q1; Q3) reported; estimation is deferred to reproducible R data wrangling</x:v>
      </x:c>
      <x:c r="L169" s="43" t="str">
        <x:v>included_studies/abramova_2023_biopsy/abramova_2023_biopsy_data_calculations.xlsx, Table1_Extract, source row 6</x:v>
      </x:c>
      <x:c r="M169" s="43" t="str"/>
      <x:c r="N169" s="43" t="str"/>
      <x:c r="O169" s="43" t="str">
        <x:v>Not calculated here: median (Q1; Q3) reported; estimation is deferred to reproducible R data wrangling</x:v>
      </x:c>
      <x:c r="P169" s="43" t="str">
        <x:v>included_studies/abramova_2023_biopsy/abramova_2023_biopsy_data_calculations.xlsx, Table1_Extract, source row 6</x:v>
      </x:c>
    </x:row>
    <x:row r="170">
      <x:c r="A170" s="43" t="str">
        <x:v>170</x:v>
      </x:c>
      <x:c r="B170" s="43" t="str">
        <x:v>abramova_2023_biopsy</x:v>
      </x:c>
      <x:c r="C170" s="43" t="str">
        <x:v>es169</x:v>
      </x:c>
      <x:c r="D170" s="43" t="str">
        <x:v>female</x:v>
      </x:c>
      <x:c r="E170" s="43" t="str">
        <x:v>Center entries (crossing)</x:v>
      </x:c>
      <x:c r="F170" s="43" t="str">
        <x:v>Analysis decision required</x:v>
      </x:c>
      <x:c r="G170" s="43" t="str">
        <x:v>7 – Abramova 2023 identifiers and units</x:v>
      </x:c>
      <x:c r="H17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0" s="43" t="str"/>
      <x:c r="J170" s="43" t="str"/>
      <x:c r="K170" s="43" t="str">
        <x:v>Not calculated here: median (Q1; Q3) reported; estimation is deferred to reproducible R data wrangling</x:v>
      </x:c>
      <x:c r="L170" s="43" t="str">
        <x:v>included_studies/abramova_2023_biopsy/abramova_2023_biopsy_data_calculations.xlsx, Table1_Extract, source row 7</x:v>
      </x:c>
      <x:c r="M170" s="43" t="str"/>
      <x:c r="N170" s="43" t="str"/>
      <x:c r="O170" s="43" t="str">
        <x:v>Not calculated here: median (Q1; Q3) reported; estimation is deferred to reproducible R data wrangling</x:v>
      </x:c>
      <x:c r="P170" s="43" t="str">
        <x:v>included_studies/abramova_2023_biopsy/abramova_2023_biopsy_data_calculations.xlsx, Table1_Extract, source row 7</x:v>
      </x:c>
    </x:row>
    <x:row r="171">
      <x:c r="A171" s="43" t="str">
        <x:v>171</x:v>
      </x:c>
      <x:c r="B171" s="43" t="str">
        <x:v>abramova_2023_biopsy</x:v>
      </x:c>
      <x:c r="C171" s="43" t="str">
        <x:v>es170</x:v>
      </x:c>
      <x:c r="D171" s="43" t="str">
        <x:v>male</x:v>
      </x:c>
      <x:c r="E171" s="43" t="str">
        <x:v>Total freezing time</x:v>
      </x:c>
      <x:c r="F171" s="43" t="str">
        <x:v>Corrected transcription</x:v>
      </x:c>
      <x:c r="G171" s="43" t="str">
        <x:v>7 – Abramova 2023 identifiers and units</x:v>
      </x:c>
      <x:c r="H17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1" s="43" t="str">
        <x:v>4.9</x:v>
      </x:c>
      <x:c r="J171" s="43" t="str">
        <x:v>4.9</x:v>
      </x:c>
      <x:c r="K171" s="43" t="str">
        <x:v>Reported SEM; used unchanged for analysis</x:v>
      </x:c>
      <x:c r="L171" s="43" t="str">
        <x:v>included_studies/abramova_2023_biopsy/abramova_2023_biopsy_data_calculations.xlsx, Table1_Extract, source row 8</x:v>
      </x:c>
      <x:c r="M171" s="43" t="str">
        <x:v>19.4</x:v>
      </x:c>
      <x:c r="N171" s="43" t="str">
        <x:v>19.4</x:v>
      </x:c>
      <x:c r="O171" s="43" t="str">
        <x:v>Reported SEM; used unchanged for analysis</x:v>
      </x:c>
      <x:c r="P171" s="43" t="str">
        <x:v>included_studies/abramova_2023_biopsy/abramova_2023_biopsy_data_calculations.xlsx, Table1_Extract, source row 8</x:v>
      </x:c>
    </x:row>
    <x:row r="172">
      <x:c r="A172" s="43" t="str">
        <x:v>172</x:v>
      </x:c>
      <x:c r="B172" s="43" t="str">
        <x:v>abramova_2023_biopsy</x:v>
      </x:c>
      <x:c r="C172" s="43" t="str">
        <x:v>es171</x:v>
      </x:c>
      <x:c r="D172" s="43" t="str">
        <x:v>female</x:v>
      </x:c>
      <x:c r="E172" s="43" t="str">
        <x:v>Total freezing time</x:v>
      </x:c>
      <x:c r="F172" s="43" t="str">
        <x:v>Corrected transcription</x:v>
      </x:c>
      <x:c r="G172" s="43" t="str">
        <x:v>7 – Abramova 2023 identifiers and units</x:v>
      </x:c>
      <x:c r="H17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2" s="43" t="str">
        <x:v>3.0</x:v>
      </x:c>
      <x:c r="J172" s="43" t="str">
        <x:v>3.0</x:v>
      </x:c>
      <x:c r="K172" s="43" t="str">
        <x:v>Reported SEM; used unchanged for analysis</x:v>
      </x:c>
      <x:c r="L172" s="43" t="str">
        <x:v>included_studies/abramova_2023_biopsy/abramova_2023_biopsy_data_calculations.xlsx, Table1_Extract, source row 9</x:v>
      </x:c>
      <x:c r="M172" s="43" t="str">
        <x:v>20.1</x:v>
      </x:c>
      <x:c r="N172" s="43" t="str">
        <x:v>20.1</x:v>
      </x:c>
      <x:c r="O172" s="43" t="str">
        <x:v>Reported SEM; used unchanged for analysis</x:v>
      </x:c>
      <x:c r="P172" s="43" t="str">
        <x:v>included_studies/abramova_2023_biopsy/abramova_2023_biopsy_data_calculations.xlsx, Table1_Extract, source row 9</x:v>
      </x:c>
    </x:row>
    <x:row r="173">
      <x:c r="A173" s="43" t="str">
        <x:v>173</x:v>
      </x:c>
      <x:c r="B173" s="43" t="str">
        <x:v>abramova_2023_biopsy</x:v>
      </x:c>
      <x:c r="C173" s="43" t="str">
        <x:v>es172</x:v>
      </x:c>
      <x:c r="D173" s="43" t="str">
        <x:v>male</x:v>
      </x:c>
      <x:c r="E173" s="43" t="str">
        <x:v>Total grooming time</x:v>
      </x:c>
      <x:c r="F173" s="43" t="str">
        <x:v>Analysis decision required</x:v>
      </x:c>
      <x:c r="G173" s="43" t="str">
        <x:v>7 – Abramova 2023 identifiers and units</x:v>
      </x:c>
      <x:c r="H17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3" s="43" t="str"/>
      <x:c r="J173" s="43" t="str"/>
      <x:c r="K173" s="43" t="str">
        <x:v>Not calculated here: median (Q1; Q3) reported; estimation is deferred to reproducible R data wrangling</x:v>
      </x:c>
      <x:c r="L173" s="43" t="str">
        <x:v>included_studies/abramova_2023_biopsy/abramova_2023_biopsy_data_calculations.xlsx, Table1_Extract, source row 10</x:v>
      </x:c>
      <x:c r="M173" s="43" t="str"/>
      <x:c r="N173" s="43" t="str"/>
      <x:c r="O173" s="43" t="str">
        <x:v>Not calculated here: median (Q1; Q3) reported; estimation is deferred to reproducible R data wrangling</x:v>
      </x:c>
      <x:c r="P173" s="43" t="str">
        <x:v>included_studies/abramova_2023_biopsy/abramova_2023_biopsy_data_calculations.xlsx, Table1_Extract, source row 10</x:v>
      </x:c>
    </x:row>
    <x:row r="174">
      <x:c r="A174" s="43" t="str">
        <x:v>174</x:v>
      </x:c>
      <x:c r="B174" s="43" t="str">
        <x:v>abramova_2023_biopsy</x:v>
      </x:c>
      <x:c r="C174" s="43" t="str">
        <x:v>es173</x:v>
      </x:c>
      <x:c r="D174" s="43" t="str">
        <x:v>female</x:v>
      </x:c>
      <x:c r="E174" s="43" t="str">
        <x:v>Total grooming time</x:v>
      </x:c>
      <x:c r="F174" s="43" t="str">
        <x:v>Analysis decision required</x:v>
      </x:c>
      <x:c r="G174" s="43" t="str">
        <x:v>7 – Abramova 2023 identifiers and units</x:v>
      </x:c>
      <x:c r="H17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4" s="43" t="str"/>
      <x:c r="J174" s="43" t="str"/>
      <x:c r="K174" s="43" t="str">
        <x:v>Not calculated here: median (Q1; Q3) reported; estimation is deferred to reproducible R data wrangling</x:v>
      </x:c>
      <x:c r="L174" s="43" t="str">
        <x:v>included_studies/abramova_2023_biopsy/abramova_2023_biopsy_data_calculations.xlsx, Table1_Extract, source row 11</x:v>
      </x:c>
      <x:c r="M174" s="43" t="str"/>
      <x:c r="N174" s="43" t="str"/>
      <x:c r="O174" s="43" t="str">
        <x:v>Not calculated here: median (Q1; Q3) reported; estimation is deferred to reproducible R data wrangling</x:v>
      </x:c>
      <x:c r="P174" s="43" t="str">
        <x:v>included_studies/abramova_2023_biopsy/abramova_2023_biopsy_data_calculations.xlsx, Table1_Extract, source row 11</x:v>
      </x:c>
    </x:row>
    <x:row r="175">
      <x:c r="A175" s="43" t="str">
        <x:v>175</x:v>
      </x:c>
      <x:c r="B175" s="43" t="str">
        <x:v>abramova_2023_biopsy</x:v>
      </x:c>
      <x:c r="C175" s="43" t="str">
        <x:v>es174</x:v>
      </x:c>
      <x:c r="D175" s="43" t="str">
        <x:v>male</x:v>
      </x:c>
      <x:c r="E175" s="43" t="str">
        <x:v>Grooming frequency</x:v>
      </x:c>
      <x:c r="F175" s="43" t="str">
        <x:v>Corrected transcription</x:v>
      </x:c>
      <x:c r="G175" s="43" t="str">
        <x:v>7 – Abramova 2023 identifiers and units</x:v>
      </x:c>
      <x:c r="H17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5" s="43" t="str">
        <x:v>0.6</x:v>
      </x:c>
      <x:c r="J175" s="43" t="str">
        <x:v>0.6</x:v>
      </x:c>
      <x:c r="K175" s="43" t="str">
        <x:v>Reported SEM; used unchanged for analysis</x:v>
      </x:c>
      <x:c r="L175" s="43" t="str">
        <x:v>included_studies/abramova_2023_biopsy/abramova_2023_biopsy_data_calculations.xlsx, Table1_Extract, source row 12</x:v>
      </x:c>
      <x:c r="M175" s="43" t="str">
        <x:v>0.5</x:v>
      </x:c>
      <x:c r="N175" s="43" t="str">
        <x:v>0.5</x:v>
      </x:c>
      <x:c r="O175" s="43" t="str">
        <x:v>Reported SEM; used unchanged for analysis</x:v>
      </x:c>
      <x:c r="P175" s="43" t="str">
        <x:v>included_studies/abramova_2023_biopsy/abramova_2023_biopsy_data_calculations.xlsx, Table1_Extract, source row 12</x:v>
      </x:c>
    </x:row>
    <x:row r="176">
      <x:c r="A176" s="43" t="str">
        <x:v>176</x:v>
      </x:c>
      <x:c r="B176" s="43" t="str">
        <x:v>abramova_2023_biopsy</x:v>
      </x:c>
      <x:c r="C176" s="43" t="str">
        <x:v>es175</x:v>
      </x:c>
      <x:c r="D176" s="43" t="str">
        <x:v>female</x:v>
      </x:c>
      <x:c r="E176" s="43" t="str">
        <x:v>Grooming frequency</x:v>
      </x:c>
      <x:c r="F176" s="43" t="str">
        <x:v>Corrected transcription</x:v>
      </x:c>
      <x:c r="G176" s="43" t="str">
        <x:v>7 – Abramova 2023 identifiers and units</x:v>
      </x:c>
      <x:c r="H17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6" s="43" t="str">
        <x:v>0.6</x:v>
      </x:c>
      <x:c r="J176" s="43" t="str">
        <x:v>0.6</x:v>
      </x:c>
      <x:c r="K176" s="43" t="str">
        <x:v>Reported SEM; used unchanged for analysis</x:v>
      </x:c>
      <x:c r="L176" s="43" t="str">
        <x:v>included_studies/abramova_2023_biopsy/abramova_2023_biopsy_data_calculations.xlsx, Table1_Extract, source row 13</x:v>
      </x:c>
      <x:c r="M176" s="43" t="str">
        <x:v>0.6</x:v>
      </x:c>
      <x:c r="N176" s="43" t="str">
        <x:v>0.6</x:v>
      </x:c>
      <x:c r="O176" s="43" t="str">
        <x:v>Reported SEM; used unchanged for analysis</x:v>
      </x:c>
      <x:c r="P176" s="43" t="str">
        <x:v>included_studies/abramova_2023_biopsy/abramova_2023_biopsy_data_calculations.xlsx, Table1_Extract, source row 13</x:v>
      </x:c>
    </x:row>
    <x:row r="177">
      <x:c r="A177" s="43" t="str">
        <x:v>177</x:v>
      </x:c>
      <x:c r="B177" s="43" t="str">
        <x:v>abramova_2023_biopsy</x:v>
      </x:c>
      <x:c r="C177" s="43" t="str">
        <x:v>es176</x:v>
      </x:c>
      <x:c r="D177" s="43" t="str">
        <x:v>male</x:v>
      </x:c>
      <x:c r="E177" s="43" t="str">
        <x:v>Mean grooming duration</x:v>
      </x:c>
      <x:c r="F177" s="43" t="str">
        <x:v>Analysis decision required</x:v>
      </x:c>
      <x:c r="G177" s="43" t="str">
        <x:v>7 – Abramova 2023 identifiers and units</x:v>
      </x:c>
      <x:c r="H17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c r="I177" s="43" t="str"/>
      <x:c r="J177" s="43" t="str"/>
      <x:c r="K177" s="43" t="str">
        <x:v>Not calculated here: median (Q1; Q3) reported; estimation is deferred to reproducible R data wrangling</x:v>
      </x:c>
      <x:c r="L177" s="43" t="str">
        <x:v>included_studies/abramova_2023_biopsy/abramova_2023_biopsy_data_calculations.xlsx, Table1_Extract, source row 14</x:v>
      </x:c>
      <x:c r="M177" s="43" t="str"/>
      <x:c r="N177" s="43" t="str"/>
      <x:c r="O177" s="43" t="str">
        <x:v>Not calculated here: median (Q1; Q3) reported; estimation is deferred to reproducible R data wrangling</x:v>
      </x:c>
      <x:c r="P177" s="43" t="str">
        <x:v>included_studies/abramova_2023_biopsy/abramova_2023_biopsy_data_calculations.xlsx, Table1_Extract, source row 14</x:v>
      </x:c>
    </x:row>
    <x:row r="178">
      <x:c r="A178" s="43" t="str">
        <x:v>178</x:v>
      </x:c>
      <x:c r="B178" s="43" t="str">
        <x:v>abramova_2023_biopsy</x:v>
      </x:c>
      <x:c r="C178" s="43" t="str">
        <x:v>es177</x:v>
      </x:c>
      <x:c r="D178" s="43" t="str">
        <x:v>female</x:v>
      </x:c>
      <x:c r="E178" s="43" t="str">
        <x:v>Mean grooming duration</x:v>
      </x:c>
      <x:c r="F178" s="43" t="str">
        <x:v>Analysis decision required</x:v>
      </x:c>
      <x:c r="G178" s="43" t="str">
        <x:v>7 – Abramova 2023 identifiers and units</x:v>
      </x:c>
      <x:c r="H17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c r="I178" s="43" t="str"/>
      <x:c r="J178" s="43" t="str"/>
      <x:c r="K178" s="43" t="str">
        <x:v>Not calculated here: median (Q1; Q3) reported; estimation is deferred to reproducible R data wrangling</x:v>
      </x:c>
      <x:c r="L178" s="43" t="str">
        <x:v>included_studies/abramova_2023_biopsy/abramova_2023_biopsy_data_calculations.xlsx, Table1_Extract, source row 15</x:v>
      </x:c>
      <x:c r="M178" s="43" t="str"/>
      <x:c r="N178" s="43" t="str"/>
      <x:c r="O178" s="43" t="str">
        <x:v>Not calculated here: median (Q1; Q3) reported; estimation is deferred to reproducible R data wrangling</x:v>
      </x:c>
      <x:c r="P178" s="43" t="str">
        <x:v>included_studies/abramova_2023_biopsy/abramova_2023_biopsy_data_calculations.xlsx, Table1_Extract, source row 15</x:v>
      </x:c>
    </x:row>
    <x:row r="179">
      <x:c r="A179" s="43" t="str">
        <x:v>179</x:v>
      </x:c>
      <x:c r="B179" s="43" t="str">
        <x:v>abramova_2023_biopsy</x:v>
      </x:c>
      <x:c r="C179" s="43" t="str">
        <x:v>es178</x:v>
      </x:c>
      <x:c r="D179" s="43" t="str">
        <x:v>male</x:v>
      </x:c>
      <x:c r="E179" s="43" t="str">
        <x:v>Total time in dark</x:v>
      </x:c>
      <x:c r="F179" s="43" t="str">
        <x:v>Corrected transcription</x:v>
      </x:c>
      <x:c r="G179" s="43" t="str">
        <x:v>7 – Abramova 2023 identifiers and units</x:v>
      </x:c>
      <x:c r="H17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9" s="43" t="str">
        <x:v>7.0</x:v>
      </x:c>
      <x:c r="J179" s="43" t="str">
        <x:v>7.0</x:v>
      </x:c>
      <x:c r="K179" s="43" t="str">
        <x:v>Reported SEM; used unchanged for analysis</x:v>
      </x:c>
      <x:c r="L179" s="43" t="str">
        <x:v>included_studies/abramova_2023_biopsy/abramova_2023_biopsy_data_calculations.xlsx, Table1_Extract, source row 16</x:v>
      </x:c>
      <x:c r="M179" s="43" t="str">
        <x:v>13.0</x:v>
      </x:c>
      <x:c r="N179" s="43" t="str">
        <x:v>13.0</x:v>
      </x:c>
      <x:c r="O179" s="43" t="str">
        <x:v>Reported SEM; used unchanged for analysis</x:v>
      </x:c>
      <x:c r="P179" s="43" t="str">
        <x:v>included_studies/abramova_2023_biopsy/abramova_2023_biopsy_data_calculations.xlsx, Table1_Extract, source row 16</x:v>
      </x:c>
    </x:row>
    <x:row r="180">
      <x:c r="A180" s="43" t="str">
        <x:v>180</x:v>
      </x:c>
      <x:c r="B180" s="43" t="str">
        <x:v>abramova_2023_biopsy</x:v>
      </x:c>
      <x:c r="C180" s="43" t="str">
        <x:v>es179</x:v>
      </x:c>
      <x:c r="D180" s="43" t="str">
        <x:v>female</x:v>
      </x:c>
      <x:c r="E180" s="43" t="str">
        <x:v>Total time in dark</x:v>
      </x:c>
      <x:c r="F180" s="43" t="str">
        <x:v>Corrected transcription</x:v>
      </x:c>
      <x:c r="G180" s="43" t="str">
        <x:v>7 – Abramova 2023 identifiers and units</x:v>
      </x:c>
      <x:c r="H18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0" s="43" t="str">
        <x:v>5.0</x:v>
      </x:c>
      <x:c r="J180" s="43" t="str">
        <x:v>5.0</x:v>
      </x:c>
      <x:c r="K180" s="43" t="str">
        <x:v>Reported SEM; used unchanged for analysis</x:v>
      </x:c>
      <x:c r="L180" s="43" t="str">
        <x:v>included_studies/abramova_2023_biopsy/abramova_2023_biopsy_data_calculations.xlsx, Table1_Extract, source row 17</x:v>
      </x:c>
      <x:c r="M180" s="43" t="str">
        <x:v>11.0</x:v>
      </x:c>
      <x:c r="N180" s="43" t="str">
        <x:v>11.0</x:v>
      </x:c>
      <x:c r="O180" s="43" t="str">
        <x:v>Reported SEM; used unchanged for analysis</x:v>
      </x:c>
      <x:c r="P180" s="43" t="str">
        <x:v>included_studies/abramova_2023_biopsy/abramova_2023_biopsy_data_calculations.xlsx, Table1_Extract, source row 17</x:v>
      </x:c>
    </x:row>
    <x:row r="181">
      <x:c r="A181" s="43" t="str">
        <x:v>181</x:v>
      </x:c>
      <x:c r="B181" s="43" t="str">
        <x:v>abramova_2023_biopsy</x:v>
      </x:c>
      <x:c r="C181" s="43" t="str">
        <x:v>es180</x:v>
      </x:c>
      <x:c r="D181" s="43" t="str">
        <x:v>male</x:v>
      </x:c>
      <x:c r="E181" s="43" t="str">
        <x:v>Total time in light</x:v>
      </x:c>
      <x:c r="F181" s="43" t="str">
        <x:v>Analysis decision required</x:v>
      </x:c>
      <x:c r="G181" s="43" t="str">
        <x:v>7 – Abramova 2023 identifiers and units</x:v>
      </x:c>
      <x:c r="H18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1" s="43" t="str"/>
      <x:c r="J181" s="43" t="str"/>
      <x:c r="K181" s="43" t="str">
        <x:v>Not calculated here: median (Q1; Q3) reported; estimation is deferred to reproducible R data wrangling</x:v>
      </x:c>
      <x:c r="L181" s="43" t="str">
        <x:v>included_studies/abramova_2023_biopsy/abramova_2023_biopsy_data_calculations.xlsx, Table1_Extract, source row 18</x:v>
      </x:c>
      <x:c r="M181" s="43" t="str"/>
      <x:c r="N181" s="43" t="str"/>
      <x:c r="O181" s="43" t="str">
        <x:v>Not calculated here: median (Q1; Q3) reported; estimation is deferred to reproducible R data wrangling</x:v>
      </x:c>
      <x:c r="P181" s="43" t="str">
        <x:v>included_studies/abramova_2023_biopsy/abramova_2023_biopsy_data_calculations.xlsx, Table1_Extract, source row 18</x:v>
      </x:c>
    </x:row>
    <x:row r="182">
      <x:c r="A182" s="43" t="str">
        <x:v>182</x:v>
      </x:c>
      <x:c r="B182" s="43" t="str">
        <x:v>abramova_2023_biopsy</x:v>
      </x:c>
      <x:c r="C182" s="43" t="str">
        <x:v>es181</x:v>
      </x:c>
      <x:c r="D182" s="43" t="str">
        <x:v>female</x:v>
      </x:c>
      <x:c r="E182" s="43" t="str">
        <x:v>Total time in light</x:v>
      </x:c>
      <x:c r="F182" s="43" t="str">
        <x:v>Analysis decision required</x:v>
      </x:c>
      <x:c r="G182" s="43" t="str">
        <x:v>7 – Abramova 2023 identifiers and units</x:v>
      </x:c>
      <x:c r="H18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2" s="43" t="str"/>
      <x:c r="J182" s="43" t="str"/>
      <x:c r="K182" s="43" t="str">
        <x:v>Not calculated here: median (Q1; Q3) reported; estimation is deferred to reproducible R data wrangling</x:v>
      </x:c>
      <x:c r="L182" s="43" t="str">
        <x:v>included_studies/abramova_2023_biopsy/abramova_2023_biopsy_data_calculations.xlsx, Table1_Extract, source row 19</x:v>
      </x:c>
      <x:c r="M182" s="43" t="str"/>
      <x:c r="N182" s="43" t="str"/>
      <x:c r="O182" s="43" t="str">
        <x:v>Not calculated here: median (Q1; Q3) reported; estimation is deferred to reproducible R data wrangling</x:v>
      </x:c>
      <x:c r="P182" s="43" t="str">
        <x:v>included_studies/abramova_2023_biopsy/abramova_2023_biopsy_data_calculations.xlsx, Table1_Extract, source row 19</x:v>
      </x:c>
    </x:row>
    <x:row r="183">
      <x:c r="A183" s="43" t="str">
        <x:v>183</x:v>
      </x:c>
      <x:c r="B183" s="43" t="str">
        <x:v>abramova_2023_biopsy</x:v>
      </x:c>
      <x:c r="C183" s="43" t="str">
        <x:v>es182</x:v>
      </x:c>
      <x:c r="D183" s="43" t="str">
        <x:v>male</x:v>
      </x:c>
      <x:c r="E183" s="43" t="str">
        <x:v>Center entries (crossing)</x:v>
      </x:c>
      <x:c r="F183" s="43" t="str">
        <x:v>Corrected transcription</x:v>
      </x:c>
      <x:c r="G183" s="43" t="str">
        <x:v>7 – Abramova 2023 identifiers and units</x:v>
      </x:c>
      <x:c r="H18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3" s="43" t="str">
        <x:v>1.0</x:v>
      </x:c>
      <x:c r="J183" s="43" t="str">
        <x:v>1.0</x:v>
      </x:c>
      <x:c r="K183" s="43" t="str">
        <x:v>Reported SEM; used unchanged for analysis</x:v>
      </x:c>
      <x:c r="L183" s="43" t="str">
        <x:v>included_studies/abramova_2023_biopsy/abramova_2023_biopsy_data_calculations.xlsx, Table1_Extract, source row 20</x:v>
      </x:c>
      <x:c r="M183" s="43" t="str">
        <x:v>0.8</x:v>
      </x:c>
      <x:c r="N183" s="43" t="str">
        <x:v>0.8</x:v>
      </x:c>
      <x:c r="O183" s="43" t="str">
        <x:v>Reported SEM; used unchanged for analysis</x:v>
      </x:c>
      <x:c r="P183" s="43" t="str">
        <x:v>included_studies/abramova_2023_biopsy/abramova_2023_biopsy_data_calculations.xlsx, Table1_Extract, source row 20</x:v>
      </x:c>
    </x:row>
    <x:row r="184">
      <x:c r="A184" s="43" t="str">
        <x:v>184</x:v>
      </x:c>
      <x:c r="B184" s="43" t="str">
        <x:v>abramova_2023_biopsy</x:v>
      </x:c>
      <x:c r="C184" s="43" t="str">
        <x:v>es183</x:v>
      </x:c>
      <x:c r="D184" s="43" t="str">
        <x:v>female</x:v>
      </x:c>
      <x:c r="E184" s="43" t="str">
        <x:v>Center entries (crossing)</x:v>
      </x:c>
      <x:c r="F184" s="43" t="str">
        <x:v>Corrected transcription</x:v>
      </x:c>
      <x:c r="G184" s="43" t="str">
        <x:v>7 – Abramova 2023 identifiers and units</x:v>
      </x:c>
      <x:c r="H18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4" s="43" t="str">
        <x:v>0.62</x:v>
      </x:c>
      <x:c r="J184" s="43" t="str">
        <x:v>0.62</x:v>
      </x:c>
      <x:c r="K184" s="43" t="str">
        <x:v>Reported SEM; used unchanged for analysis</x:v>
      </x:c>
      <x:c r="L184" s="43" t="str">
        <x:v>included_studies/abramova_2023_biopsy/abramova_2023_biopsy_data_calculations.xlsx, Table1_Extract, source row 21</x:v>
      </x:c>
      <x:c r="M184" s="43" t="str">
        <x:v>0.7</x:v>
      </x:c>
      <x:c r="N184" s="43" t="str">
        <x:v>0.7</x:v>
      </x:c>
      <x:c r="O184" s="43" t="str">
        <x:v>Reported SEM; used unchanged for analysis</x:v>
      </x:c>
      <x:c r="P184" s="43" t="str">
        <x:v>included_studies/abramova_2023_biopsy/abramova_2023_biopsy_data_calculations.xlsx, Table1_Extract, source row 21</x:v>
      </x:c>
    </x:row>
    <x:row r="185">
      <x:c r="A185" s="43" t="str">
        <x:v>185</x:v>
      </x:c>
      <x:c r="B185" s="43" t="str">
        <x:v>abramova_2023_biopsy</x:v>
      </x:c>
      <x:c r="C185" s="43" t="str">
        <x:v>es184</x:v>
      </x:c>
      <x:c r="D185" s="43" t="str">
        <x:v>male</x:v>
      </x:c>
      <x:c r="E185" s="43" t="str">
        <x:v>Head-out inspections</x:v>
      </x:c>
      <x:c r="F185" s="43" t="str">
        <x:v>Analysis decision required</x:v>
      </x:c>
      <x:c r="G185" s="43" t="str">
        <x:v>7 – Abramova 2023 identifiers and units</x:v>
      </x:c>
      <x:c r="H18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5" s="43" t="str"/>
      <x:c r="J185" s="43" t="str"/>
      <x:c r="K185" s="43" t="str">
        <x:v>Not calculated here: median (Q1; Q3) reported; estimation is deferred to reproducible R data wrangling</x:v>
      </x:c>
      <x:c r="L185" s="43" t="str">
        <x:v>included_studies/abramova_2023_biopsy/abramova_2023_biopsy_data_calculations.xlsx, Table1_Extract, source row 22</x:v>
      </x:c>
      <x:c r="M185" s="43" t="str"/>
      <x:c r="N185" s="43" t="str"/>
      <x:c r="O185" s="43" t="str">
        <x:v>Not calculated here: median (Q1; Q3) reported; estimation is deferred to reproducible R data wrangling</x:v>
      </x:c>
      <x:c r="P185" s="43" t="str">
        <x:v>included_studies/abramova_2023_biopsy/abramova_2023_biopsy_data_calculations.xlsx, Table1_Extract, source row 22</x:v>
      </x:c>
    </x:row>
    <x:row r="186">
      <x:c r="A186" s="43" t="str">
        <x:v>186</x:v>
      </x:c>
      <x:c r="B186" s="43" t="str">
        <x:v>abramova_2023_biopsy</x:v>
      </x:c>
      <x:c r="C186" s="43" t="str">
        <x:v>es185</x:v>
      </x:c>
      <x:c r="D186" s="43" t="str">
        <x:v>female</x:v>
      </x:c>
      <x:c r="E186" s="43" t="str">
        <x:v>Head-out inspections</x:v>
      </x:c>
      <x:c r="F186" s="43" t="str">
        <x:v>Analysis decision required</x:v>
      </x:c>
      <x:c r="G186" s="43" t="str">
        <x:v>7 – Abramova 2023 identifiers and units</x:v>
      </x:c>
      <x:c r="H18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6" s="43" t="str"/>
      <x:c r="J186" s="43" t="str"/>
      <x:c r="K186" s="43" t="str">
        <x:v>Not calculated here: median (Q1; Q3) reported; estimation is deferred to reproducible R data wrangling</x:v>
      </x:c>
      <x:c r="L186" s="43" t="str">
        <x:v>included_studies/abramova_2023_biopsy/abramova_2023_biopsy_data_calculations.xlsx, Table1_Extract, source row 23</x:v>
      </x:c>
      <x:c r="M186" s="43" t="str"/>
      <x:c r="N186" s="43" t="str"/>
      <x:c r="O186" s="43" t="str">
        <x:v>Not calculated here: median (Q1; Q3) reported; estimation is deferred to reproducible R data wrangling</x:v>
      </x:c>
      <x:c r="P186" s="43" t="str">
        <x:v>included_studies/abramova_2023_biopsy/abramova_2023_biopsy_data_calculations.xlsx, Table1_Extract, source row 23</x:v>
      </x:c>
    </x:row>
    <x:row r="187">
      <x:c r="A187" s="43" t="str">
        <x:v>187</x:v>
      </x:c>
      <x:c r="B187" s="43" t="str">
        <x:v>abramova_2023_biopsy</x:v>
      </x:c>
      <x:c r="C187" s="43" t="str">
        <x:v>es186</x:v>
      </x:c>
      <x:c r="D187" s="43" t="str">
        <x:v>male</x:v>
      </x:c>
      <x:c r="E187" s="43" t="str">
        <x:v>Overhangs</x:v>
      </x:c>
      <x:c r="F187" s="43" t="str">
        <x:v>Corrected transcription</x:v>
      </x:c>
      <x:c r="G187" s="43" t="str">
        <x:v>7 – Abramova 2023 identifiers and units</x:v>
      </x:c>
      <x:c r="H18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7" s="43" t="str">
        <x:v>1.5</x:v>
      </x:c>
      <x:c r="J187" s="43" t="str">
        <x:v>1.5</x:v>
      </x:c>
      <x:c r="K187" s="43" t="str">
        <x:v>Reported SEM; used unchanged for analysis</x:v>
      </x:c>
      <x:c r="L187" s="43" t="str">
        <x:v>included_studies/abramova_2023_biopsy/abramova_2023_biopsy_data_calculations.xlsx, Table1_Extract, source row 24</x:v>
      </x:c>
      <x:c r="M187" s="43" t="str">
        <x:v>2.3</x:v>
      </x:c>
      <x:c r="N187" s="43" t="str">
        <x:v>2.3</x:v>
      </x:c>
      <x:c r="O187" s="43" t="str">
        <x:v>Reported SEM; used unchanged for analysis</x:v>
      </x:c>
      <x:c r="P187" s="43" t="str">
        <x:v>included_studies/abramova_2023_biopsy/abramova_2023_biopsy_data_calculations.xlsx, Table1_Extract, source row 24</x:v>
      </x:c>
    </x:row>
    <x:row r="188">
      <x:c r="A188" s="43" t="str">
        <x:v>188</x:v>
      </x:c>
      <x:c r="B188" s="43" t="str">
        <x:v>abramova_2023_biopsy</x:v>
      </x:c>
      <x:c r="C188" s="43" t="str">
        <x:v>es187</x:v>
      </x:c>
      <x:c r="D188" s="43" t="str">
        <x:v>female</x:v>
      </x:c>
      <x:c r="E188" s="43" t="str">
        <x:v>Overhangs</x:v>
      </x:c>
      <x:c r="F188" s="43" t="str">
        <x:v>Corrected transcription</x:v>
      </x:c>
      <x:c r="G188" s="43" t="str">
        <x:v>7 – Abramova 2023 identifiers and units</x:v>
      </x:c>
      <x:c r="H18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8" s="43" t="str">
        <x:v>1.2</x:v>
      </x:c>
      <x:c r="J188" s="43" t="str">
        <x:v>1.2</x:v>
      </x:c>
      <x:c r="K188" s="43" t="str">
        <x:v>Reported SEM; used unchanged for analysis</x:v>
      </x:c>
      <x:c r="L188" s="43" t="str">
        <x:v>included_studies/abramova_2023_biopsy/abramova_2023_biopsy_data_calculations.xlsx, Table1_Extract, source row 25</x:v>
      </x:c>
      <x:c r="M188" s="43" t="str">
        <x:v>1.7</x:v>
      </x:c>
      <x:c r="N188" s="43" t="str">
        <x:v>1.7</x:v>
      </x:c>
      <x:c r="O188" s="43" t="str">
        <x:v>Reported SEM; used unchanged for analysis</x:v>
      </x:c>
      <x:c r="P188" s="43" t="str">
        <x:v>included_studies/abramova_2023_biopsy/abramova_2023_biopsy_data_calculations.xlsx, Table1_Extract, source row 25</x:v>
      </x:c>
    </x:row>
    <x:row r="189">
      <x:c r="A189" s="43" t="str">
        <x:v>189</x:v>
      </x:c>
      <x:c r="B189" s="43" t="str">
        <x:v>abramova_2023_biopsy</x:v>
      </x:c>
      <x:c r="C189" s="43" t="str">
        <x:v>es188</x:v>
      </x:c>
      <x:c r="D189" s="43" t="str">
        <x:v>male</x:v>
      </x:c>
      <x:c r="E189" s="43" t="str">
        <x:v>Rearing frequency</x:v>
      </x:c>
      <x:c r="F189" s="43" t="str">
        <x:v>Corrected transcription</x:v>
      </x:c>
      <x:c r="G189" s="43" t="str">
        <x:v>7 – Abramova 2023 identifiers and units</x:v>
      </x:c>
      <x:c r="H18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9" s="43" t="str">
        <x:v>1.8</x:v>
      </x:c>
      <x:c r="J189" s="43" t="str">
        <x:v>1.8</x:v>
      </x:c>
      <x:c r="K189" s="43" t="str">
        <x:v>Reported SEM; used unchanged for analysis</x:v>
      </x:c>
      <x:c r="L189" s="43" t="str">
        <x:v>included_studies/abramova_2023_biopsy/abramova_2023_biopsy_data_calculations.xlsx, Table1_Extract, source row 26</x:v>
      </x:c>
      <x:c r="M189" s="43" t="str">
        <x:v>1.3</x:v>
      </x:c>
      <x:c r="N189" s="43" t="str">
        <x:v>1.3</x:v>
      </x:c>
      <x:c r="O189" s="43" t="str">
        <x:v>Reported SEM; used unchanged for analysis</x:v>
      </x:c>
      <x:c r="P189" s="43" t="str">
        <x:v>included_studies/abramova_2023_biopsy/abramova_2023_biopsy_data_calculations.xlsx, Table1_Extract, source row 26</x:v>
      </x:c>
    </x:row>
    <x:row r="190">
      <x:c r="A190" s="43" t="str">
        <x:v>190</x:v>
      </x:c>
      <x:c r="B190" s="43" t="str">
        <x:v>abramova_2023_biopsy</x:v>
      </x:c>
      <x:c r="C190" s="43" t="str">
        <x:v>es189</x:v>
      </x:c>
      <x:c r="D190" s="43" t="str">
        <x:v>female</x:v>
      </x:c>
      <x:c r="E190" s="43" t="str">
        <x:v>Rearing frequency</x:v>
      </x:c>
      <x:c r="F190" s="43" t="str">
        <x:v>Corrected transcription</x:v>
      </x:c>
      <x:c r="G190" s="43" t="str">
        <x:v>7 – Abramova 2023 identifiers and units</x:v>
      </x:c>
      <x:c r="H19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0" s="43" t="str">
        <x:v>1.3</x:v>
      </x:c>
      <x:c r="J190" s="43" t="str">
        <x:v>1.3</x:v>
      </x:c>
      <x:c r="K190" s="43" t="str">
        <x:v>Reported SEM; used unchanged for analysis</x:v>
      </x:c>
      <x:c r="L190" s="43" t="str">
        <x:v>included_studies/abramova_2023_biopsy/abramova_2023_biopsy_data_calculations.xlsx, Table1_Extract, source row 27</x:v>
      </x:c>
      <x:c r="M190" s="43" t="str">
        <x:v>1.4</x:v>
      </x:c>
      <x:c r="N190" s="43" t="str">
        <x:v>1.4</x:v>
      </x:c>
      <x:c r="O190" s="43" t="str">
        <x:v>Reported SEM; used unchanged for analysis</x:v>
      </x:c>
      <x:c r="P190" s="43" t="str">
        <x:v>included_studies/abramova_2023_biopsy/abramova_2023_biopsy_data_calculations.xlsx, Table1_Extract, source row 27</x:v>
      </x:c>
    </x:row>
    <x:row r="191">
      <x:c r="A191" s="43" t="str">
        <x:v>191</x:v>
      </x:c>
      <x:c r="B191" s="43" t="str">
        <x:v>abramova_2023_biopsy</x:v>
      </x:c>
      <x:c r="C191" s="43" t="str">
        <x:v>es190</x:v>
      </x:c>
      <x:c r="D191" s="43" t="str">
        <x:v>male</x:v>
      </x:c>
      <x:c r="E191" s="43" t="str">
        <x:v>Total freezing time</x:v>
      </x:c>
      <x:c r="F191" s="43" t="str">
        <x:v>Analysis decision required</x:v>
      </x:c>
      <x:c r="G191" s="43" t="str">
        <x:v>7 – Abramova 2023 identifiers and units</x:v>
      </x:c>
      <x:c r="H19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1" s="43" t="str"/>
      <x:c r="J191" s="43" t="str"/>
      <x:c r="K191" s="43" t="str">
        <x:v>Not calculated here: median (Q1; Q3) reported; estimation is deferred to reproducible R data wrangling</x:v>
      </x:c>
      <x:c r="L191" s="43" t="str">
        <x:v>included_studies/abramova_2023_biopsy/abramova_2023_biopsy_data_calculations.xlsx, Table1_Extract, source row 28</x:v>
      </x:c>
      <x:c r="M191" s="43" t="str"/>
      <x:c r="N191" s="43" t="str"/>
      <x:c r="O191" s="43" t="str">
        <x:v>Not calculated here: median (Q1; Q3) reported; estimation is deferred to reproducible R data wrangling</x:v>
      </x:c>
      <x:c r="P191" s="43" t="str">
        <x:v>included_studies/abramova_2023_biopsy/abramova_2023_biopsy_data_calculations.xlsx, Table1_Extract, source row 28</x:v>
      </x:c>
    </x:row>
    <x:row r="192">
      <x:c r="A192" s="43" t="str">
        <x:v>192</x:v>
      </x:c>
      <x:c r="B192" s="43" t="str">
        <x:v>abramova_2023_biopsy</x:v>
      </x:c>
      <x:c r="C192" s="43" t="str">
        <x:v>es191</x:v>
      </x:c>
      <x:c r="D192" s="43" t="str">
        <x:v>female</x:v>
      </x:c>
      <x:c r="E192" s="43" t="str">
        <x:v>Total freezing time</x:v>
      </x:c>
      <x:c r="F192" s="43" t="str">
        <x:v>Analysis decision required</x:v>
      </x:c>
      <x:c r="G192" s="43" t="str">
        <x:v>7 – Abramova 2023 identifiers and units</x:v>
      </x:c>
      <x:c r="H19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2" s="43" t="str"/>
      <x:c r="J192" s="43" t="str"/>
      <x:c r="K192" s="43" t="str">
        <x:v>Not calculated here: median (Q1; Q3) reported; estimation is deferred to reproducible R data wrangling</x:v>
      </x:c>
      <x:c r="L192" s="43" t="str">
        <x:v>included_studies/abramova_2023_biopsy/abramova_2023_biopsy_data_calculations.xlsx, Table1_Extract, source row 29</x:v>
      </x:c>
      <x:c r="M192" s="43" t="str"/>
      <x:c r="N192" s="43" t="str"/>
      <x:c r="O192" s="43" t="str">
        <x:v>Not calculated here: median (Q1; Q3) reported; estimation is deferred to reproducible R data wrangling</x:v>
      </x:c>
      <x:c r="P192" s="43" t="str">
        <x:v>included_studies/abramova_2023_biopsy/abramova_2023_biopsy_data_calculations.xlsx, Table1_Extract, source row 29</x:v>
      </x:c>
    </x:row>
    <x:row r="193">
      <x:c r="A193" s="43" t="str">
        <x:v>193</x:v>
      </x:c>
      <x:c r="B193" s="43" t="str">
        <x:v>abramova_2023_biopsy</x:v>
      </x:c>
      <x:c r="C193" s="43" t="str">
        <x:v>es192</x:v>
      </x:c>
      <x:c r="D193" s="43" t="str">
        <x:v>male</x:v>
      </x:c>
      <x:c r="E193" s="43" t="str">
        <x:v>Total grooming time</x:v>
      </x:c>
      <x:c r="F193" s="43" t="str">
        <x:v>Corrected transcription</x:v>
      </x:c>
      <x:c r="G193" s="43" t="str">
        <x:v>7 – Abramova 2023 identifiers and units</x:v>
      </x:c>
      <x:c r="H19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3" s="43" t="str">
        <x:v>6.9</x:v>
      </x:c>
      <x:c r="J193" s="43" t="str">
        <x:v>6.9</x:v>
      </x:c>
      <x:c r="K193" s="43" t="str">
        <x:v>Reported SEM; used unchanged for analysis</x:v>
      </x:c>
      <x:c r="L193" s="43" t="str">
        <x:v>included_studies/abramova_2023_biopsy/abramova_2023_biopsy_data_calculations.xlsx, Table1_Extract, source row 30</x:v>
      </x:c>
      <x:c r="M193" s="43" t="str">
        <x:v>6.6</x:v>
      </x:c>
      <x:c r="N193" s="43" t="str">
        <x:v>6.6</x:v>
      </x:c>
      <x:c r="O193" s="43" t="str">
        <x:v>Reported SEM; used unchanged for analysis</x:v>
      </x:c>
      <x:c r="P193" s="43" t="str">
        <x:v>included_studies/abramova_2023_biopsy/abramova_2023_biopsy_data_calculations.xlsx, Table1_Extract, source row 30</x:v>
      </x:c>
    </x:row>
    <x:row r="194">
      <x:c r="A194" s="43" t="str">
        <x:v>194</x:v>
      </x:c>
      <x:c r="B194" s="43" t="str">
        <x:v>abramova_2023_biopsy</x:v>
      </x:c>
      <x:c r="C194" s="43" t="str">
        <x:v>es193</x:v>
      </x:c>
      <x:c r="D194" s="43" t="str">
        <x:v>female</x:v>
      </x:c>
      <x:c r="E194" s="43" t="str">
        <x:v>Total grooming time</x:v>
      </x:c>
      <x:c r="F194" s="43" t="str">
        <x:v>Corrected transcription</x:v>
      </x:c>
      <x:c r="G194" s="43" t="str">
        <x:v>7 – Abramova 2023 identifiers and units</x:v>
      </x:c>
      <x:c r="H19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4" s="43" t="str">
        <x:v>4.7</x:v>
      </x:c>
      <x:c r="J194" s="43" t="str">
        <x:v>4.7</x:v>
      </x:c>
      <x:c r="K194" s="43" t="str">
        <x:v>Reported SEM; used unchanged for analysis</x:v>
      </x:c>
      <x:c r="L194" s="43" t="str">
        <x:v>included_studies/abramova_2023_biopsy/abramova_2023_biopsy_data_calculations.xlsx, Table1_Extract, source row 31</x:v>
      </x:c>
      <x:c r="M194" s="43" t="str">
        <x:v>10.1</x:v>
      </x:c>
      <x:c r="N194" s="43" t="str">
        <x:v>10.1</x:v>
      </x:c>
      <x:c r="O194" s="43" t="str">
        <x:v>Reported SEM; used unchanged for analysis</x:v>
      </x:c>
      <x:c r="P194" s="43" t="str">
        <x:v>included_studies/abramova_2023_biopsy/abramova_2023_biopsy_data_calculations.xlsx, Table1_Extract, source row 31</x:v>
      </x:c>
    </x:row>
    <x:row r="195">
      <x:c r="A195" s="43" t="str">
        <x:v>195</x:v>
      </x:c>
      <x:c r="B195" s="43" t="str">
        <x:v>abramova_2023_biopsy</x:v>
      </x:c>
      <x:c r="C195" s="43" t="str">
        <x:v>es194</x:v>
      </x:c>
      <x:c r="D195" s="43" t="str">
        <x:v>male</x:v>
      </x:c>
      <x:c r="E195" s="43" t="str">
        <x:v>Grooming frequency</x:v>
      </x:c>
      <x:c r="F195" s="43" t="str">
        <x:v>Analysis decision required</x:v>
      </x:c>
      <x:c r="G195" s="43" t="str">
        <x:v>7 – Abramova 2023 identifiers and units</x:v>
      </x:c>
      <x:c r="H19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5" s="43" t="str"/>
      <x:c r="J195" s="43" t="str"/>
      <x:c r="K195" s="43" t="str">
        <x:v>Not calculated here: median (Q1; Q3) reported; estimation is deferred to reproducible R data wrangling</x:v>
      </x:c>
      <x:c r="L195" s="43" t="str">
        <x:v>included_studies/abramova_2023_biopsy/abramova_2023_biopsy_data_calculations.xlsx, Table1_Extract, source row 32</x:v>
      </x:c>
      <x:c r="M195" s="43" t="str"/>
      <x:c r="N195" s="43" t="str"/>
      <x:c r="O195" s="43" t="str">
        <x:v>Not calculated here: median (Q1; Q3) reported; estimation is deferred to reproducible R data wrangling</x:v>
      </x:c>
      <x:c r="P195" s="43" t="str">
        <x:v>included_studies/abramova_2023_biopsy/abramova_2023_biopsy_data_calculations.xlsx, Table1_Extract, source row 32</x:v>
      </x:c>
    </x:row>
    <x:row r="196">
      <x:c r="A196" s="43" t="str">
        <x:v>196</x:v>
      </x:c>
      <x:c r="B196" s="43" t="str">
        <x:v>abramova_2023_biopsy</x:v>
      </x:c>
      <x:c r="C196" s="43" t="str">
        <x:v>es195</x:v>
      </x:c>
      <x:c r="D196" s="43" t="str">
        <x:v>female</x:v>
      </x:c>
      <x:c r="E196" s="43" t="str">
        <x:v>Grooming frequency</x:v>
      </x:c>
      <x:c r="F196" s="43" t="str">
        <x:v>Analysis decision required</x:v>
      </x:c>
      <x:c r="G196" s="43" t="str">
        <x:v>7 – Abramova 2023 identifiers and units</x:v>
      </x:c>
      <x:c r="H19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6" s="43" t="str"/>
      <x:c r="J196" s="43" t="str"/>
      <x:c r="K196" s="43" t="str">
        <x:v>Not calculated here: median (Q1; Q3) reported; estimation is deferred to reproducible R data wrangling</x:v>
      </x:c>
      <x:c r="L196" s="43" t="str">
        <x:v>included_studies/abramova_2023_biopsy/abramova_2023_biopsy_data_calculations.xlsx, Table1_Extract, source row 33</x:v>
      </x:c>
      <x:c r="M196" s="43" t="str"/>
      <x:c r="N196" s="43" t="str"/>
      <x:c r="O196" s="43" t="str">
        <x:v>Not calculated here: median (Q1; Q3) reported; estimation is deferred to reproducible R data wrangling</x:v>
      </x:c>
      <x:c r="P196" s="43" t="str">
        <x:v>included_studies/abramova_2023_biopsy/abramova_2023_biopsy_data_calculations.xlsx, Table1_Extract, source row 33</x:v>
      </x:c>
    </x:row>
    <x:row r="197">
      <x:c r="A197" s="43" t="str">
        <x:v>197</x:v>
      </x:c>
      <x:c r="B197" s="43" t="str">
        <x:v>abramova_2023_biopsy</x:v>
      </x:c>
      <x:c r="C197" s="43" t="str">
        <x:v>es196</x:v>
      </x:c>
      <x:c r="D197" s="43" t="str">
        <x:v>male</x:v>
      </x:c>
      <x:c r="E197" s="43" t="str">
        <x:v>Mean grooming duration</x:v>
      </x:c>
      <x:c r="F197" s="43" t="str">
        <x:v>Corrected transcription</x:v>
      </x:c>
      <x:c r="G197" s="43" t="str">
        <x:v>7 – Abramova 2023 identifiers and units</x:v>
      </x:c>
      <x:c r="H19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c r="I197" s="43" t="str">
        <x:v>1.8</x:v>
      </x:c>
      <x:c r="J197" s="43" t="str">
        <x:v>1.8</x:v>
      </x:c>
      <x:c r="K197" s="43" t="str">
        <x:v>Reported SEM; used unchanged for analysis</x:v>
      </x:c>
      <x:c r="L197" s="43" t="str">
        <x:v>included_studies/abramova_2023_biopsy/abramova_2023_biopsy_data_calculations.xlsx, Table1_Extract, source row 34</x:v>
      </x:c>
      <x:c r="M197" s="43" t="str">
        <x:v>4.8</x:v>
      </x:c>
      <x:c r="N197" s="43" t="str">
        <x:v>4.8</x:v>
      </x:c>
      <x:c r="O197" s="43" t="str">
        <x:v>Reported SEM; used unchanged for analysis</x:v>
      </x:c>
      <x:c r="P197" s="43" t="str">
        <x:v>included_studies/abramova_2023_biopsy/abramova_2023_biopsy_data_calculations.xlsx, Table1_Extract, source row 34</x:v>
      </x:c>
    </x:row>
    <x:row r="198">
      <x:c r="A198" s="43" t="str">
        <x:v>198</x:v>
      </x:c>
      <x:c r="B198" s="43" t="str">
        <x:v>abramova_2023_biopsy</x:v>
      </x:c>
      <x:c r="C198" s="43" t="str">
        <x:v>es197</x:v>
      </x:c>
      <x:c r="D198" s="43" t="str">
        <x:v>female</x:v>
      </x:c>
      <x:c r="E198" s="43" t="str">
        <x:v>Mean grooming duration</x:v>
      </x:c>
      <x:c r="F198" s="43" t="str">
        <x:v>Corrected transcription</x:v>
      </x:c>
      <x:c r="G198" s="43" t="str">
        <x:v>7 – Abramova 2023 identifiers and units</x:v>
      </x:c>
      <x:c r="H19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c r="I198" s="43" t="str">
        <x:v>0.9</x:v>
      </x:c>
      <x:c r="J198" s="43" t="str">
        <x:v>0.9</x:v>
      </x:c>
      <x:c r="K198" s="43" t="str">
        <x:v>Reported SEM; used unchanged for analysis</x:v>
      </x:c>
      <x:c r="L198" s="43" t="str">
        <x:v>included_studies/abramova_2023_biopsy/abramova_2023_biopsy_data_calculations.xlsx, Table1_Extract, source row 35</x:v>
      </x:c>
      <x:c r="M198" s="43" t="str">
        <x:v>2.9</x:v>
      </x:c>
      <x:c r="N198" s="43" t="str">
        <x:v>2.9</x:v>
      </x:c>
      <x:c r="O198" s="43" t="str">
        <x:v>Reported SEM; used unchanged for analysis</x:v>
      </x:c>
      <x:c r="P198" s="43" t="str">
        <x:v>included_studies/abramova_2023_biopsy/abramova_2023_biopsy_data_calculations.xlsx, Table1_Extract, source row 35</x:v>
      </x:c>
    </x:row>
    <x:row r="199">
      <x:c r="A199" s="43" t="str">
        <x:v>199</x:v>
      </x:c>
      <x:c r="B199" s="43" t="str">
        <x:v>abramova_2023_biopsy</x:v>
      </x:c>
      <x:c r="C199" s="43" t="str">
        <x:v>es198</x:v>
      </x:c>
      <x:c r="D199" s="43" t="str">
        <x:v>male</x:v>
      </x:c>
      <x:c r="E199" s="43" t="str">
        <x:v>Sucrose preference index</x:v>
      </x:c>
      <x:c r="F199" s="43" t="str">
        <x:v>Corrected transcription</x:v>
      </x:c>
      <x:c r="G199" s="43" t="str">
        <x:v>7 – Abramova 2023 identifiers and units</x:v>
      </x:c>
      <x:c r="H19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9" s="43" t="str">
        <x:v>5.8</x:v>
      </x:c>
      <x:c r="J199" s="43" t="str">
        <x:v>5.8</x:v>
      </x:c>
      <x:c r="K199" s="43" t="str">
        <x:v>Reported SEM; used unchanged for analysis</x:v>
      </x:c>
      <x:c r="L199" s="43" t="str">
        <x:v>included_studies/abramova_2023_biopsy/abramova_2023_biopsy_data_calculations.xlsx, Table1_Extract, source row 36</x:v>
      </x:c>
      <x:c r="M199" s="43" t="str">
        <x:v>4.4</x:v>
      </x:c>
      <x:c r="N199" s="43" t="str">
        <x:v>4.4</x:v>
      </x:c>
      <x:c r="O199" s="43" t="str">
        <x:v>Reported SEM; used unchanged for analysis</x:v>
      </x:c>
      <x:c r="P199" s="43" t="str">
        <x:v>included_studies/abramova_2023_biopsy/abramova_2023_biopsy_data_calculations.xlsx, Table1_Extract, source row 36</x:v>
      </x:c>
    </x:row>
    <x:row r="200">
      <x:c r="A200" s="43" t="str">
        <x:v>200</x:v>
      </x:c>
      <x:c r="B200" s="43" t="str">
        <x:v>abramova_2023_biopsy</x:v>
      </x:c>
      <x:c r="C200" s="43" t="str">
        <x:v>es199</x:v>
      </x:c>
      <x:c r="D200" s="43" t="str">
        <x:v>female</x:v>
      </x:c>
      <x:c r="E200" s="43" t="str">
        <x:v>Sucrose preference index</x:v>
      </x:c>
      <x:c r="F200" s="43" t="str">
        <x:v>Corrected transcription</x:v>
      </x:c>
      <x:c r="G200" s="43" t="str">
        <x:v>7 – Abramova 2023 identifiers and units</x:v>
      </x:c>
      <x:c r="H20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0" s="43" t="str">
        <x:v>6.7</x:v>
      </x:c>
      <x:c r="J200" s="43" t="str">
        <x:v>6.7</x:v>
      </x:c>
      <x:c r="K200" s="43" t="str">
        <x:v>Reported SEM; used unchanged for analysis</x:v>
      </x:c>
      <x:c r="L200" s="43" t="str">
        <x:v>included_studies/abramova_2023_biopsy/abramova_2023_biopsy_data_calculations.xlsx, Table1_Extract, source row 37</x:v>
      </x:c>
      <x:c r="M200" s="43" t="str">
        <x:v>4.0</x:v>
      </x:c>
      <x:c r="N200" s="43" t="str">
        <x:v>4.0</x:v>
      </x:c>
      <x:c r="O200" s="43" t="str">
        <x:v>Reported SEM; used unchanged for analysis</x:v>
      </x:c>
      <x:c r="P200" s="43" t="str">
        <x:v>included_studies/abramova_2023_biopsy/abramova_2023_biopsy_data_calculations.xlsx, Table1_Extract, source row 37</x:v>
      </x:c>
    </x:row>
    <x:row r="201">
      <x:c r="A201" s="43" t="str">
        <x:v>201</x:v>
      </x:c>
      <x:c r="B201" s="43" t="str">
        <x:v>abramova_2023_biopsy</x:v>
      </x:c>
      <x:c r="C201" s="43" t="str">
        <x:v>es200</x:v>
      </x:c>
      <x:c r="D201" s="43" t="str">
        <x:v>male</x:v>
      </x:c>
      <x:c r="E201" s="43" t="str">
        <x:v>Total immobility time</x:v>
      </x:c>
      <x:c r="F201" s="43" t="str">
        <x:v>Analysis decision required</x:v>
      </x:c>
      <x:c r="G201" s="43" t="str">
        <x:v>7 – Abramova 2023 identifiers and units</x:v>
      </x:c>
      <x:c r="H20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1" s="43" t="str"/>
      <x:c r="J201" s="43" t="str"/>
      <x:c r="K201" s="43" t="str">
        <x:v>Not calculated here: median (Q1; Q3) reported; estimation is deferred to reproducible R data wrangling</x:v>
      </x:c>
      <x:c r="L201" s="43" t="str">
        <x:v>included_studies/abramova_2023_biopsy/abramova_2023_biopsy_data_calculations.xlsx, Table1_Extract, source row 38</x:v>
      </x:c>
      <x:c r="M201" s="43" t="str"/>
      <x:c r="N201" s="43" t="str"/>
      <x:c r="O201" s="43" t="str">
        <x:v>Not calculated here: median (Q1; Q3) reported; estimation is deferred to reproducible R data wrangling</x:v>
      </x:c>
      <x:c r="P201" s="43" t="str">
        <x:v>included_studies/abramova_2023_biopsy/abramova_2023_biopsy_data_calculations.xlsx, Table1_Extract, source row 38</x:v>
      </x:c>
    </x:row>
    <x:row r="202">
      <x:c r="A202" s="43" t="str">
        <x:v>202</x:v>
      </x:c>
      <x:c r="B202" s="43" t="str">
        <x:v>abramova_2023_biopsy</x:v>
      </x:c>
      <x:c r="C202" s="43" t="str">
        <x:v>es201</x:v>
      </x:c>
      <x:c r="D202" s="43" t="str">
        <x:v>female</x:v>
      </x:c>
      <x:c r="E202" s="43" t="str">
        <x:v>Total immobility time</x:v>
      </x:c>
      <x:c r="F202" s="43" t="str">
        <x:v>Analysis decision required</x:v>
      </x:c>
      <x:c r="G202" s="43" t="str">
        <x:v>7 – Abramova 2023 identifiers and units</x:v>
      </x:c>
      <x:c r="H20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2" s="43" t="str"/>
      <x:c r="J202" s="43" t="str"/>
      <x:c r="K202" s="43" t="str">
        <x:v>Not calculated here: median (Q1; Q3) reported; estimation is deferred to reproducible R data wrangling</x:v>
      </x:c>
      <x:c r="L202" s="43" t="str">
        <x:v>included_studies/abramova_2023_biopsy/abramova_2023_biopsy_data_calculations.xlsx, Table1_Extract, source row 39</x:v>
      </x:c>
      <x:c r="M202" s="43" t="str"/>
      <x:c r="N202" s="43" t="str"/>
      <x:c r="O202" s="43" t="str">
        <x:v>Not calculated here: median (Q1; Q3) reported; estimation is deferred to reproducible R data wrangling</x:v>
      </x:c>
      <x:c r="P202" s="43" t="str">
        <x:v>included_studies/abramova_2023_biopsy/abramova_2023_biopsy_data_calculations.xlsx, Table1_Extract, source row 39</x:v>
      </x:c>
    </x:row>
    <x:row r="203">
      <x:c r="A203" s="43" t="str">
        <x:v>203</x:v>
      </x:c>
      <x:c r="B203" s="43" t="str">
        <x:v>abramova_2023_biopsy</x:v>
      </x:c>
      <x:c r="C203" s="43" t="str">
        <x:v>es202</x:v>
      </x:c>
      <x:c r="D203" s="43" t="str">
        <x:v>male</x:v>
      </x:c>
      <x:c r="E203" s="43" t="str">
        <x:v>Total passive swimming</x:v>
      </x:c>
      <x:c r="F203" s="43" t="str">
        <x:v>Corrected transcription</x:v>
      </x:c>
      <x:c r="G203" s="43" t="str">
        <x:v>7 – Abramova 2023 identifiers and units</x:v>
      </x:c>
      <x:c r="H20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3" s="43" t="str">
        <x:v>13.0</x:v>
      </x:c>
      <x:c r="J203" s="43" t="str">
        <x:v>13.0</x:v>
      </x:c>
      <x:c r="K203" s="43" t="str">
        <x:v>Reported SEM; used unchanged for analysis</x:v>
      </x:c>
      <x:c r="L203" s="43" t="str">
        <x:v>included_studies/abramova_2023_biopsy/abramova_2023_biopsy_data_calculations.xlsx, Table1_Extract, source row 40</x:v>
      </x:c>
      <x:c r="M203" s="43" t="str">
        <x:v>11.0</x:v>
      </x:c>
      <x:c r="N203" s="43" t="str">
        <x:v>11.0</x:v>
      </x:c>
      <x:c r="O203" s="43" t="str">
        <x:v>Reported SEM; used unchanged for analysis</x:v>
      </x:c>
      <x:c r="P203" s="43" t="str">
        <x:v>included_studies/abramova_2023_biopsy/abramova_2023_biopsy_data_calculations.xlsx, Table1_Extract, source row 40</x:v>
      </x:c>
    </x:row>
    <x:row r="204">
      <x:c r="A204" s="43" t="str">
        <x:v>204</x:v>
      </x:c>
      <x:c r="B204" s="43" t="str">
        <x:v>abramova_2023_biopsy</x:v>
      </x:c>
      <x:c r="C204" s="43" t="str">
        <x:v>es203</x:v>
      </x:c>
      <x:c r="D204" s="43" t="str">
        <x:v>female</x:v>
      </x:c>
      <x:c r="E204" s="43" t="str">
        <x:v>Total passive swimming</x:v>
      </x:c>
      <x:c r="F204" s="43" t="str">
        <x:v>Corrected transcription</x:v>
      </x:c>
      <x:c r="G204" s="43" t="str">
        <x:v>7 – Abramova 2023 identifiers and units</x:v>
      </x:c>
      <x:c r="H20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4" s="43" t="str">
        <x:v>26.0</x:v>
      </x:c>
      <x:c r="J204" s="43" t="str">
        <x:v>26.0</x:v>
      </x:c>
      <x:c r="K204" s="43" t="str">
        <x:v>Reported SEM; used unchanged for analysis</x:v>
      </x:c>
      <x:c r="L204" s="43" t="str">
        <x:v>included_studies/abramova_2023_biopsy/abramova_2023_biopsy_data_calculations.xlsx, Table1_Extract, source row 41</x:v>
      </x:c>
      <x:c r="M204" s="43" t="str">
        <x:v>8.0</x:v>
      </x:c>
      <x:c r="N204" s="43" t="str">
        <x:v>8.0</x:v>
      </x:c>
      <x:c r="O204" s="43" t="str">
        <x:v>Reported SEM; used unchanged for analysis</x:v>
      </x:c>
      <x:c r="P204" s="43" t="str">
        <x:v>included_studies/abramova_2023_biopsy/abramova_2023_biopsy_data_calculations.xlsx, Table1_Extract, source row 41</x:v>
      </x:c>
    </x:row>
    <x:row r="205">
      <x:c r="A205" s="43" t="str">
        <x:v>205</x:v>
      </x:c>
      <x:c r="B205" s="43" t="str">
        <x:v>abramova_2023_biopsy</x:v>
      </x:c>
      <x:c r="C205" s="43" t="str">
        <x:v>es204</x:v>
      </x:c>
      <x:c r="D205" s="43" t="str">
        <x:v>male</x:v>
      </x:c>
      <x:c r="E205" s="43" t="str">
        <x:v>Total active swimming</x:v>
      </x:c>
      <x:c r="F205" s="43" t="str">
        <x:v>Corrected transcription</x:v>
      </x:c>
      <x:c r="G205" s="43" t="str">
        <x:v>7 – Abramova 2023 identifiers and units</x:v>
      </x:c>
      <x:c r="H20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5" s="43" t="str">
        <x:v>7.0</x:v>
      </x:c>
      <x:c r="J205" s="43" t="str">
        <x:v>7.0</x:v>
      </x:c>
      <x:c r="K205" s="43" t="str">
        <x:v>Reported SEM; used unchanged for analysis</x:v>
      </x:c>
      <x:c r="L205" s="43" t="str">
        <x:v>included_studies/abramova_2023_biopsy/abramova_2023_biopsy_data_calculations.xlsx, Table1_Extract, source row 42</x:v>
      </x:c>
      <x:c r="M205" s="43" t="str">
        <x:v>5.0</x:v>
      </x:c>
      <x:c r="N205" s="43" t="str">
        <x:v>5.0</x:v>
      </x:c>
      <x:c r="O205" s="43" t="str">
        <x:v>Reported SEM; used unchanged for analysis</x:v>
      </x:c>
      <x:c r="P205" s="43" t="str">
        <x:v>included_studies/abramova_2023_biopsy/abramova_2023_biopsy_data_calculations.xlsx, Table1_Extract, source row 42</x:v>
      </x:c>
    </x:row>
    <x:row r="206">
      <x:c r="A206" s="43" t="str">
        <x:v>206</x:v>
      </x:c>
      <x:c r="B206" s="43" t="str">
        <x:v>abramova_2023_biopsy</x:v>
      </x:c>
      <x:c r="C206" s="43" t="str">
        <x:v>es205</x:v>
      </x:c>
      <x:c r="D206" s="43" t="str">
        <x:v>female</x:v>
      </x:c>
      <x:c r="E206" s="43" t="str">
        <x:v>Total active swimming</x:v>
      </x:c>
      <x:c r="F206" s="43" t="str">
        <x:v>Corrected transcription</x:v>
      </x:c>
      <x:c r="G206" s="43" t="str">
        <x:v>7 – Abramova 2023 identifiers and units</x:v>
      </x:c>
      <x:c r="H20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6" s="43" t="str">
        <x:v>8.0</x:v>
      </x:c>
      <x:c r="J206" s="43" t="str">
        <x:v>8.0</x:v>
      </x:c>
      <x:c r="K206" s="43" t="str">
        <x:v>Reported SEM; used unchanged for analysis</x:v>
      </x:c>
      <x:c r="L206" s="43" t="str">
        <x:v>included_studies/abramova_2023_biopsy/abramova_2023_biopsy_data_calculations.xlsx, Table1_Extract, source row 43</x:v>
      </x:c>
      <x:c r="M206" s="43" t="str">
        <x:v>7.0</x:v>
      </x:c>
      <x:c r="N206" s="43" t="str">
        <x:v>7.0</x:v>
      </x:c>
      <x:c r="O206" s="43" t="str">
        <x:v>Reported SEM; used unchanged for analysis</x:v>
      </x:c>
      <x:c r="P206" s="43" t="str">
        <x:v>included_studies/abramova_2023_biopsy/abramova_2023_biopsy_data_calculations.xlsx, Table1_Extract, source row 43</x:v>
      </x:c>
    </x:row>
    <x:row r="207">
      <x:c r="A207" s="43" t="str">
        <x:v>207</x:v>
      </x:c>
      <x:c r="B207" s="43" t="str">
        <x:v>abramova_2023_biopsy</x:v>
      </x:c>
      <x:c r="C207" s="43" t="str">
        <x:v>es206</x:v>
      </x:c>
      <x:c r="D207" s="43" t="str">
        <x:v>male</x:v>
      </x:c>
      <x:c r="E207" s="43" t="str">
        <x:v>Number of dives</x:v>
      </x:c>
      <x:c r="F207" s="43" t="str">
        <x:v>Analysis decision required</x:v>
      </x:c>
      <x:c r="G207" s="43" t="str">
        <x:v>7 – Abramova 2023 identifiers and units</x:v>
      </x:c>
      <x:c r="H20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7" s="43" t="str"/>
      <x:c r="J207" s="43" t="str"/>
      <x:c r="K207" s="43" t="str">
        <x:v>Not calculated here: median (Q1; Q3) reported; estimation is deferred to reproducible R data wrangling</x:v>
      </x:c>
      <x:c r="L207" s="43" t="str">
        <x:v>included_studies/abramova_2023_biopsy/abramova_2023_biopsy_data_calculations.xlsx, Table1_Extract, source row 44</x:v>
      </x:c>
      <x:c r="M207" s="43" t="str"/>
      <x:c r="N207" s="43" t="str"/>
      <x:c r="O207" s="43" t="str">
        <x:v>Not calculated here: median (Q1; Q3) reported; estimation is deferred to reproducible R data wrangling</x:v>
      </x:c>
      <x:c r="P207" s="43" t="str">
        <x:v>included_studies/abramova_2023_biopsy/abramova_2023_biopsy_data_calculations.xlsx, Table1_Extract, source row 44</x:v>
      </x:c>
    </x:row>
    <x:row r="208">
      <x:c r="A208" s="44" t="str">
        <x:v>208</x:v>
      </x:c>
      <x:c r="B208" s="44" t="str">
        <x:v>abramova_2023_biopsy</x:v>
      </x:c>
      <x:c r="C208" s="44" t="str">
        <x:v>es207</x:v>
      </x:c>
      <x:c r="D208" s="44" t="str">
        <x:v>female</x:v>
      </x:c>
      <x:c r="E208" s="44" t="str">
        <x:v>Number of dives</x:v>
      </x:c>
      <x:c r="F208" s="44" t="str">
        <x:v>Analysis decision required</x:v>
      </x:c>
      <x:c r="G208" s="44" t="str">
        <x:v>7 – Abramova 2023 identifiers and units</x:v>
      </x:c>
      <x:c r="H208" s="44"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8" s="44" t="str"/>
      <x:c r="J208" s="44" t="str"/>
      <x:c r="K208" s="44" t="str">
        <x:v>Not calculated here: median (Q1; Q3) reported; estimation is deferred to reproducible R data wrangling</x:v>
      </x:c>
      <x:c r="L208" s="44" t="str">
        <x:v>included_studies/abramova_2023_biopsy/abramova_2023_biopsy_data_calculations.xlsx, Table1_Extract, source row 45</x:v>
      </x:c>
      <x:c r="M208" s="44" t="str"/>
      <x:c r="N208" s="44" t="str"/>
      <x:c r="O208" s="44" t="str">
        <x:v>Not calculated here: median (Q1; Q3) reported; estimation is deferred to reproducible R data wrangling</x:v>
      </x:c>
      <x:c r="P208" s="44" t="str">
        <x:v>included_studies/abramova_2023_biopsy/abramova_2023_biopsy_data_calculations.xlsx, Table1_Extract, source row 45</x:v>
      </x:c>
    </x:row>
  </x:sheetData>
  <x:conditionalFormatting sqref="F2:F208">
    <x:cfRule type="containsText" dxfId="5" priority="1" operator="containsText" text="Verified"/>
    <x:cfRule type="containsText" dxfId="6" priority="2" operator="containsText" text="Corrected transcription"/>
    <x:cfRule type="containsText" dxfId="7" priority="3" operator="containsText" text="Corrected derived value"/>
    <x:cfRule type="containsText" dxfId="8" priority="4" operator="containsText" text="Analysis decision required"/>
    <x:cfRule type="containsText" dxfId="9" priority="5" operator="containsText" text="Source needed"/>
  </x:conditionalFormatting>
  <x:pageMargins left="0.7" right="0.7" top="0.75" bottom="0.75" header="0.3" footer="0.3"/>
  <x:tableParts count="1">
    <x:tablePart xmlns:r="http://schemas.openxmlformats.org/officeDocument/2006/relationships" r:id="R751f8718d20741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1" hidden="0" customWidth="1"/>
    <x:col min="4" max="4" width="13" hidden="0" customWidth="1"/>
    <x:col min="5" max="5" width="38" hidden="0" customWidth="1"/>
    <x:col min="6" max="6" width="28" hidden="0" customWidth="1"/>
    <x:col min="7" max="7" width="42" hidden="0" customWidth="1"/>
    <x:col min="8" max="8" width="75" hidden="0" customWidth="1"/>
    <x:col min="9" max="9" width="15" hidden="0" customWidth="1"/>
    <x:col min="10" max="10" width="15" hidden="0" customWidth="1"/>
    <x:col min="11" max="11" width="55" hidden="0" customWidth="1"/>
    <x:col min="12" max="12" width="65" hidden="0" customWidth="1"/>
    <x:col min="13" max="13" width="15" hidden="0" customWidth="1"/>
    <x:col min="14" max="14" width="15" hidden="0" customWidth="1"/>
    <x:col min="15" max="15" width="55" hidden="0" customWidth="1"/>
    <x:col min="16" max="16" width="65" hidden="0" customWidth="1"/>
  </x:cols>
  <x:sheetData>
    <x:row r="1" ht="34" customHeight="1">
      <x:c r="A1" s="40" t="str">
        <x:v>source_csv_row</x:v>
      </x:c>
      <x:c r="B1" s="40" t="str">
        <x:v>study_id</x:v>
      </x:c>
      <x:c r="C1" s="40" t="str">
        <x:v>es_id</x:v>
      </x:c>
      <x:c r="D1" s="40" t="str">
        <x:v>offspring_sex</x:v>
      </x:c>
      <x:c r="E1" s="40" t="str">
        <x:v>measurement_variable</x:v>
      </x:c>
      <x:c r="F1" s="40" t="str">
        <x:v>crosscheck_status</x:v>
      </x:c>
      <x:c r="G1" s="40" t="str">
        <x:v>crosscheck_package</x:v>
      </x:c>
      <x:c r="H1" s="40" t="str">
        <x:v>crosscheck_notes</x:v>
      </x:c>
      <x:c r="I1" s="40" t="str">
        <x:v>c_se_reported</x:v>
      </x:c>
      <x:c r="J1" s="40" t="str">
        <x:v>c_se_analysis</x:v>
      </x:c>
      <x:c r="K1" s="40" t="str">
        <x:v>c_se_derivation</x:v>
      </x:c>
      <x:c r="L1" s="40" t="str">
        <x:v>c_se_source</x:v>
      </x:c>
      <x:c r="M1" s="40" t="str">
        <x:v>ex_se_reported</x:v>
      </x:c>
      <x:c r="N1" s="40" t="str">
        <x:v>ex_se_analysis</x:v>
      </x:c>
      <x:c r="O1" s="40" t="str">
        <x:v>ex_se_derivation</x:v>
      </x:c>
      <x:c r="P1" s="40" t="str">
        <x:v>ex_se_source</x:v>
      </x:c>
    </x:row>
    <x:row r="2">
      <x:c r="A2" s="42" t="str">
        <x:v>2</x:v>
      </x:c>
      <x:c r="B2" s="42" t="str">
        <x:v>uygur_2010_aphyhun</x:v>
      </x:c>
      <x:c r="C2" s="42" t="str">
        <x:v>es001</x:v>
      </x:c>
      <x:c r="D2" s="42" t="str">
        <x:v>male</x:v>
      </x:c>
      <x:c r="E2" s="42" t="str">
        <x:v>Latency to exit the dark box</x:v>
      </x:c>
      <x:c r="F2" s="42" t="str">
        <x:v>Corrected transcription</x:v>
      </x:c>
      <x:c r="G2" s="42" t="str">
        <x:v>2 – Uygur 2010 exposure and sample sizes</x:v>
      </x:c>
      <x:c r="H2" s="42" t="str">
        <x:v>The paper reports 45 minutes per day; 45/60 = 0.75 hours. | Table II identifies the control group as CON, n=10. | Table II identifies the prenatal-stress group as PSN, n=9.</x:v>
      </x:c>
      <x:c r="I2" s="42" t="str">
        <x:v>58.69</x:v>
      </x:c>
      <x:c r="J2" s="42" t="str">
        <x:v>58.69</x:v>
      </x:c>
      <x:c r="K2" s="42" t="str">
        <x:v>Reported SEM; used unchanged for analysis</x:v>
      </x:c>
      <x:c r="L2" s="42" t="str">
        <x:v>uygur_2010_table2; Table II</x:v>
      </x:c>
      <x:c r="M2" s="42" t="str">
        <x:v>66.9</x:v>
      </x:c>
      <x:c r="N2" s="42" t="str">
        <x:v>66.9</x:v>
      </x:c>
      <x:c r="O2" s="42" t="str">
        <x:v>Reported SEM; used unchanged for analysis</x:v>
      </x:c>
      <x:c r="P2" s="42" t="str">
        <x:v>uygur_2010_table2; Table II</x:v>
      </x:c>
    </x:row>
    <x:row r="3">
      <x:c r="A3" s="43" t="str">
        <x:v>3</x:v>
      </x:c>
      <x:c r="B3" s="43" t="str">
        <x:v>uygur_2010_aphyhun</x:v>
      </x:c>
      <x:c r="C3" s="43" t="str">
        <x:v>es002</x:v>
      </x:c>
      <x:c r="D3" s="43" t="str">
        <x:v>male</x:v>
      </x:c>
      <x:c r="E3" s="43" t="str">
        <x:v>Exits from dark box</x:v>
      </x:c>
      <x:c r="F3" s="43" t="str">
        <x:v>Corrected transcription</x:v>
      </x:c>
      <x:c r="G3" s="43" t="str">
        <x:v>2 – Uygur 2010 exposure and sample sizes</x:v>
      </x:c>
      <x:c r="H3" s="43" t="str">
        <x:v>The paper reports 45 minutes per day; 45/60 = 0.75 hours. | Table II identifies the control group as CON, n=10. | Table II identifies the prenatal-stress group as PSN, n=9.</x:v>
      </x:c>
      <x:c r="I3" s="43" t="str">
        <x:v>0.82</x:v>
      </x:c>
      <x:c r="J3" s="43" t="str">
        <x:v>0.82</x:v>
      </x:c>
      <x:c r="K3" s="43" t="str">
        <x:v>Reported SEM; used unchanged for analysis</x:v>
      </x:c>
      <x:c r="L3" s="43" t="str">
        <x:v>uygur_2010_table2; Table II</x:v>
      </x:c>
      <x:c r="M3" s="43" t="str">
        <x:v>0.73</x:v>
      </x:c>
      <x:c r="N3" s="43" t="str">
        <x:v>0.73</x:v>
      </x:c>
      <x:c r="O3" s="43" t="str">
        <x:v>Reported SEM; used unchanged for analysis</x:v>
      </x:c>
      <x:c r="P3" s="43" t="str">
        <x:v>uygur_2010_table2; Table II</x:v>
      </x:c>
    </x:row>
    <x:row r="4">
      <x:c r="A4" s="43" t="str">
        <x:v>4</x:v>
      </x:c>
      <x:c r="B4" s="43" t="str">
        <x:v>uygur_2010_aphyhun</x:v>
      </x:c>
      <x:c r="C4" s="43" t="str">
        <x:v>es003</x:v>
      </x:c>
      <x:c r="D4" s="43" t="str">
        <x:v>male</x:v>
      </x:c>
      <x:c r="E4" s="43" t="str">
        <x:v>Time in open field</x:v>
      </x:c>
      <x:c r="F4" s="43" t="str">
        <x:v>Corrected transcription</x:v>
      </x:c>
      <x:c r="G4" s="43" t="str">
        <x:v>2 – Uygur 2010 exposure and sample sizes</x:v>
      </x:c>
      <x:c r="H4" s="43" t="str">
        <x:v>The paper reports 45 minutes per day; 45/60 = 0.75 hours. | Table II identifies the control group as CON, n=10. | Table II identifies the prenatal-stress group as PSN, n=9.</x:v>
      </x:c>
      <x:c r="I4" s="43" t="str">
        <x:v>25.25</x:v>
      </x:c>
      <x:c r="J4" s="43" t="str">
        <x:v>25.25</x:v>
      </x:c>
      <x:c r="K4" s="43" t="str">
        <x:v>Reported SEM; used unchanged for analysis</x:v>
      </x:c>
      <x:c r="L4" s="43" t="str">
        <x:v>uygur_2010_table2; Table II</x:v>
      </x:c>
      <x:c r="M4" s="43" t="str">
        <x:v>16.87</x:v>
      </x:c>
      <x:c r="N4" s="43" t="str">
        <x:v>16.87</x:v>
      </x:c>
      <x:c r="O4" s="43" t="str">
        <x:v>Reported SEM; used unchanged for analysis</x:v>
      </x:c>
      <x:c r="P4" s="43" t="str">
        <x:v>uygur_2010_table2; Table II</x:v>
      </x:c>
    </x:row>
    <x:row r="5">
      <x:c r="A5" s="43" t="str">
        <x:v>5</x:v>
      </x:c>
      <x:c r="B5" s="43" t="str">
        <x:v>barzegar_2014_hippo</x:v>
      </x:c>
      <x:c r="C5" s="43" t="str">
        <x:v>es004</x:v>
      </x:c>
      <x:c r="D5" s="43" t="str">
        <x:v>male</x:v>
      </x:c>
      <x:c r="E5" s="43" t="str">
        <x:v>Entries into open arms (OAE)</x:v>
      </x:c>
      <x:c r="F5" s="43" t="str">
        <x:v>Corrected transcription</x:v>
      </x:c>
      <x:c r="G5" s="43" t="str">
        <x:v>4 – Barzegar 2014 title and SEM</x:v>
      </x:c>
      <x:c r="H5" s="43" t="str">
        <x:v>Replace the title copied from another study with the Barzegar paper title. | Use the exact saved image filename for reproducibility.</x:v>
      </x:c>
      <x:c r="I5" s="43" t="str">
        <x:v>3.47</x:v>
      </x:c>
      <x:c r="J5" s="43" t="str">
        <x:v>3.47</x:v>
      </x:c>
      <x:c r="K5" s="43" t="str">
        <x:v>Digitised reported SEM; used unchanged for analysis</x:v>
      </x:c>
      <x:c r="L5" s="43" t="str">
        <x:v>Metadigitise_figs/metaDigitise_output.csv and saved figure image</x:v>
      </x:c>
      <x:c r="M5" s="43" t="str">
        <x:v>6.2</x:v>
      </x:c>
      <x:c r="N5" s="43" t="str">
        <x:v>6.2</x:v>
      </x:c>
      <x:c r="O5" s="43" t="str">
        <x:v>Digitised reported SEM; used unchanged for analysis</x:v>
      </x:c>
      <x:c r="P5" s="43" t="str">
        <x:v>Metadigitise_figs/metaDigitise_output.csv and saved figure image</x:v>
      </x:c>
    </x:row>
    <x:row r="6">
      <x:c r="A6" s="43" t="str">
        <x:v>6</x:v>
      </x:c>
      <x:c r="B6" s="43" t="str">
        <x:v>barzegar_2014_hippo</x:v>
      </x:c>
      <x:c r="C6" s="43" t="str">
        <x:v>es005</x:v>
      </x:c>
      <x:c r="D6" s="43" t="str">
        <x:v>male</x:v>
      </x:c>
      <x:c r="E6" s="43" t="str">
        <x:v>Time in open arms (OAT)</x:v>
      </x:c>
      <x:c r="F6" s="43" t="str">
        <x:v>Corrected transcription</x:v>
      </x:c>
      <x:c r="G6" s="43" t="str">
        <x:v>4 – Barzegar 2014 title and SEM</x:v>
      </x:c>
      <x:c r="H6" s="43" t="str">
        <x:v>Use the exact saved image filename for reproducibility.</x:v>
      </x:c>
      <x:c r="I6" s="43" t="str">
        <x:v>2.03</x:v>
      </x:c>
      <x:c r="J6" s="43" t="str">
        <x:v>2.03</x:v>
      </x:c>
      <x:c r="K6" s="43" t="str">
        <x:v>Digitised reported SEM; used unchanged for analysis</x:v>
      </x:c>
      <x:c r="L6" s="43" t="str">
        <x:v>Metadigitise_figs/metaDigitise_output.csv and saved figure image</x:v>
      </x:c>
      <x:c r="M6" s="43" t="str">
        <x:v>1.37</x:v>
      </x:c>
      <x:c r="N6" s="43" t="str">
        <x:v>1.37</x:v>
      </x:c>
      <x:c r="O6" s="43" t="str">
        <x:v>Digitised reported SEM; used unchanged for analysis</x:v>
      </x:c>
      <x:c r="P6" s="43" t="str">
        <x:v>Metadigitise_figs/metaDigitise_output.csv and saved figure image</x:v>
      </x:c>
    </x:row>
    <x:row r="7">
      <x:c r="A7" s="43" t="str">
        <x:v>7</x:v>
      </x:c>
      <x:c r="B7" s="43" t="str">
        <x:v>barzegar_2014_hippo</x:v>
      </x:c>
      <x:c r="C7" s="43" t="str">
        <x:v>es006</x:v>
      </x:c>
      <x:c r="D7" s="43" t="str">
        <x:v>male</x:v>
      </x:c>
      <x:c r="E7" s="43" t="str">
        <x:v>Entries into open arms (OAE)</x:v>
      </x:c>
      <x:c r="F7" s="43" t="str">
        <x:v>Corrected transcription</x:v>
      </x:c>
      <x:c r="G7" s="43" t="str">
        <x:v>4 – Barzegar 2014 title and SEM</x:v>
      </x:c>
      <x:c r="H7" s="43" t="str">
        <x:v>Use the exact saved image filename for reproducibility. | Correct the N2 experimental SEM transcription while retaining the source-reported figure value separately.</x:v>
      </x:c>
      <x:c r="I7" s="43" t="str">
        <x:v>3.47</x:v>
      </x:c>
      <x:c r="J7" s="43" t="str">
        <x:v>3.47</x:v>
      </x:c>
      <x:c r="K7" s="43" t="str">
        <x:v>Digitised reported SEM; used unchanged for analysis</x:v>
      </x:c>
      <x:c r="L7" s="43" t="str">
        <x:v>Metadigitise_figs/metaDigitise_output.csv and saved figure image</x:v>
      </x:c>
      <x:c r="M7" s="43" t="str">
        <x:v>2.666667</x:v>
      </x:c>
      <x:c r="N7" s="43" t="str">
        <x:v>2.666667</x:v>
      </x:c>
      <x:c r="O7" s="43" t="str">
        <x:v>Digitised reported SEM; used unchanged for analysis</x:v>
      </x:c>
      <x:c r="P7" s="43" t="str">
        <x:v>Metadigitise_figs/metaDigitise_output.csv and saved figure image</x:v>
      </x:c>
    </x:row>
    <x:row r="8">
      <x:c r="A8" s="43" t="str">
        <x:v>8</x:v>
      </x:c>
      <x:c r="B8" s="43" t="str">
        <x:v>barzegar_2014_hippo</x:v>
      </x:c>
      <x:c r="C8" s="43" t="str">
        <x:v>es007</x:v>
      </x:c>
      <x:c r="D8" s="43" t="str">
        <x:v>male</x:v>
      </x:c>
      <x:c r="E8" s="43" t="str">
        <x:v>Time in open arms (OAT)</x:v>
      </x:c>
      <x:c r="F8" s="43" t="str">
        <x:v>Corrected transcription</x:v>
      </x:c>
      <x:c r="G8" s="43" t="str">
        <x:v>4 – Barzegar 2014 title and SEM</x:v>
      </x:c>
      <x:c r="H8" s="43" t="str">
        <x:v>Use the exact saved image filename for reproducibility.</x:v>
      </x:c>
      <x:c r="I8" s="43" t="str">
        <x:v>2.03</x:v>
      </x:c>
      <x:c r="J8" s="43" t="str">
        <x:v>2.03</x:v>
      </x:c>
      <x:c r="K8" s="43" t="str">
        <x:v>Digitised reported SEM; used unchanged for analysis</x:v>
      </x:c>
      <x:c r="L8" s="43" t="str">
        <x:v>Metadigitise_figs/metaDigitise_output.csv and saved figure image</x:v>
      </x:c>
      <x:c r="M8" s="43" t="str">
        <x:v>1.81</x:v>
      </x:c>
      <x:c r="N8" s="43" t="str">
        <x:v>1.81</x:v>
      </x:c>
      <x:c r="O8" s="43" t="str">
        <x:v>Digitised reported SEM; used unchanged for analysis</x:v>
      </x:c>
      <x:c r="P8" s="43" t="str">
        <x:v>Metadigitise_figs/metaDigitise_output.csv and saved figure image</x:v>
      </x:c>
    </x:row>
    <x:row r="9">
      <x:c r="A9" s="43" t="str">
        <x:v>9</x:v>
      </x:c>
      <x:c r="B9" s="43" t="str">
        <x:v>barzegar_2014_hippo</x:v>
      </x:c>
      <x:c r="C9" s="43" t="str">
        <x:v>es008</x:v>
      </x:c>
      <x:c r="D9" s="43" t="str">
        <x:v>male</x:v>
      </x:c>
      <x:c r="E9" s="43" t="str">
        <x:v>Entries into open arms (OAE)</x:v>
      </x:c>
      <x:c r="F9" s="43" t="str">
        <x:v>Corrected transcription</x:v>
      </x:c>
      <x:c r="G9" s="43" t="str">
        <x:v>4 – Barzegar 2014 title and SEM</x:v>
      </x:c>
      <x:c r="H9" s="43" t="str">
        <x:v>Use the exact saved image filename for reproducibility.</x:v>
      </x:c>
      <x:c r="I9" s="43" t="str">
        <x:v>3.47</x:v>
      </x:c>
      <x:c r="J9" s="43" t="str">
        <x:v>3.47</x:v>
      </x:c>
      <x:c r="K9" s="43" t="str">
        <x:v>Digitised reported SEM; used unchanged for analysis</x:v>
      </x:c>
      <x:c r="L9" s="43" t="str">
        <x:v>Metadigitise_figs/metaDigitise_output.csv and saved figure image</x:v>
      </x:c>
      <x:c r="M9" s="43" t="str">
        <x:v>2.8</x:v>
      </x:c>
      <x:c r="N9" s="43" t="str">
        <x:v>2.8</x:v>
      </x:c>
      <x:c r="O9" s="43" t="str">
        <x:v>Digitised reported SEM; used unchanged for analysis</x:v>
      </x:c>
      <x:c r="P9" s="43" t="str">
        <x:v>Metadigitise_figs/metaDigitise_output.csv and saved figure image</x:v>
      </x:c>
    </x:row>
    <x:row r="10">
      <x:c r="A10" s="43" t="str">
        <x:v>10</x:v>
      </x:c>
      <x:c r="B10" s="43" t="str">
        <x:v>barzegar_2014_hippo</x:v>
      </x:c>
      <x:c r="C10" s="43" t="str">
        <x:v>es009</x:v>
      </x:c>
      <x:c r="D10" s="43" t="str">
        <x:v>male</x:v>
      </x:c>
      <x:c r="E10" s="43" t="str">
        <x:v>Time in open arms (OAT)</x:v>
      </x:c>
      <x:c r="F10" s="43" t="str">
        <x:v>Corrected transcription</x:v>
      </x:c>
      <x:c r="G10" s="43" t="str">
        <x:v>4 – Barzegar 2014 title and SEM</x:v>
      </x:c>
      <x:c r="H10" s="43" t="str">
        <x:v>Use the exact saved image filename for reproducibility.</x:v>
      </x:c>
      <x:c r="I10" s="43" t="str">
        <x:v>2.03</x:v>
      </x:c>
      <x:c r="J10" s="43" t="str">
        <x:v>2.03</x:v>
      </x:c>
      <x:c r="K10" s="43" t="str">
        <x:v>Digitised reported SEM; used unchanged for analysis</x:v>
      </x:c>
      <x:c r="L10" s="43" t="str">
        <x:v>Metadigitise_figs/metaDigitise_output.csv and saved figure image</x:v>
      </x:c>
      <x:c r="M10" s="43" t="str">
        <x:v>2.63</x:v>
      </x:c>
      <x:c r="N10" s="43" t="str">
        <x:v>2.63</x:v>
      </x:c>
      <x:c r="O10" s="43" t="str">
        <x:v>Digitised reported SEM; used unchanged for analysis</x:v>
      </x:c>
      <x:c r="P10" s="43" t="str">
        <x:v>Metadigitise_figs/metaDigitise_output.csv and saved figure image</x:v>
      </x:c>
    </x:row>
    <x:row r="11">
      <x:c r="A11" s="43" t="str">
        <x:v>11</x:v>
      </x:c>
      <x:c r="B11" s="43" t="str">
        <x:v>hassanvand_2012_phyphar</x:v>
      </x:c>
      <x:c r="C11" s="43" t="str">
        <x:v>es010</x:v>
      </x:c>
      <x:c r="D11" s="43" t="str">
        <x:v>male</x:v>
      </x:c>
      <x:c r="E11" s="43" t="str">
        <x:v>Sniffing</x:v>
      </x:c>
      <x:c r="F11" s="43" t="str">
        <x:v>Verified – no change</x:v>
      </x:c>
      <x:c r="G11" s="43" t="str"/>
      <x:c r="H11" s="43" t="str"/>
      <x:c r="I11" s="43" t="str"/>
      <x:c r="J11" s="43" t="str">
        <x:v>1.127786</x:v>
      </x:c>
      <x:c r="K11" s="43" t="str">
        <x:v>SD / sqrt(n); derived for analysis from the extracted SD and sample size</x:v>
      </x:c>
      <x:c r="L11" s="43" t="str">
        <x:v>hassanvand_2012_phyphar_Figure2; Figure 2</x:v>
      </x:c>
      <x:c r="M11" s="43" t="str"/>
      <x:c r="N11" s="43" t="str">
        <x:v>1.190452</x:v>
      </x:c>
      <x:c r="O11" s="43" t="str">
        <x:v>SD / sqrt(n); derived for analysis from the extracted SD and sample size</x:v>
      </x:c>
      <x:c r="P11" s="43" t="str">
        <x:v>hassanvand_2012_phyphar_Figure2; Figure 2</x:v>
      </x:c>
    </x:row>
    <x:row r="12">
      <x:c r="A12" s="43" t="str">
        <x:v>12</x:v>
      </x:c>
      <x:c r="B12" s="43" t="str">
        <x:v>hassanvand_2012_phyphar</x:v>
      </x:c>
      <x:c r="C12" s="43" t="str">
        <x:v>es011</x:v>
      </x:c>
      <x:c r="D12" s="43" t="str">
        <x:v>male</x:v>
      </x:c>
      <x:c r="E12" s="43" t="str">
        <x:v>Rearing frequency</x:v>
      </x:c>
      <x:c r="F12" s="43" t="str">
        <x:v>Verified – no change</x:v>
      </x:c>
      <x:c r="G12" s="43" t="str"/>
      <x:c r="H12" s="43" t="str"/>
      <x:c r="I12" s="43" t="str"/>
      <x:c r="J12" s="43" t="str">
        <x:v>0.751871</x:v>
      </x:c>
      <x:c r="K12" s="43" t="str">
        <x:v>SD / sqrt(n); derived for analysis from the extracted SD and sample size</x:v>
      </x:c>
      <x:c r="L12" s="43" t="str">
        <x:v>hassanvand_2012_phyphar_Figure2; Figure 2</x:v>
      </x:c>
      <x:c r="M12" s="43" t="str"/>
      <x:c r="N12" s="43" t="str">
        <x:v>1.002495</x:v>
      </x:c>
      <x:c r="O12" s="43" t="str">
        <x:v>SD / sqrt(n); derived for analysis from the extracted SD and sample size</x:v>
      </x:c>
      <x:c r="P12" s="43" t="str">
        <x:v>hassanvand_2012_phyphar_Figure2; Figure 2</x:v>
      </x:c>
    </x:row>
    <x:row r="13">
      <x:c r="A13" s="43" t="str">
        <x:v>13</x:v>
      </x:c>
      <x:c r="B13" s="43" t="str">
        <x:v>hassanvand_2012_phyphar</x:v>
      </x:c>
      <x:c r="C13" s="43" t="str">
        <x:v>es012</x:v>
      </x:c>
      <x:c r="D13" s="43" t="str">
        <x:v>male</x:v>
      </x:c>
      <x:c r="E13" s="43" t="str">
        <x:v>Sections crossed</x:v>
      </x:c>
      <x:c r="F13" s="43" t="str">
        <x:v>Verified – no change</x:v>
      </x:c>
      <x:c r="G13" s="43" t="str"/>
      <x:c r="H13" s="43" t="str"/>
      <x:c r="I13" s="43" t="str"/>
      <x:c r="J13" s="43" t="str">
        <x:v>1.816991</x:v>
      </x:c>
      <x:c r="K13" s="43" t="str">
        <x:v>SD / sqrt(n); derived for analysis from the extracted SD and sample size</x:v>
      </x:c>
      <x:c r="L13" s="43" t="str">
        <x:v>hassanvand_2012_phyphar_Figure2; Figure 2</x:v>
      </x:c>
      <x:c r="M13" s="43" t="str"/>
      <x:c r="N13" s="43" t="str">
        <x:v>1.06512</x:v>
      </x:c>
      <x:c r="O13" s="43" t="str">
        <x:v>SD / sqrt(n); derived for analysis from the extracted SD and sample size</x:v>
      </x:c>
      <x:c r="P13" s="43" t="str">
        <x:v>hassanvand_2012_phyphar_Figure2; Figure 2</x:v>
      </x:c>
    </x:row>
    <x:row r="14">
      <x:c r="A14" s="43" t="str">
        <x:v>14</x:v>
      </x:c>
      <x:c r="B14" s="43" t="str">
        <x:v>arjunan_2023_stress</x:v>
      </x:c>
      <x:c r="C14" s="43" t="str">
        <x:v>es013</x:v>
      </x:c>
      <x:c r="D14" s="43" t="str">
        <x:v>male</x:v>
      </x:c>
      <x:c r="E14" s="43" t="str">
        <x:v>Time in central square</x:v>
      </x:c>
      <x:c r="F14" s="43" t="str">
        <x:v>Corrected transcription</x:v>
      </x:c>
      <x:c r="G14" s="43" t="str">
        <x:v>3 – Arjunan 2023 acoustic exposure</x:v>
      </x:c>
      <x:c r="H14" s="43" t="str">
        <x:v>The source describes a white-noise generator, not ultrasound. | The stated range is within the audible/broadband band used in this review. | The source states all frequencies from 0 to 20 kHz.</x:v>
      </x:c>
      <x:c r="I14" s="43" t="str"/>
      <x:c r="J14" s="43" t="str">
        <x:v>10.581796</x:v>
      </x:c>
      <x:c r="K14" s="43" t="str">
        <x:v>SD / sqrt(n); derived for analysis from the extracted SD and sample size</x:v>
      </x:c>
      <x:c r="L14" s="43" t="str">
        <x:v>arjunan_2023_stress_fig3B_cen; Figure 3B</x:v>
      </x:c>
      <x:c r="M14" s="43" t="str"/>
      <x:c r="N14" s="43" t="str">
        <x:v>7.69548</x:v>
      </x:c>
      <x:c r="O14" s="43" t="str">
        <x:v>SD / sqrt(n); derived for analysis from the extracted SD and sample size</x:v>
      </x:c>
      <x:c r="P14" s="43" t="str">
        <x:v>arjunan_2023_stress_fig3B_cen; Figure 3B</x:v>
      </x:c>
    </x:row>
    <x:row r="15">
      <x:c r="A15" s="43" t="str">
        <x:v>15</x:v>
      </x:c>
      <x:c r="B15" s="43" t="str">
        <x:v>arjunan_2023_stress</x:v>
      </x:c>
      <x:c r="C15" s="43" t="str">
        <x:v>es014</x:v>
      </x:c>
      <x:c r="D15" s="43" t="str">
        <x:v>male</x:v>
      </x:c>
      <x:c r="E15" s="43" t="str">
        <x:v>Time in peripheral square</x:v>
      </x:c>
      <x:c r="F15" s="43" t="str">
        <x:v>Corrected transcription</x:v>
      </x:c>
      <x:c r="G15" s="43" t="str">
        <x:v>3 – Arjunan 2023 acoustic exposure</x:v>
      </x:c>
      <x:c r="H15" s="43" t="str">
        <x:v>The source describes a white-noise generator, not ultrasound. | The stated range is within the audible/broadband band used in this review. | The source states all frequencies from 0 to 20 kHz. | Use the exact saved image filename for reproducibility.</x:v>
      </x:c>
      <x:c r="I15" s="43" t="str"/>
      <x:c r="J15" s="43" t="str">
        <x:v>11.516684</x:v>
      </x:c>
      <x:c r="K15" s="43" t="str">
        <x:v>SD / sqrt(n); derived for analysis from the extracted SD and sample size</x:v>
      </x:c>
      <x:c r="L15" s="43" t="str">
        <x:v>arjunan_2023_stress_fig3B_peri.png; Figure 3B</x:v>
      </x:c>
      <x:c r="M15" s="43" t="str"/>
      <x:c r="N15" s="43" t="str">
        <x:v>7.952677</x:v>
      </x:c>
      <x:c r="O15" s="43" t="str">
        <x:v>SD / sqrt(n); derived for analysis from the extracted SD and sample size</x:v>
      </x:c>
      <x:c r="P15" s="43" t="str">
        <x:v>arjunan_2023_stress_fig3B_peri.png; Figure 3B</x:v>
      </x:c>
    </x:row>
    <x:row r="16">
      <x:c r="A16" s="43" t="str">
        <x:v>16</x:v>
      </x:c>
      <x:c r="B16" s="43" t="str">
        <x:v>arjunan_2023_stress</x:v>
      </x:c>
      <x:c r="C16" s="43" t="str">
        <x:v>es015</x:v>
      </x:c>
      <x:c r="D16" s="43" t="str">
        <x:v>male</x:v>
      </x:c>
      <x:c r="E16" s="43" t="str">
        <x:v>Time in central square</x:v>
      </x:c>
      <x:c r="F16" s="43" t="str">
        <x:v>Corrected transcription</x:v>
      </x:c>
      <x:c r="G16" s="43" t="str">
        <x:v>3 – Arjunan 2023 acoustic exposure</x:v>
      </x:c>
      <x:c r="H16" s="43" t="str">
        <x:v>The source describes a white-noise generator, not ultrasound. | The stated range is within the audible/broadband band used in this review. | The source states all frequencies from 0 to 20 kHz.</x:v>
      </x:c>
      <x:c r="I16" s="43" t="str"/>
      <x:c r="J16" s="43" t="str">
        <x:v>10.581796</x:v>
      </x:c>
      <x:c r="K16" s="43" t="str">
        <x:v>SD / sqrt(n); derived for analysis from the extracted SD and sample size</x:v>
      </x:c>
      <x:c r="L16" s="43" t="str">
        <x:v>arjunan_2023_stress_fig3B_cen; Figure 3B</x:v>
      </x:c>
      <x:c r="M16" s="43" t="str"/>
      <x:c r="N16" s="43" t="str">
        <x:v>4.809165</x:v>
      </x:c>
      <x:c r="O16" s="43" t="str">
        <x:v>SD / sqrt(n); derived for analysis from the extracted SD and sample size</x:v>
      </x:c>
      <x:c r="P16" s="43" t="str">
        <x:v>arjunan_2023_stress_fig3B_cen; Figure 3B</x:v>
      </x:c>
    </x:row>
    <x:row r="17">
      <x:c r="A17" s="43" t="str">
        <x:v>17</x:v>
      </x:c>
      <x:c r="B17" s="43" t="str">
        <x:v>arjunan_2023_stress</x:v>
      </x:c>
      <x:c r="C17" s="43" t="str">
        <x:v>es016</x:v>
      </x:c>
      <x:c r="D17" s="43" t="str">
        <x:v>male</x:v>
      </x:c>
      <x:c r="E17" s="43" t="str">
        <x:v>Time in peripheral square</x:v>
      </x:c>
      <x:c r="F17" s="43" t="str">
        <x:v>Corrected transcription</x:v>
      </x:c>
      <x:c r="G17" s="43" t="str">
        <x:v>3 – Arjunan 2023 acoustic exposure</x:v>
      </x:c>
      <x:c r="H17" s="43" t="str">
        <x:v>The source describes a white-noise generator, not ultrasound. | The stated range is within the audible/broadband band used in this review. | The source states all frequencies from 0 to 20 kHz. | Use the exact saved image filename for reproducibility.</x:v>
      </x:c>
      <x:c r="I17" s="43" t="str"/>
      <x:c r="J17" s="43" t="str">
        <x:v>11.516684</x:v>
      </x:c>
      <x:c r="K17" s="43" t="str">
        <x:v>SD / sqrt(n); derived for analysis from the extracted SD and sample size</x:v>
      </x:c>
      <x:c r="L17" s="43" t="str">
        <x:v>arjunan_2023_stress_fig3B_peri.png; Figure 3B</x:v>
      </x:c>
      <x:c r="M17" s="43" t="str"/>
      <x:c r="N17" s="43" t="str">
        <x:v>4.388669</x:v>
      </x:c>
      <x:c r="O17" s="43" t="str">
        <x:v>SD / sqrt(n); derived for analysis from the extracted SD and sample size</x:v>
      </x:c>
      <x:c r="P17" s="43" t="str">
        <x:v>arjunan_2023_stress_fig3B_peri.png; Figure 3B</x:v>
      </x:c>
    </x:row>
    <x:row r="18">
      <x:c r="A18" s="43" t="str">
        <x:v>18</x:v>
      </x:c>
      <x:c r="B18" s="43" t="str">
        <x:v>arjunan_2023_stress</x:v>
      </x:c>
      <x:c r="C18" s="43" t="str">
        <x:v>es017</x:v>
      </x:c>
      <x:c r="D18" s="43" t="str">
        <x:v>male</x:v>
      </x:c>
      <x:c r="E18" s="43" t="str">
        <x:v>Time in central square</x:v>
      </x:c>
      <x:c r="F18" s="43" t="str">
        <x:v>Corrected transcription</x:v>
      </x:c>
      <x:c r="G18" s="43" t="str">
        <x:v>3 – Arjunan 2023 acoustic exposure</x:v>
      </x:c>
      <x:c r="H18" s="43" t="str">
        <x:v>The source describes a white-noise generator, not ultrasound. | The stated range is within the audible/broadband band used in this review. | The source states all frequencies from 0 to 20 kHz.</x:v>
      </x:c>
      <x:c r="I18" s="43" t="str"/>
      <x:c r="J18" s="43" t="str">
        <x:v>10.581796</x:v>
      </x:c>
      <x:c r="K18" s="43" t="str">
        <x:v>SD / sqrt(n); derived for analysis from the extracted SD and sample size</x:v>
      </x:c>
      <x:c r="L18" s="43" t="str">
        <x:v>arjunan_2023_stress_fig3B_cen; Figure 3B</x:v>
      </x:c>
      <x:c r="M18" s="43" t="str"/>
      <x:c r="N18" s="43" t="str">
        <x:v>4.809165</x:v>
      </x:c>
      <x:c r="O18" s="43" t="str">
        <x:v>SD / sqrt(n); derived for analysis from the extracted SD and sample size</x:v>
      </x:c>
      <x:c r="P18" s="43" t="str">
        <x:v>arjunan_2023_stress_fig3B_cen; Figure 3B</x:v>
      </x:c>
    </x:row>
    <x:row r="19">
      <x:c r="A19" s="43" t="str">
        <x:v>19</x:v>
      </x:c>
      <x:c r="B19" s="43" t="str">
        <x:v>arjunan_2023_stress</x:v>
      </x:c>
      <x:c r="C19" s="43" t="str">
        <x:v>es018</x:v>
      </x:c>
      <x:c r="D19" s="43" t="str">
        <x:v>male</x:v>
      </x:c>
      <x:c r="E19" s="43" t="str">
        <x:v>Time in peripheral square</x:v>
      </x:c>
      <x:c r="F19" s="43" t="str">
        <x:v>Corrected transcription</x:v>
      </x:c>
      <x:c r="G19" s="43" t="str">
        <x:v>3 – Arjunan 2023 acoustic exposure</x:v>
      </x:c>
      <x:c r="H19" s="43" t="str">
        <x:v>The source describes a white-noise generator, not ultrasound. | The stated range is within the audible/broadband band used in this review. | The source states all frequencies from 0 to 20 kHz. | Use the exact saved image filename for reproducibility.</x:v>
      </x:c>
      <x:c r="I19" s="43" t="str"/>
      <x:c r="J19" s="43" t="str">
        <x:v>11.516684</x:v>
      </x:c>
      <x:c r="K19" s="43" t="str">
        <x:v>SD / sqrt(n); derived for analysis from the extracted SD and sample size</x:v>
      </x:c>
      <x:c r="L19" s="43" t="str">
        <x:v>arjunan_2023_stress_fig3B_peri.png; Figure 3B</x:v>
      </x:c>
      <x:c r="M19" s="43" t="str"/>
      <x:c r="N19" s="43" t="str">
        <x:v>4.935722</x:v>
      </x:c>
      <x:c r="O19" s="43" t="str">
        <x:v>SD / sqrt(n); derived for analysis from the extracted SD and sample size</x:v>
      </x:c>
      <x:c r="P19" s="43" t="str">
        <x:v>arjunan_2023_stress_fig3B_peri.png; Figure 3B</x:v>
      </x:c>
    </x:row>
    <x:row r="20">
      <x:c r="A20" s="43" t="str">
        <x:v>20</x:v>
      </x:c>
      <x:c r="B20" s="43" t="str">
        <x:v>hadizadeh_2018_irjbamedsci</x:v>
      </x:c>
      <x:c r="C20" s="43" t="str">
        <x:v>es019</x:v>
      </x:c>
      <x:c r="D20" s="43" t="str">
        <x:v>male</x:v>
      </x:c>
      <x:c r="E20" s="43" t="str">
        <x:v>Entries into open arms (OAE)</x:v>
      </x:c>
      <x:c r="F20" s="43" t="str">
        <x:v>Verified – no change</x:v>
      </x:c>
      <x:c r="G20" s="43" t="str"/>
      <x:c r="H20" s="43" t="str"/>
      <x:c r="I20" s="43" t="str">
        <x:v>3.13</x:v>
      </x:c>
      <x:c r="J20" s="43" t="str">
        <x:v>3.13</x:v>
      </x:c>
      <x:c r="K20" s="43" t="str">
        <x:v>Reported SEM; used unchanged for analysis</x:v>
      </x:c>
      <x:c r="L20" s="43" t="str">
        <x:v>hadizadeh_2018_irjbamedsci_fig2A; Figure 2A</x:v>
      </x:c>
      <x:c r="M20" s="43" t="str">
        <x:v>1.25</x:v>
      </x:c>
      <x:c r="N20" s="43" t="str">
        <x:v>1.25</x:v>
      </x:c>
      <x:c r="O20" s="43" t="str">
        <x:v>Reported SEM; used unchanged for analysis</x:v>
      </x:c>
      <x:c r="P20" s="43" t="str">
        <x:v>hadizadeh_2018_irjbamedsci_fig2A; Figure 2A</x:v>
      </x:c>
    </x:row>
    <x:row r="21">
      <x:c r="A21" s="43" t="str">
        <x:v>21</x:v>
      </x:c>
      <x:c r="B21" s="43" t="str">
        <x:v>hadizadeh_2018_irjbamedsci</x:v>
      </x:c>
      <x:c r="C21" s="43" t="str">
        <x:v>es020</x:v>
      </x:c>
      <x:c r="D21" s="43" t="str">
        <x:v>male</x:v>
      </x:c>
      <x:c r="E21" s="43" t="str">
        <x:v>Time in open arms (OAT)</x:v>
      </x:c>
      <x:c r="F21" s="43" t="str">
        <x:v>Verified – no change</x:v>
      </x:c>
      <x:c r="G21" s="43" t="str"/>
      <x:c r="H21" s="43" t="str"/>
      <x:c r="I21" s="43" t="str">
        <x:v>1.18</x:v>
      </x:c>
      <x:c r="J21" s="43" t="str">
        <x:v>1.18</x:v>
      </x:c>
      <x:c r="K21" s="43" t="str">
        <x:v>Reported SEM; used unchanged for analysis</x:v>
      </x:c>
      <x:c r="L21" s="43" t="str">
        <x:v>hadizadeh_2018_irjbamedsci_fig2B; Figure 2B</x:v>
      </x:c>
      <x:c r="M21" s="43" t="str">
        <x:v>1.78</x:v>
      </x:c>
      <x:c r="N21" s="43" t="str">
        <x:v>1.78</x:v>
      </x:c>
      <x:c r="O21" s="43" t="str">
        <x:v>Reported SEM; used unchanged for analysis</x:v>
      </x:c>
      <x:c r="P21" s="43" t="str">
        <x:v>hadizadeh_2018_irjbamedsci_fig2B; Figure 2B</x:v>
      </x:c>
    </x:row>
    <x:row r="22">
      <x:c r="A22" s="43" t="str">
        <x:v>22</x:v>
      </x:c>
      <x:c r="B22" s="43" t="str">
        <x:v>abramova_2024_devneur</x:v>
      </x:c>
      <x:c r="C22" s="43" t="str">
        <x:v>es021</x:v>
      </x:c>
      <x:c r="D22" s="43" t="str">
        <x:v>female</x:v>
      </x:c>
      <x:c r="E22" s="43" t="str">
        <x:v>Time in open arms (OAT)</x:v>
      </x:c>
      <x:c r="F22" s="43" t="str">
        <x:v>Verified – no change</x:v>
      </x:c>
      <x:c r="G22" s="43" t="str"/>
      <x:c r="H22" s="43" t="str"/>
      <x:c r="I22" s="43" t="str"/>
      <x:c r="J22" s="43" t="str">
        <x:v>5.047049</x:v>
      </x:c>
      <x:c r="K22" s="43" t="str">
        <x:v>SD / sqrt(n); derived for analysis from the extracted SD and sample size</x:v>
      </x:c>
      <x:c r="L22" s="43" t="str">
        <x:v>abramova_2024_devneur_fig2a; Fig. 2. a</x:v>
      </x:c>
      <x:c r="M22" s="43" t="str"/>
      <x:c r="N22" s="43" t="str">
        <x:v>2.502857</x:v>
      </x:c>
      <x:c r="O22" s="43" t="str">
        <x:v>SD / sqrt(n); derived for analysis from the extracted SD and sample size</x:v>
      </x:c>
      <x:c r="P22" s="43" t="str">
        <x:v>abramova_2024_devneur_fig2a; Fig. 2. a</x:v>
      </x:c>
    </x:row>
    <x:row r="23">
      <x:c r="A23" s="43" t="str">
        <x:v>23</x:v>
      </x:c>
      <x:c r="B23" s="43" t="str">
        <x:v>abramova_2024_devneur</x:v>
      </x:c>
      <x:c r="C23" s="43" t="str">
        <x:v>es022</x:v>
      </x:c>
      <x:c r="D23" s="43" t="str">
        <x:v>male</x:v>
      </x:c>
      <x:c r="E23" s="43" t="str">
        <x:v>Time in open arms (OAT)</x:v>
      </x:c>
      <x:c r="F23" s="43" t="str">
        <x:v>Verified – no change</x:v>
      </x:c>
      <x:c r="G23" s="43" t="str"/>
      <x:c r="H23" s="43" t="str"/>
      <x:c r="I23" s="43" t="str"/>
      <x:c r="J23" s="43" t="str">
        <x:v>4.9881</x:v>
      </x:c>
      <x:c r="K23" s="43" t="str">
        <x:v>SD / sqrt(n); derived for analysis from the extracted SD and sample size</x:v>
      </x:c>
      <x:c r="L23" s="43" t="str">
        <x:v>abramova_2024_devneur_fig2a; Fig. 2. a</x:v>
      </x:c>
      <x:c r="M23" s="43" t="str"/>
      <x:c r="N23" s="43" t="str">
        <x:v>3.767384</x:v>
      </x:c>
      <x:c r="O23" s="43" t="str">
        <x:v>SD / sqrt(n); derived for analysis from the extracted SD and sample size</x:v>
      </x:c>
      <x:c r="P23" s="43" t="str">
        <x:v>abramova_2024_devneur_fig2a; Fig. 2. a</x:v>
      </x:c>
    </x:row>
    <x:row r="24">
      <x:c r="A24" s="43" t="str">
        <x:v>24</x:v>
      </x:c>
      <x:c r="B24" s="43" t="str">
        <x:v>abramova_2024_devneur</x:v>
      </x:c>
      <x:c r="C24" s="43" t="str">
        <x:v>es023</x:v>
      </x:c>
      <x:c r="D24" s="43" t="str">
        <x:v>female</x:v>
      </x:c>
      <x:c r="E24" s="43" t="str">
        <x:v>Head-dipping</x:v>
      </x:c>
      <x:c r="F24" s="43" t="str">
        <x:v>Verified – no change</x:v>
      </x:c>
      <x:c r="G24" s="43" t="str"/>
      <x:c r="H24" s="43" t="str"/>
      <x:c r="I24" s="43" t="str"/>
      <x:c r="J24" s="43" t="str">
        <x:v>0.946938</x:v>
      </x:c>
      <x:c r="K24" s="43" t="str">
        <x:v>SD / sqrt(n); derived for analysis from the extracted SD and sample size</x:v>
      </x:c>
      <x:c r="L24" s="43" t="str">
        <x:v>abramova_2024_devneur_fig2b; Fig. 2. b</x:v>
      </x:c>
      <x:c r="M24" s="43" t="str"/>
      <x:c r="N24" s="43" t="str">
        <x:v>0.441429</x:v>
      </x:c>
      <x:c r="O24" s="43" t="str">
        <x:v>SD / sqrt(n); derived for analysis from the extracted SD and sample size</x:v>
      </x:c>
      <x:c r="P24" s="43" t="str">
        <x:v>abramova_2024_devneur_fig2b; Fig. 2. b</x:v>
      </x:c>
    </x:row>
    <x:row r="25">
      <x:c r="A25" s="43" t="str">
        <x:v>25</x:v>
      </x:c>
      <x:c r="B25" s="43" t="str">
        <x:v>abramova_2024_devneur</x:v>
      </x:c>
      <x:c r="C25" s="43" t="str">
        <x:v>es024</x:v>
      </x:c>
      <x:c r="D25" s="43" t="str">
        <x:v>male</x:v>
      </x:c>
      <x:c r="E25" s="43" t="str">
        <x:v>Head-dipping</x:v>
      </x:c>
      <x:c r="F25" s="43" t="str">
        <x:v>Verified – no change</x:v>
      </x:c>
      <x:c r="G25" s="43" t="str"/>
      <x:c r="H25" s="43" t="str"/>
      <x:c r="I25" s="43" t="str"/>
      <x:c r="J25" s="43" t="str">
        <x:v>1.169693</x:v>
      </x:c>
      <x:c r="K25" s="43" t="str">
        <x:v>SD / sqrt(n); derived for analysis from the extracted SD and sample size</x:v>
      </x:c>
      <x:c r="L25" s="43" t="str">
        <x:v>abramova_2024_devneur_fig2b; Fig. 2. b</x:v>
      </x:c>
      <x:c r="M25" s="43" t="str"/>
      <x:c r="N25" s="43" t="str">
        <x:v>0.792975</x:v>
      </x:c>
      <x:c r="O25" s="43" t="str">
        <x:v>SD / sqrt(n); derived for analysis from the extracted SD and sample size</x:v>
      </x:c>
      <x:c r="P25" s="43" t="str">
        <x:v>abramova_2024_devneur_fig2b; Fig. 2. b</x:v>
      </x:c>
    </x:row>
    <x:row r="26">
      <x:c r="A26" s="43" t="str">
        <x:v>26</x:v>
      </x:c>
      <x:c r="B26" s="43" t="str">
        <x:v>abramova_2024_devneur</x:v>
      </x:c>
      <x:c r="C26" s="43" t="str">
        <x:v>es025</x:v>
      </x:c>
      <x:c r="D26" s="43" t="str">
        <x:v>female</x:v>
      </x:c>
      <x:c r="E26" s="43" t="str">
        <x:v>Total freezing time</x:v>
      </x:c>
      <x:c r="F26" s="43" t="str">
        <x:v>Verified – no change</x:v>
      </x:c>
      <x:c r="G26" s="43" t="str"/>
      <x:c r="H26" s="43" t="str"/>
      <x:c r="I26" s="43" t="str"/>
      <x:c r="J26" s="43" t="str">
        <x:v>0.567177</x:v>
      </x:c>
      <x:c r="K26" s="43" t="str">
        <x:v>SD / sqrt(n); derived for analysis from the extracted SD and sample size</x:v>
      </x:c>
      <x:c r="L26" s="43" t="str">
        <x:v>abramova_2024_devneur_fig2c; Fig. 2. c</x:v>
      </x:c>
      <x:c r="M26" s="43" t="str"/>
      <x:c r="N26" s="43" t="str">
        <x:v>2.792857</x:v>
      </x:c>
      <x:c r="O26" s="43" t="str">
        <x:v>SD / sqrt(n); derived for analysis from the extracted SD and sample size</x:v>
      </x:c>
      <x:c r="P26" s="43" t="str">
        <x:v>abramova_2024_devneur_fig2c; Fig. 2. c</x:v>
      </x:c>
    </x:row>
    <x:row r="27">
      <x:c r="A27" s="43" t="str">
        <x:v>27</x:v>
      </x:c>
      <x:c r="B27" s="43" t="str">
        <x:v>abramova_2024_devneur</x:v>
      </x:c>
      <x:c r="C27" s="43" t="str">
        <x:v>es026</x:v>
      </x:c>
      <x:c r="D27" s="43" t="str">
        <x:v>male</x:v>
      </x:c>
      <x:c r="E27" s="43" t="str">
        <x:v>Total freezing time</x:v>
      </x:c>
      <x:c r="F27" s="43" t="str">
        <x:v>Verified – no change</x:v>
      </x:c>
      <x:c r="G27" s="43" t="str"/>
      <x:c r="H27" s="43" t="str"/>
      <x:c r="I27" s="43" t="str"/>
      <x:c r="J27" s="43" t="str">
        <x:v>0.341442</x:v>
      </x:c>
      <x:c r="K27" s="43" t="str">
        <x:v>SD / sqrt(n); derived for analysis from the extracted SD and sample size</x:v>
      </x:c>
      <x:c r="L27" s="43" t="str">
        <x:v>abramova_2024_devneur_fig2c; Fig. 2. c</x:v>
      </x:c>
      <x:c r="M27" s="43" t="str"/>
      <x:c r="N27" s="43" t="str">
        <x:v>0.560811</x:v>
      </x:c>
      <x:c r="O27" s="43" t="str">
        <x:v>SD / sqrt(n); derived for analysis from the extracted SD and sample size</x:v>
      </x:c>
      <x:c r="P27" s="43" t="str">
        <x:v>abramova_2024_devneur_fig2c; Fig. 2. c</x:v>
      </x:c>
    </x:row>
    <x:row r="28">
      <x:c r="A28" s="43" t="str">
        <x:v>28</x:v>
      </x:c>
      <x:c r="B28" s="43" t="str">
        <x:v>abramova_2024_devneur</x:v>
      </x:c>
      <x:c r="C28" s="43" t="str">
        <x:v>es027</x:v>
      </x:c>
      <x:c r="D28" s="43" t="str">
        <x:v>female</x:v>
      </x:c>
      <x:c r="E28" s="43" t="str">
        <x:v>Total grooming time</x:v>
      </x:c>
      <x:c r="F28" s="43" t="str">
        <x:v>Verified – no change</x:v>
      </x:c>
      <x:c r="G28" s="43" t="str"/>
      <x:c r="H28" s="43" t="str"/>
      <x:c r="I28" s="43" t="str"/>
      <x:c r="J28" s="43" t="str">
        <x:v>2.321314</x:v>
      </x:c>
      <x:c r="K28" s="43" t="str">
        <x:v>SD / sqrt(n); derived for analysis from the extracted SD and sample size</x:v>
      </x:c>
      <x:c r="L28" s="43" t="str">
        <x:v>abramova_2024_devneur_fig2d; Fig. 2. d</x:v>
      </x:c>
      <x:c r="M28" s="43" t="str"/>
      <x:c r="N28" s="43" t="str">
        <x:v>3.232857</x:v>
      </x:c>
      <x:c r="O28" s="43" t="str">
        <x:v>SD / sqrt(n); derived for analysis from the extracted SD and sample size</x:v>
      </x:c>
      <x:c r="P28" s="43" t="str">
        <x:v>abramova_2024_devneur_fig2d; Fig. 2. d</x:v>
      </x:c>
    </x:row>
    <x:row r="29">
      <x:c r="A29" s="43" t="str">
        <x:v>29</x:v>
      </x:c>
      <x:c r="B29" s="43" t="str">
        <x:v>abramova_2024_devneur</x:v>
      </x:c>
      <x:c r="C29" s="43" t="str">
        <x:v>es028</x:v>
      </x:c>
      <x:c r="D29" s="43" t="str">
        <x:v>male</x:v>
      </x:c>
      <x:c r="E29" s="43" t="str">
        <x:v>Total grooming time</x:v>
      </x:c>
      <x:c r="F29" s="43" t="str">
        <x:v>Verified – no change</x:v>
      </x:c>
      <x:c r="G29" s="43" t="str"/>
      <x:c r="H29" s="43" t="str"/>
      <x:c r="I29" s="43" t="str"/>
      <x:c r="J29" s="43" t="str">
        <x:v>3.302863</x:v>
      </x:c>
      <x:c r="K29" s="43" t="str">
        <x:v>SD / sqrt(n); derived for analysis from the extracted SD and sample size</x:v>
      </x:c>
      <x:c r="L29" s="43" t="str">
        <x:v>abramova_2024_devneur_fig2d; Fig. 2. d</x:v>
      </x:c>
      <x:c r="M29" s="43" t="str"/>
      <x:c r="N29" s="43" t="str">
        <x:v>4.184977</x:v>
      </x:c>
      <x:c r="O29" s="43" t="str">
        <x:v>SD / sqrt(n); derived for analysis from the extracted SD and sample size</x:v>
      </x:c>
      <x:c r="P29" s="43" t="str">
        <x:v>abramova_2024_devneur_fig2d; Fig. 2. d</x:v>
      </x:c>
    </x:row>
    <x:row r="30">
      <x:c r="A30" s="43" t="str">
        <x:v>30</x:v>
      </x:c>
      <x:c r="B30" s="43" t="str">
        <x:v>abramova_2024_devneur</x:v>
      </x:c>
      <x:c r="C30" s="43" t="str">
        <x:v>es029</x:v>
      </x:c>
      <x:c r="D30" s="43" t="str">
        <x:v>female</x:v>
      </x:c>
      <x:c r="E30" s="43" t="str">
        <x:v>Mean grooming duration</x:v>
      </x:c>
      <x:c r="F30" s="43" t="str">
        <x:v>Verified – no change</x:v>
      </x:c>
      <x:c r="G30" s="43" t="str"/>
      <x:c r="H30" s="43" t="str"/>
      <x:c r="I30" s="43" t="str"/>
      <x:c r="J30" s="43" t="str">
        <x:v>0.59348</x:v>
      </x:c>
      <x:c r="K30" s="43" t="str">
        <x:v>SD / sqrt(n); derived for analysis from the extracted SD and sample size</x:v>
      </x:c>
      <x:c r="L30" s="43" t="str">
        <x:v>abramova_2024_devneur_fig2e; Fig. 2. e</x:v>
      </x:c>
      <x:c r="M30" s="43" t="str"/>
      <x:c r="N30" s="43" t="str">
        <x:v>0.661429</x:v>
      </x:c>
      <x:c r="O30" s="43" t="str">
        <x:v>SD / sqrt(n); derived for analysis from the extracted SD and sample size</x:v>
      </x:c>
      <x:c r="P30" s="43" t="str">
        <x:v>abramova_2024_devneur_fig2e; Fig. 2. e</x:v>
      </x:c>
    </x:row>
    <x:row r="31">
      <x:c r="A31" s="43" t="str">
        <x:v>31</x:v>
      </x:c>
      <x:c r="B31" s="43" t="str">
        <x:v>abramova_2024_devneur</x:v>
      </x:c>
      <x:c r="C31" s="43" t="str">
        <x:v>es030</x:v>
      </x:c>
      <x:c r="D31" s="43" t="str">
        <x:v>male</x:v>
      </x:c>
      <x:c r="E31" s="43" t="str">
        <x:v>Mean grooming duration</x:v>
      </x:c>
      <x:c r="F31" s="43" t="str">
        <x:v>Verified – no change</x:v>
      </x:c>
      <x:c r="G31" s="43" t="str"/>
      <x:c r="H31" s="43" t="str"/>
      <x:c r="I31" s="43" t="str"/>
      <x:c r="J31" s="43" t="str">
        <x:v>0.789374</x:v>
      </x:c>
      <x:c r="K31" s="43" t="str">
        <x:v>SD / sqrt(n); derived for analysis from the extracted SD and sample size</x:v>
      </x:c>
      <x:c r="L31" s="43" t="str">
        <x:v>abramova_2024_devneur_fig2e; Fig. 2. e</x:v>
      </x:c>
      <x:c r="M31" s="43" t="str"/>
      <x:c r="N31" s="43" t="str">
        <x:v>1.080918</x:v>
      </x:c>
      <x:c r="O31" s="43" t="str">
        <x:v>SD / sqrt(n); derived for analysis from the extracted SD and sample size</x:v>
      </x:c>
      <x:c r="P31" s="43" t="str">
        <x:v>abramova_2024_devneur_fig2e; Fig. 2. e</x:v>
      </x:c>
    </x:row>
    <x:row r="32">
      <x:c r="A32" s="43" t="str">
        <x:v>32</x:v>
      </x:c>
      <x:c r="B32" s="43" t="str">
        <x:v>abramova_2024_devneur</x:v>
      </x:c>
      <x:c r="C32" s="43" t="str">
        <x:v>es031</x:v>
      </x:c>
      <x:c r="D32" s="43" t="str">
        <x:v>female</x:v>
      </x:c>
      <x:c r="E32" s="43" t="str">
        <x:v>Center entries (crossing)</x:v>
      </x:c>
      <x:c r="F32" s="43" t="str">
        <x:v>Verified – no change</x:v>
      </x:c>
      <x:c r="G32" s="43" t="str"/>
      <x:c r="H32" s="43" t="str"/>
      <x:c r="I32" s="43" t="str"/>
      <x:c r="J32" s="43" t="str">
        <x:v>0.198923</x:v>
      </x:c>
      <x:c r="K32" s="43" t="str">
        <x:v>SD / sqrt(n); derived for analysis from the extracted SD and sample size</x:v>
      </x:c>
      <x:c r="L32" s="43" t="str">
        <x:v>abramova_2024_devneur_fig3a; Fig. 3. a</x:v>
      </x:c>
      <x:c r="M32" s="43" t="str"/>
      <x:c r="N32" s="43" t="str">
        <x:v>0.272857</x:v>
      </x:c>
      <x:c r="O32" s="43" t="str">
        <x:v>SD / sqrt(n); derived for analysis from the extracted SD and sample size</x:v>
      </x:c>
      <x:c r="P32" s="43" t="str">
        <x:v>abramova_2024_devneur_fig3a; Fig. 3. a</x:v>
      </x:c>
    </x:row>
    <x:row r="33">
      <x:c r="A33" s="43" t="str">
        <x:v>33</x:v>
      </x:c>
      <x:c r="B33" s="43" t="str">
        <x:v>abramova_2024_devneur</x:v>
      </x:c>
      <x:c r="C33" s="43" t="str">
        <x:v>es032</x:v>
      </x:c>
      <x:c r="D33" s="43" t="str">
        <x:v>male</x:v>
      </x:c>
      <x:c r="E33" s="43" t="str">
        <x:v>Center entries (crossing)</x:v>
      </x:c>
      <x:c r="F33" s="43" t="str">
        <x:v>Verified – no change</x:v>
      </x:c>
      <x:c r="G33" s="43" t="str"/>
      <x:c r="H33" s="43" t="str"/>
      <x:c r="I33" s="43" t="str"/>
      <x:c r="J33" s="43" t="str">
        <x:v>0.251856</x:v>
      </x:c>
      <x:c r="K33" s="43" t="str">
        <x:v>SD / sqrt(n); derived for analysis from the extracted SD and sample size</x:v>
      </x:c>
      <x:c r="L33" s="43" t="str">
        <x:v>abramova_2024_devneur_fig3a; Fig. 3. a</x:v>
      </x:c>
      <x:c r="M33" s="43" t="str"/>
      <x:c r="N33" s="43" t="str">
        <x:v>0.20352</x:v>
      </x:c>
      <x:c r="O33" s="43" t="str">
        <x:v>SD / sqrt(n); derived for analysis from the extracted SD and sample size</x:v>
      </x:c>
      <x:c r="P33" s="43" t="str">
        <x:v>abramova_2024_devneur_fig3a; Fig. 3. a</x:v>
      </x:c>
    </x:row>
    <x:row r="34">
      <x:c r="A34" s="43" t="str">
        <x:v>34</x:v>
      </x:c>
      <x:c r="B34" s="43" t="str">
        <x:v>abramova_2024_devneur</x:v>
      </x:c>
      <x:c r="C34" s="43" t="str">
        <x:v>es033</x:v>
      </x:c>
      <x:c r="D34" s="43" t="str">
        <x:v>female</x:v>
      </x:c>
      <x:c r="E34" s="43" t="str">
        <x:v>Rearing frequency</x:v>
      </x:c>
      <x:c r="F34" s="43" t="str">
        <x:v>Verified – no change</x:v>
      </x:c>
      <x:c r="G34" s="43" t="str"/>
      <x:c r="H34" s="43" t="str"/>
      <x:c r="I34" s="43" t="str"/>
      <x:c r="J34" s="43" t="str">
        <x:v>0.915702</x:v>
      </x:c>
      <x:c r="K34" s="43" t="str">
        <x:v>SD / sqrt(n); derived for analysis from the extracted SD and sample size</x:v>
      </x:c>
      <x:c r="L34" s="43" t="str">
        <x:v>abramova_2024_devneur_fig3b; Fig. 3. c</x:v>
      </x:c>
      <x:c r="M34" s="43" t="str"/>
      <x:c r="N34" s="43" t="str">
        <x:v>1.57</x:v>
      </x:c>
      <x:c r="O34" s="43" t="str">
        <x:v>SD / sqrt(n); derived for analysis from the extracted SD and sample size</x:v>
      </x:c>
      <x:c r="P34" s="43" t="str">
        <x:v>abramova_2024_devneur_fig3b; Fig. 3. c</x:v>
      </x:c>
    </x:row>
    <x:row r="35">
      <x:c r="A35" s="43" t="str">
        <x:v>35</x:v>
      </x:c>
      <x:c r="B35" s="43" t="str">
        <x:v>abramova_2024_devneur</x:v>
      </x:c>
      <x:c r="C35" s="43" t="str">
        <x:v>es034</x:v>
      </x:c>
      <x:c r="D35" s="43" t="str">
        <x:v>male</x:v>
      </x:c>
      <x:c r="E35" s="43" t="str">
        <x:v>Rearing frequency</x:v>
      </x:c>
      <x:c r="F35" s="43" t="str">
        <x:v>Verified – no change</x:v>
      </x:c>
      <x:c r="G35" s="43" t="str"/>
      <x:c r="H35" s="43" t="str"/>
      <x:c r="I35" s="43" t="str"/>
      <x:c r="J35" s="43" t="str">
        <x:v>1.64467</x:v>
      </x:c>
      <x:c r="K35" s="43" t="str">
        <x:v>SD / sqrt(n); derived for analysis from the extracted SD and sample size</x:v>
      </x:c>
      <x:c r="L35" s="43" t="str">
        <x:v>abramova_2024_devneur_fig3b; Fig. 3. c</x:v>
      </x:c>
      <x:c r="M35" s="43" t="str"/>
      <x:c r="N35" s="43" t="str">
        <x:v>1.207553</x:v>
      </x:c>
      <x:c r="O35" s="43" t="str">
        <x:v>SD / sqrt(n); derived for analysis from the extracted SD and sample size</x:v>
      </x:c>
      <x:c r="P35" s="43" t="str">
        <x:v>abramova_2024_devneur_fig3b; Fig. 3. c</x:v>
      </x:c>
    </x:row>
    <x:row r="36">
      <x:c r="A36" s="43" t="str">
        <x:v>36</x:v>
      </x:c>
      <x:c r="B36" s="43" t="str">
        <x:v>abramova_2024_devneur</x:v>
      </x:c>
      <x:c r="C36" s="43" t="str">
        <x:v>es035</x:v>
      </x:c>
      <x:c r="D36" s="43" t="str">
        <x:v>female</x:v>
      </x:c>
      <x:c r="E36" s="43" t="str">
        <x:v>Sections crossed</x:v>
      </x:c>
      <x:c r="F36" s="43" t="str">
        <x:v>Verified – no change</x:v>
      </x:c>
      <x:c r="G36" s="43" t="str"/>
      <x:c r="H36" s="43" t="str"/>
      <x:c r="I36" s="43" t="str"/>
      <x:c r="J36" s="43" t="str">
        <x:v>2.364057</x:v>
      </x:c>
      <x:c r="K36" s="43" t="str">
        <x:v>SD / sqrt(n); derived for analysis from the extracted SD and sample size</x:v>
      </x:c>
      <x:c r="L36" s="43" t="str">
        <x:v>abramova_2024_devneur_fig3c; Fig. 3. b</x:v>
      </x:c>
      <x:c r="M36" s="43" t="str"/>
      <x:c r="N36" s="43" t="str">
        <x:v>2.515714</x:v>
      </x:c>
      <x:c r="O36" s="43" t="str">
        <x:v>SD / sqrt(n); derived for analysis from the extracted SD and sample size</x:v>
      </x:c>
      <x:c r="P36" s="43" t="str">
        <x:v>abramova_2024_devneur_fig3c; Fig. 3. b</x:v>
      </x:c>
    </x:row>
    <x:row r="37">
      <x:c r="A37" s="43" t="str">
        <x:v>37</x:v>
      </x:c>
      <x:c r="B37" s="43" t="str">
        <x:v>abramova_2024_devneur</x:v>
      </x:c>
      <x:c r="C37" s="43" t="str">
        <x:v>es036</x:v>
      </x:c>
      <x:c r="D37" s="43" t="str">
        <x:v>male</x:v>
      </x:c>
      <x:c r="E37" s="43" t="str">
        <x:v>Sections crossed</x:v>
      </x:c>
      <x:c r="F37" s="43" t="str">
        <x:v>Verified – no change</x:v>
      </x:c>
      <x:c r="G37" s="43" t="str"/>
      <x:c r="H37" s="43" t="str"/>
      <x:c r="I37" s="43" t="str"/>
      <x:c r="J37" s="43" t="str">
        <x:v>2.222756</x:v>
      </x:c>
      <x:c r="K37" s="43" t="str">
        <x:v>SD / sqrt(n); derived for analysis from the extracted SD and sample size</x:v>
      </x:c>
      <x:c r="L37" s="43" t="str">
        <x:v>abramova_2024_devneur_fig3c; Fig. 3. b</x:v>
      </x:c>
      <x:c r="M37" s="43" t="str"/>
      <x:c r="N37" s="43" t="str">
        <x:v>2.06083</x:v>
      </x:c>
      <x:c r="O37" s="43" t="str">
        <x:v>SD / sqrt(n); derived for analysis from the extracted SD and sample size</x:v>
      </x:c>
      <x:c r="P37" s="43" t="str">
        <x:v>abramova_2024_devneur_fig3c; Fig. 3. b</x:v>
      </x:c>
    </x:row>
    <x:row r="38">
      <x:c r="A38" s="43" t="str">
        <x:v>38</x:v>
      </x:c>
      <x:c r="B38" s="43" t="str">
        <x:v>abramova_2024_devneur</x:v>
      </x:c>
      <x:c r="C38" s="43" t="str">
        <x:v>es037</x:v>
      </x:c>
      <x:c r="D38" s="43" t="str">
        <x:v>female</x:v>
      </x:c>
      <x:c r="E38" s="43" t="str">
        <x:v>Total freezing time</x:v>
      </x:c>
      <x:c r="F38" s="43" t="str">
        <x:v>Verified – no change</x:v>
      </x:c>
      <x:c r="G38" s="43" t="str"/>
      <x:c r="H38" s="43" t="str"/>
      <x:c r="I38" s="43" t="str"/>
      <x:c r="J38" s="43" t="str">
        <x:v>1.765645</x:v>
      </x:c>
      <x:c r="K38" s="43" t="str">
        <x:v>SD / sqrt(n); derived for analysis from the extracted SD and sample size</x:v>
      </x:c>
      <x:c r="L38" s="43" t="str">
        <x:v>abramova_2024_devneur_fig3d; Fig. 3. d</x:v>
      </x:c>
      <x:c r="M38" s="43" t="str"/>
      <x:c r="N38" s="43" t="str">
        <x:v>4.401429</x:v>
      </x:c>
      <x:c r="O38" s="43" t="str">
        <x:v>SD / sqrt(n); derived for analysis from the extracted SD and sample size</x:v>
      </x:c>
      <x:c r="P38" s="43" t="str">
        <x:v>abramova_2024_devneur_fig3d; Fig. 3. d</x:v>
      </x:c>
    </x:row>
    <x:row r="39">
      <x:c r="A39" s="43" t="str">
        <x:v>39</x:v>
      </x:c>
      <x:c r="B39" s="43" t="str">
        <x:v>abramova_2024_devneur</x:v>
      </x:c>
      <x:c r="C39" s="43" t="str">
        <x:v>es038</x:v>
      </x:c>
      <x:c r="D39" s="43" t="str">
        <x:v>male</x:v>
      </x:c>
      <x:c r="E39" s="43" t="str">
        <x:v>Total freezing time</x:v>
      </x:c>
      <x:c r="F39" s="43" t="str">
        <x:v>Verified – no change</x:v>
      </x:c>
      <x:c r="G39" s="43" t="str"/>
      <x:c r="H39" s="43" t="str"/>
      <x:c r="I39" s="43" t="str"/>
      <x:c r="J39" s="43" t="str">
        <x:v>2.665617</x:v>
      </x:c>
      <x:c r="K39" s="43" t="str">
        <x:v>SD / sqrt(n); derived for analysis from the extracted SD and sample size</x:v>
      </x:c>
      <x:c r="L39" s="43" t="str">
        <x:v>abramova_2024_devneur_fig3d; Fig. 3. d</x:v>
      </x:c>
      <x:c r="M39" s="43" t="str"/>
      <x:c r="N39" s="43" t="str">
        <x:v>7.390043</x:v>
      </x:c>
      <x:c r="O39" s="43" t="str">
        <x:v>SD / sqrt(n); derived for analysis from the extracted SD and sample size</x:v>
      </x:c>
      <x:c r="P39" s="43" t="str">
        <x:v>abramova_2024_devneur_fig3d; Fig. 3. d</x:v>
      </x:c>
    </x:row>
    <x:row r="40">
      <x:c r="A40" s="43" t="str">
        <x:v>40</x:v>
      </x:c>
      <x:c r="B40" s="43" t="str">
        <x:v>abramova_2024_devneur</x:v>
      </x:c>
      <x:c r="C40" s="43" t="str">
        <x:v>es039</x:v>
      </x:c>
      <x:c r="D40" s="43" t="str">
        <x:v>female</x:v>
      </x:c>
      <x:c r="E40" s="43" t="str">
        <x:v>Total grooming time</x:v>
      </x:c>
      <x:c r="F40" s="43" t="str">
        <x:v>Verified – no change</x:v>
      </x:c>
      <x:c r="G40" s="43" t="str"/>
      <x:c r="H40" s="43" t="str"/>
      <x:c r="I40" s="43" t="str"/>
      <x:c r="J40" s="43" t="str">
        <x:v>2.189795</x:v>
      </x:c>
      <x:c r="K40" s="43" t="str">
        <x:v>SD / sqrt(n); derived for analysis from the extracted SD and sample size</x:v>
      </x:c>
      <x:c r="L40" s="43" t="str">
        <x:v>abramova_2024_devneur_fig3e; Fig. 3. e</x:v>
      </x:c>
      <x:c r="M40" s="43" t="str"/>
      <x:c r="N40" s="43" t="str">
        <x:v>2.457143</x:v>
      </x:c>
      <x:c r="O40" s="43" t="str">
        <x:v>SD / sqrt(n); derived for analysis from the extracted SD and sample size</x:v>
      </x:c>
      <x:c r="P40" s="43" t="str">
        <x:v>abramova_2024_devneur_fig3e; Fig. 3. e</x:v>
      </x:c>
    </x:row>
    <x:row r="41">
      <x:c r="A41" s="43" t="str">
        <x:v>41</x:v>
      </x:c>
      <x:c r="B41" s="43" t="str">
        <x:v>abramova_2024_devneur</x:v>
      </x:c>
      <x:c r="C41" s="43" t="str">
        <x:v>es040</x:v>
      </x:c>
      <x:c r="D41" s="43" t="str">
        <x:v>male</x:v>
      </x:c>
      <x:c r="E41" s="43" t="str">
        <x:v>Total grooming time</x:v>
      </x:c>
      <x:c r="F41" s="43" t="str">
        <x:v>Verified – no change</x:v>
      </x:c>
      <x:c r="G41" s="43" t="str"/>
      <x:c r="H41" s="43" t="str"/>
      <x:c r="I41" s="43" t="str"/>
      <x:c r="J41" s="43" t="str">
        <x:v>1.408027</x:v>
      </x:c>
      <x:c r="K41" s="43" t="str">
        <x:v>SD / sqrt(n); derived for analysis from the extracted SD and sample size</x:v>
      </x:c>
      <x:c r="L41" s="43" t="str">
        <x:v>abramova_2024_devneur_fig3e; Fig. 3. e</x:v>
      </x:c>
      <x:c r="M41" s="43" t="str"/>
      <x:c r="N41" s="43" t="str">
        <x:v>3.814119</x:v>
      </x:c>
      <x:c r="O41" s="43" t="str">
        <x:v>SD / sqrt(n); derived for analysis from the extracted SD and sample size</x:v>
      </x:c>
      <x:c r="P41" s="43" t="str">
        <x:v>abramova_2024_devneur_fig3e; Fig. 3. e</x:v>
      </x:c>
    </x:row>
    <x:row r="42">
      <x:c r="A42" s="43" t="str">
        <x:v>42</x:v>
      </x:c>
      <x:c r="B42" s="43" t="str">
        <x:v>abramova_2024_devneur</x:v>
      </x:c>
      <x:c r="C42" s="43" t="str">
        <x:v>es041</x:v>
      </x:c>
      <x:c r="D42" s="43" t="str">
        <x:v>female</x:v>
      </x:c>
      <x:c r="E42" s="43" t="str">
        <x:v>Grooming frequency</x:v>
      </x:c>
      <x:c r="F42" s="43" t="str">
        <x:v>Verified – no change</x:v>
      </x:c>
      <x:c r="G42" s="43" t="str"/>
      <x:c r="H42" s="43" t="str"/>
      <x:c r="I42" s="43" t="str"/>
      <x:c r="J42" s="43" t="str">
        <x:v>0.35017</x:v>
      </x:c>
      <x:c r="K42" s="43" t="str">
        <x:v>SD / sqrt(n); derived for analysis from the extracted SD and sample size</x:v>
      </x:c>
      <x:c r="L42" s="43" t="str">
        <x:v>abramova_2024_devneur_fig3f; Fig. 3. f</x:v>
      </x:c>
      <x:c r="M42" s="43" t="str"/>
      <x:c r="N42" s="43" t="str">
        <x:v>0.311429</x:v>
      </x:c>
      <x:c r="O42" s="43" t="str">
        <x:v>SD / sqrt(n); derived for analysis from the extracted SD and sample size</x:v>
      </x:c>
      <x:c r="P42" s="43" t="str">
        <x:v>abramova_2024_devneur_fig3f; Fig. 3. f</x:v>
      </x:c>
    </x:row>
    <x:row r="43">
      <x:c r="A43" s="43" t="str">
        <x:v>43</x:v>
      </x:c>
      <x:c r="B43" s="43" t="str">
        <x:v>abramova_2024_devneur</x:v>
      </x:c>
      <x:c r="C43" s="43" t="str">
        <x:v>es042</x:v>
      </x:c>
      <x:c r="D43" s="43" t="str">
        <x:v>male</x:v>
      </x:c>
      <x:c r="E43" s="43" t="str">
        <x:v>Grooming frequency</x:v>
      </x:c>
      <x:c r="F43" s="43" t="str">
        <x:v>Verified – no change</x:v>
      </x:c>
      <x:c r="G43" s="43" t="str"/>
      <x:c r="H43" s="43" t="str"/>
      <x:c r="I43" s="43" t="str"/>
      <x:c r="J43" s="43" t="str">
        <x:v>0.253546</x:v>
      </x:c>
      <x:c r="K43" s="43" t="str">
        <x:v>SD / sqrt(n); derived for analysis from the extracted SD and sample size</x:v>
      </x:c>
      <x:c r="L43" s="43" t="str">
        <x:v>abramova_2024_devneur_fig3f; Fig. 3. f</x:v>
      </x:c>
      <x:c r="M43" s="43" t="str"/>
      <x:c r="N43" s="43" t="str">
        <x:v>0.419101</x:v>
      </x:c>
      <x:c r="O43" s="43" t="str">
        <x:v>SD / sqrt(n); derived for analysis from the extracted SD and sample size</x:v>
      </x:c>
      <x:c r="P43" s="43" t="str">
        <x:v>abramova_2024_devneur_fig3f; Fig. 3. f</x:v>
      </x:c>
    </x:row>
    <x:row r="44">
      <x:c r="A44" s="43" t="str">
        <x:v>44</x:v>
      </x:c>
      <x:c r="B44" s="43" t="str">
        <x:v>abramova_2024_devneur</x:v>
      </x:c>
      <x:c r="C44" s="43" t="str">
        <x:v>es043</x:v>
      </x:c>
      <x:c r="D44" s="43" t="str">
        <x:v>female</x:v>
      </x:c>
      <x:c r="E44" s="43" t="str">
        <x:v>Total immobility time</x:v>
      </x:c>
      <x:c r="F44" s="43" t="str">
        <x:v>Verified – no change</x:v>
      </x:c>
      <x:c r="G44" s="43" t="str"/>
      <x:c r="H44" s="43" t="str"/>
      <x:c r="I44" s="43" t="str"/>
      <x:c r="J44" s="43" t="str">
        <x:v>7.31494</x:v>
      </x:c>
      <x:c r="K44" s="43" t="str">
        <x:v>SD / sqrt(n); derived for analysis from the extracted SD and sample size</x:v>
      </x:c>
      <x:c r="L44" s="43" t="str">
        <x:v>abramova_2024_devneur_fig4a; Fig.4. a</x:v>
      </x:c>
      <x:c r="M44" s="43" t="str"/>
      <x:c r="N44" s="43" t="str">
        <x:v>5.388912</x:v>
      </x:c>
      <x:c r="O44" s="43" t="str">
        <x:v>SD / sqrt(n); derived for analysis from the extracted SD and sample size</x:v>
      </x:c>
      <x:c r="P44" s="43" t="str">
        <x:v>abramova_2024_devneur_fig4a; Fig.4. a</x:v>
      </x:c>
    </x:row>
    <x:row r="45">
      <x:c r="A45" s="43" t="str">
        <x:v>45</x:v>
      </x:c>
      <x:c r="B45" s="43" t="str">
        <x:v>abramova_2024_devneur</x:v>
      </x:c>
      <x:c r="C45" s="43" t="str">
        <x:v>es044</x:v>
      </x:c>
      <x:c r="D45" s="43" t="str">
        <x:v>male</x:v>
      </x:c>
      <x:c r="E45" s="43" t="str">
        <x:v>Total immobility time</x:v>
      </x:c>
      <x:c r="F45" s="43" t="str">
        <x:v>Verified – no change</x:v>
      </x:c>
      <x:c r="G45" s="43" t="str"/>
      <x:c r="H45" s="43" t="str"/>
      <x:c r="I45" s="43" t="str"/>
      <x:c r="J45" s="43" t="str">
        <x:v>12.889345</x:v>
      </x:c>
      <x:c r="K45" s="43" t="str">
        <x:v>SD / sqrt(n); derived for analysis from the extracted SD and sample size</x:v>
      </x:c>
      <x:c r="L45" s="43" t="str">
        <x:v>abramova_2024_devneur_fig4a; Fig.4. a</x:v>
      </x:c>
      <x:c r="M45" s="43" t="str"/>
      <x:c r="N45" s="43" t="str">
        <x:v>12.310053</x:v>
      </x:c>
      <x:c r="O45" s="43" t="str">
        <x:v>SD / sqrt(n); derived for analysis from the extracted SD and sample size</x:v>
      </x:c>
      <x:c r="P45" s="43" t="str">
        <x:v>abramova_2024_devneur_fig4a; Fig.4. a</x:v>
      </x:c>
    </x:row>
    <x:row r="46">
      <x:c r="A46" s="43" t="str">
        <x:v>46</x:v>
      </x:c>
      <x:c r="B46" s="43" t="str">
        <x:v>abramova_2024_devneur</x:v>
      </x:c>
      <x:c r="C46" s="43" t="str">
        <x:v>es045</x:v>
      </x:c>
      <x:c r="D46" s="43" t="str">
        <x:v>female</x:v>
      </x:c>
      <x:c r="E46" s="43" t="str">
        <x:v>Sucrose preference index</x:v>
      </x:c>
      <x:c r="F46" s="43" t="str">
        <x:v>Corrected transcription</x:v>
      </x:c>
      <x:c r="G46" s="43" t="str">
        <x:v>Source follow-up – Abramova 2024</x:v>
      </x:c>
      <x:c r="H46" s="43" t="str">
        <x:v>The supplied author email confirms the stored mean and SE values. | Link the extracted values to the archived author correspondence screenshot.</x:v>
      </x:c>
      <x:c r="I46" s="43" t="str">
        <x:v>4.3</x:v>
      </x:c>
      <x:c r="J46" s="43" t="str">
        <x:v>4.3</x:v>
      </x:c>
      <x:c r="K46" s="43" t="str">
        <x:v>Reported SE in author email; used unchanged for analysis</x:v>
      </x:c>
      <x:c r="L46" s="43" t="str">
        <x:v>included_studies/abramova_2024_devneur/abramova_2024_devneur_author_email_sucrose_preference.png</x:v>
      </x:c>
      <x:c r="M46" s="43" t="str">
        <x:v>5.4</x:v>
      </x:c>
      <x:c r="N46" s="43" t="str">
        <x:v>5.4</x:v>
      </x:c>
      <x:c r="O46" s="43" t="str">
        <x:v>Reported SE in author email; used unchanged for analysis</x:v>
      </x:c>
      <x:c r="P46" s="43" t="str">
        <x:v>included_studies/abramova_2024_devneur/abramova_2024_devneur_author_email_sucrose_preference.png</x:v>
      </x:c>
    </x:row>
    <x:row r="47">
      <x:c r="A47" s="43" t="str">
        <x:v>47</x:v>
      </x:c>
      <x:c r="B47" s="43" t="str">
        <x:v>abramova_2024_devneur</x:v>
      </x:c>
      <x:c r="C47" s="43" t="str">
        <x:v>es046</x:v>
      </x:c>
      <x:c r="D47" s="43" t="str">
        <x:v>male</x:v>
      </x:c>
      <x:c r="E47" s="43" t="str">
        <x:v>Sucrose preference index</x:v>
      </x:c>
      <x:c r="F47" s="43" t="str">
        <x:v>Corrected transcription</x:v>
      </x:c>
      <x:c r="G47" s="43" t="str">
        <x:v>Source follow-up – Abramova 2024</x:v>
      </x:c>
      <x:c r="H47" s="43" t="str">
        <x:v>The supplied author email confirms the stored mean and SE values. | Link the extracted values to the archived author correspondence screenshot.</x:v>
      </x:c>
      <x:c r="I47" s="43" t="str">
        <x:v>5.2</x:v>
      </x:c>
      <x:c r="J47" s="43" t="str">
        <x:v>5.2</x:v>
      </x:c>
      <x:c r="K47" s="43" t="str">
        <x:v>Reported SE in author email; used unchanged for analysis</x:v>
      </x:c>
      <x:c r="L47" s="43" t="str">
        <x:v>included_studies/abramova_2024_devneur/abramova_2024_devneur_author_email_sucrose_preference.png</x:v>
      </x:c>
      <x:c r="M47" s="43" t="str">
        <x:v>4.3</x:v>
      </x:c>
      <x:c r="N47" s="43" t="str">
        <x:v>4.3</x:v>
      </x:c>
      <x:c r="O47" s="43" t="str">
        <x:v>Reported SE in author email; used unchanged for analysis</x:v>
      </x:c>
      <x:c r="P47" s="43" t="str">
        <x:v>included_studies/abramova_2024_devneur/abramova_2024_devneur_author_email_sucrose_preference.png</x:v>
      </x:c>
    </x:row>
    <x:row r="48">
      <x:c r="A48" s="43" t="str">
        <x:v>48</x:v>
      </x:c>
      <x:c r="B48" s="43" t="str">
        <x:v>oliveira_2015_jbehavbraisci</x:v>
      </x:c>
      <x:c r="C48" s="43" t="str">
        <x:v>es047</x:v>
      </x:c>
      <x:c r="D48" s="43" t="str">
        <x:v>male</x:v>
      </x:c>
      <x:c r="E48" s="43" t="str">
        <x:v>Avoidance latency</x:v>
      </x:c>
      <x:c r="F48" s="43" t="str">
        <x:v>Verified – no change</x:v>
      </x:c>
      <x:c r="G48" s="43" t="str"/>
      <x:c r="H48" s="43" t="str"/>
      <x:c r="I48" s="43" t="str">
        <x:v>7.25</x:v>
      </x:c>
      <x:c r="J48" s="43" t="str">
        <x:v>7.25</x:v>
      </x:c>
      <x:c r="K48" s="43" t="str">
        <x:v>Reported SEM; used unchanged for analysis</x:v>
      </x:c>
      <x:c r="L48" s="43" t="str">
        <x:v>oliveira_2015_jbehavbraisci_fig2b; Figure 2. b</x:v>
      </x:c>
      <x:c r="M48" s="43" t="str">
        <x:v>4.15</x:v>
      </x:c>
      <x:c r="N48" s="43" t="str">
        <x:v>4.15</x:v>
      </x:c>
      <x:c r="O48" s="43" t="str">
        <x:v>Reported SEM; used unchanged for analysis</x:v>
      </x:c>
      <x:c r="P48" s="43" t="str">
        <x:v>oliveira_2015_jbehavbraisci_fig2b; Figure 2. b</x:v>
      </x:c>
    </x:row>
    <x:row r="49">
      <x:c r="A49" s="43" t="str">
        <x:v>49</x:v>
      </x:c>
      <x:c r="B49" s="43" t="str">
        <x:v>oliveira_2015_jbehavbraisci</x:v>
      </x:c>
      <x:c r="C49" s="43" t="str">
        <x:v>es048</x:v>
      </x:c>
      <x:c r="D49" s="43" t="str">
        <x:v>male</x:v>
      </x:c>
      <x:c r="E49" s="43" t="str">
        <x:v>Avoidance latency</x:v>
      </x:c>
      <x:c r="F49" s="43" t="str">
        <x:v>Verified – no change</x:v>
      </x:c>
      <x:c r="G49" s="43" t="str"/>
      <x:c r="H49" s="43" t="str"/>
      <x:c r="I49" s="43" t="str">
        <x:v>34.2</x:v>
      </x:c>
      <x:c r="J49" s="43" t="str">
        <x:v>34.2</x:v>
      </x:c>
      <x:c r="K49" s="43" t="str">
        <x:v>Reported SEM; used unchanged for analysis</x:v>
      </x:c>
      <x:c r="L49" s="43" t="str">
        <x:v>oliveira_2015_jbehavbraisci_fig2b; Figure 2. b</x:v>
      </x:c>
      <x:c r="M49" s="43" t="str">
        <x:v>37.82</x:v>
      </x:c>
      <x:c r="N49" s="43" t="str">
        <x:v>37.82</x:v>
      </x:c>
      <x:c r="O49" s="43" t="str">
        <x:v>Reported SEM; used unchanged for analysis</x:v>
      </x:c>
      <x:c r="P49" s="43" t="str">
        <x:v>oliveira_2015_jbehavbraisci_fig2b; Figure 2. b</x:v>
      </x:c>
    </x:row>
    <x:row r="50">
      <x:c r="A50" s="43" t="str">
        <x:v>50</x:v>
      </x:c>
      <x:c r="B50" s="43" t="str">
        <x:v>oliveira_2015_jbehavbraisci</x:v>
      </x:c>
      <x:c r="C50" s="43" t="str">
        <x:v>es049</x:v>
      </x:c>
      <x:c r="D50" s="43" t="str">
        <x:v>male</x:v>
      </x:c>
      <x:c r="E50" s="43" t="str">
        <x:v>Avoidance latency</x:v>
      </x:c>
      <x:c r="F50" s="43" t="str">
        <x:v>Verified – no change</x:v>
      </x:c>
      <x:c r="G50" s="43" t="str"/>
      <x:c r="H50" s="43" t="str"/>
      <x:c r="I50" s="43" t="str">
        <x:v>37.31</x:v>
      </x:c>
      <x:c r="J50" s="43" t="str">
        <x:v>37.31</x:v>
      </x:c>
      <x:c r="K50" s="43" t="str">
        <x:v>Reported SEM; used unchanged for analysis</x:v>
      </x:c>
      <x:c r="L50" s="43" t="str">
        <x:v>oliveira_2015_jbehavbraisci_fig2b; Figure 2. b</x:v>
      </x:c>
      <x:c r="M50" s="43" t="str">
        <x:v>42.49</x:v>
      </x:c>
      <x:c r="N50" s="43" t="str">
        <x:v>42.49</x:v>
      </x:c>
      <x:c r="O50" s="43" t="str">
        <x:v>Reported SEM; used unchanged for analysis</x:v>
      </x:c>
      <x:c r="P50" s="43" t="str">
        <x:v>oliveira_2015_jbehavbraisci_fig2b; Figure 2. b</x:v>
      </x:c>
    </x:row>
    <x:row r="51">
      <x:c r="A51" s="43" t="str">
        <x:v>51</x:v>
      </x:c>
      <x:c r="B51" s="43" t="str">
        <x:v>oliveira_2015_jbehavbraisci</x:v>
      </x:c>
      <x:c r="C51" s="43" t="str">
        <x:v>es050</x:v>
      </x:c>
      <x:c r="D51" s="43" t="str">
        <x:v>male</x:v>
      </x:c>
      <x:c r="E51" s="43" t="str">
        <x:v>Escape latency</x:v>
      </x:c>
      <x:c r="F51" s="43" t="str">
        <x:v>Verified – no change</x:v>
      </x:c>
      <x:c r="G51" s="43" t="str"/>
      <x:c r="H51" s="43" t="str"/>
      <x:c r="I51" s="43" t="str">
        <x:v>1.11</x:v>
      </x:c>
      <x:c r="J51" s="43" t="str">
        <x:v>1.11</x:v>
      </x:c>
      <x:c r="K51" s="43" t="str">
        <x:v>Reported SEM; used unchanged for analysis</x:v>
      </x:c>
      <x:c r="L51" s="43" t="str">
        <x:v>oliveira_2015_jbehavbraisci_fig3b; Figure 3. b</x:v>
      </x:c>
      <x:c r="M51" s="43" t="str">
        <x:v>2.37</x:v>
      </x:c>
      <x:c r="N51" s="43" t="str">
        <x:v>2.37</x:v>
      </x:c>
      <x:c r="O51" s="43" t="str">
        <x:v>Reported SEM; used unchanged for analysis</x:v>
      </x:c>
      <x:c r="P51" s="43" t="str">
        <x:v>oliveira_2015_jbehavbraisci_fig3b; Figure 3. b</x:v>
      </x:c>
    </x:row>
    <x:row r="52">
      <x:c r="A52" s="43" t="str">
        <x:v>52</x:v>
      </x:c>
      <x:c r="B52" s="43" t="str">
        <x:v>oliveira_2015_jbehavbraisci</x:v>
      </x:c>
      <x:c r="C52" s="43" t="str">
        <x:v>es051</x:v>
      </x:c>
      <x:c r="D52" s="43" t="str">
        <x:v>male</x:v>
      </x:c>
      <x:c r="E52" s="43" t="str">
        <x:v>Escape latency</x:v>
      </x:c>
      <x:c r="F52" s="43" t="str">
        <x:v>Verified – no change</x:v>
      </x:c>
      <x:c r="G52" s="43" t="str"/>
      <x:c r="H52" s="43" t="str"/>
      <x:c r="I52" s="43" t="str">
        <x:v>2.31</x:v>
      </x:c>
      <x:c r="J52" s="43" t="str">
        <x:v>2.31</x:v>
      </x:c>
      <x:c r="K52" s="43" t="str">
        <x:v>Reported SEM; used unchanged for analysis</x:v>
      </x:c>
      <x:c r="L52" s="43" t="str">
        <x:v>oliveira_2015_jbehavbraisci_fig3b; Figure 3. b</x:v>
      </x:c>
      <x:c r="M52" s="43" t="str">
        <x:v>1.17</x:v>
      </x:c>
      <x:c r="N52" s="43" t="str">
        <x:v>1.17</x:v>
      </x:c>
      <x:c r="O52" s="43" t="str">
        <x:v>Reported SEM; used unchanged for analysis</x:v>
      </x:c>
      <x:c r="P52" s="43" t="str">
        <x:v>oliveira_2015_jbehavbraisci_fig3b; Figure 3. b</x:v>
      </x:c>
    </x:row>
    <x:row r="53">
      <x:c r="A53" s="43" t="str">
        <x:v>53</x:v>
      </x:c>
      <x:c r="B53" s="43" t="str">
        <x:v>oliveira_2015_jbehavbraisci</x:v>
      </x:c>
      <x:c r="C53" s="43" t="str">
        <x:v>es052</x:v>
      </x:c>
      <x:c r="D53" s="43" t="str">
        <x:v>male</x:v>
      </x:c>
      <x:c r="E53" s="43" t="str">
        <x:v>Escape latency</x:v>
      </x:c>
      <x:c r="F53" s="43" t="str">
        <x:v>Verified – no change</x:v>
      </x:c>
      <x:c r="G53" s="43" t="str"/>
      <x:c r="H53" s="43" t="str"/>
      <x:c r="I53" s="43" t="str">
        <x:v>2.23</x:v>
      </x:c>
      <x:c r="J53" s="43" t="str">
        <x:v>2.23</x:v>
      </x:c>
      <x:c r="K53" s="43" t="str">
        <x:v>Reported SEM; used unchanged for analysis</x:v>
      </x:c>
      <x:c r="L53" s="43" t="str">
        <x:v>oliveira_2015_jbehavbraisci_fig3b; Figure 3. b</x:v>
      </x:c>
      <x:c r="M53" s="43" t="str">
        <x:v>4.46</x:v>
      </x:c>
      <x:c r="N53" s="43" t="str">
        <x:v>4.46</x:v>
      </x:c>
      <x:c r="O53" s="43" t="str">
        <x:v>Reported SEM; used unchanged for analysis</x:v>
      </x:c>
      <x:c r="P53" s="43" t="str">
        <x:v>oliveira_2015_jbehavbraisci_fig3b; Figure 3. b</x:v>
      </x:c>
    </x:row>
    <x:row r="54">
      <x:c r="A54" s="43" t="str">
        <x:v>54</x:v>
      </x:c>
      <x:c r="B54" s="43" t="str">
        <x:v>pavlov_2023_molsci</x:v>
      </x:c>
      <x:c r="C54" s="43" t="str">
        <x:v>es053</x:v>
      </x:c>
      <x:c r="D54" s="43" t="str">
        <x:v>female</x:v>
      </x:c>
      <x:c r="E54" s="43" t="str">
        <x:v>Sucrose preference index</x:v>
      </x:c>
      <x:c r="F54" s="43" t="str">
        <x:v>Verified – no change</x:v>
      </x:c>
      <x:c r="G54" s="43" t="str"/>
      <x:c r="H54" s="43" t="str"/>
      <x:c r="I54" s="43" t="str"/>
      <x:c r="J54" s="43" t="str">
        <x:v>3.073734</x:v>
      </x:c>
      <x:c r="K54" s="43" t="str">
        <x:v>SD / sqrt(n); derived for analysis from the extracted SD and sample size</x:v>
      </x:c>
      <x:c r="L54" s="43" t="str">
        <x:v>pavlov_2023_molsci_Fig4A; Figure 4A</x:v>
      </x:c>
      <x:c r="M54" s="43" t="str"/>
      <x:c r="N54" s="43" t="str">
        <x:v>3.605354</x:v>
      </x:c>
      <x:c r="O54" s="43" t="str">
        <x:v>SD / sqrt(n); derived for analysis from the extracted SD and sample size</x:v>
      </x:c>
      <x:c r="P54" s="43" t="str">
        <x:v>pavlov_2023_molsci_Fig4A; Figure 4A</x:v>
      </x:c>
    </x:row>
    <x:row r="55">
      <x:c r="A55" s="43" t="str">
        <x:v>55</x:v>
      </x:c>
      <x:c r="B55" s="43" t="str">
        <x:v>pavlov_2023_molsci</x:v>
      </x:c>
      <x:c r="C55" s="43" t="str">
        <x:v>es054</x:v>
      </x:c>
      <x:c r="D55" s="43" t="str">
        <x:v>female</x:v>
      </x:c>
      <x:c r="E55" s="43" t="str">
        <x:v>Sections crossed</x:v>
      </x:c>
      <x:c r="F55" s="43" t="str">
        <x:v>Verified – no change</x:v>
      </x:c>
      <x:c r="G55" s="43" t="str"/>
      <x:c r="H55" s="43" t="str"/>
      <x:c r="I55" s="43" t="str"/>
      <x:c r="J55" s="43" t="str">
        <x:v>1.951125</x:v>
      </x:c>
      <x:c r="K55" s="43" t="str">
        <x:v>SD / sqrt(n); derived for analysis from the extracted SD and sample size</x:v>
      </x:c>
      <x:c r="L55" s="43" t="str">
        <x:v>pavlov_2023_molsci_Fig4C; Figure 4C</x:v>
      </x:c>
      <x:c r="M55" s="43" t="str"/>
      <x:c r="N55" s="43" t="str">
        <x:v>0.847218</x:v>
      </x:c>
      <x:c r="O55" s="43" t="str">
        <x:v>SD / sqrt(n); derived for analysis from the extracted SD and sample size</x:v>
      </x:c>
      <x:c r="P55" s="43" t="str">
        <x:v>pavlov_2023_molsci_Fig4C; Figure 4C</x:v>
      </x:c>
    </x:row>
    <x:row r="56">
      <x:c r="A56" s="43" t="str">
        <x:v>56</x:v>
      </x:c>
      <x:c r="B56" s="43" t="str">
        <x:v>pavlov_2023_molsci</x:v>
      </x:c>
      <x:c r="C56" s="43" t="str">
        <x:v>es055</x:v>
      </x:c>
      <x:c r="D56" s="43" t="str">
        <x:v>female</x:v>
      </x:c>
      <x:c r="E56" s="43" t="str">
        <x:v>Time in central square</x:v>
      </x:c>
      <x:c r="F56" s="43" t="str">
        <x:v>Verified – no change</x:v>
      </x:c>
      <x:c r="G56" s="43" t="str"/>
      <x:c r="H56" s="43" t="str"/>
      <x:c r="I56" s="43" t="str"/>
      <x:c r="J56" s="43" t="str">
        <x:v>5.533986</x:v>
      </x:c>
      <x:c r="K56" s="43" t="str">
        <x:v>SD / sqrt(n); derived for analysis from the extracted SD and sample size</x:v>
      </x:c>
      <x:c r="L56" s="43" t="str">
        <x:v>pavlov_2023_molsci_Fig4D; Figure 4D</x:v>
      </x:c>
      <x:c r="M56" s="43" t="str"/>
      <x:c r="N56" s="43" t="str">
        <x:v>2.979963</x:v>
      </x:c>
      <x:c r="O56" s="43" t="str">
        <x:v>SD / sqrt(n); derived for analysis from the extracted SD and sample size</x:v>
      </x:c>
      <x:c r="P56" s="43" t="str">
        <x:v>pavlov_2023_molsci_Fig4D; Figure 4D</x:v>
      </x:c>
    </x:row>
    <x:row r="57">
      <x:c r="A57" s="43" t="str">
        <x:v>57</x:v>
      </x:c>
      <x:c r="B57" s="43" t="str">
        <x:v>pavlov_2023_molsci</x:v>
      </x:c>
      <x:c r="C57" s="43" t="str">
        <x:v>es056</x:v>
      </x:c>
      <x:c r="D57" s="43" t="str">
        <x:v>female</x:v>
      </x:c>
      <x:c r="E57" s="43" t="str">
        <x:v>Time in open arms (OAT)</x:v>
      </x:c>
      <x:c r="F57" s="43" t="str">
        <x:v>Verified – no change</x:v>
      </x:c>
      <x:c r="G57" s="43" t="str"/>
      <x:c r="H57" s="43" t="str"/>
      <x:c r="I57" s="43" t="str"/>
      <x:c r="J57" s="43" t="str">
        <x:v>6.590187</x:v>
      </x:c>
      <x:c r="K57" s="43" t="str">
        <x:v>SD / sqrt(n); derived for analysis from the extracted SD and sample size</x:v>
      </x:c>
      <x:c r="L57" s="43" t="str">
        <x:v>pavlov_2023_molsci_Fig4E; Figure 4E</x:v>
      </x:c>
      <x:c r="M57" s="43" t="str"/>
      <x:c r="N57" s="43" t="str">
        <x:v>2.555017</x:v>
      </x:c>
      <x:c r="O57" s="43" t="str">
        <x:v>SD / sqrt(n); derived for analysis from the extracted SD and sample size</x:v>
      </x:c>
      <x:c r="P57" s="43" t="str">
        <x:v>pavlov_2023_molsci_Fig4E; Figure 4E</x:v>
      </x:c>
    </x:row>
    <x:row r="58">
      <x:c r="A58" s="43" t="str">
        <x:v>58</x:v>
      </x:c>
      <x:c r="B58" s="43" t="str">
        <x:v>pavlov_2023_molsci</x:v>
      </x:c>
      <x:c r="C58" s="43" t="str">
        <x:v>es057</x:v>
      </x:c>
      <x:c r="D58" s="43" t="str">
        <x:v>female</x:v>
      </x:c>
      <x:c r="E58" s="43" t="str">
        <x:v>Entries into open arms (OAE)</x:v>
      </x:c>
      <x:c r="F58" s="43" t="str">
        <x:v>Verified – no change</x:v>
      </x:c>
      <x:c r="G58" s="43" t="str"/>
      <x:c r="H58" s="43" t="str"/>
      <x:c r="I58" s="43" t="str"/>
      <x:c r="J58" s="43" t="str">
        <x:v>1.720279</x:v>
      </x:c>
      <x:c r="K58" s="43" t="str">
        <x:v>SD / sqrt(n); derived for analysis from the extracted SD and sample size</x:v>
      </x:c>
      <x:c r="L58" s="43" t="str">
        <x:v>pavlov_2023_molsci_Fig4F; Figure 4F</x:v>
      </x:c>
      <x:c r="M58" s="43" t="str"/>
      <x:c r="N58" s="43" t="str">
        <x:v>1.130515</x:v>
      </x:c>
      <x:c r="O58" s="43" t="str">
        <x:v>SD / sqrt(n); derived for analysis from the extracted SD and sample size</x:v>
      </x:c>
      <x:c r="P58" s="43" t="str">
        <x:v>pavlov_2023_molsci_Fig4F; Figure 4F</x:v>
      </x:c>
    </x:row>
    <x:row r="59">
      <x:c r="A59" s="43" t="str">
        <x:v>59</x:v>
      </x:c>
      <x:c r="B59" s="43" t="str">
        <x:v>nishio_2006_intjdevlneur</x:v>
      </x:c>
      <x:c r="C59" s="43" t="str">
        <x:v>es058</x:v>
      </x:c>
      <x:c r="D59" s="43" t="str">
        <x:v>male</x:v>
      </x:c>
      <x:c r="E59" s="43" t="str">
        <x:v>Time in open arms (OAT)</x:v>
      </x:c>
      <x:c r="F59" s="43" t="str">
        <x:v>Verified – no change</x:v>
      </x:c>
      <x:c r="G59" s="43" t="str"/>
      <x:c r="H59" s="43" t="str"/>
      <x:c r="I59" s="43" t="str">
        <x:v>6.17</x:v>
      </x:c>
      <x:c r="J59" s="43" t="str">
        <x:v>6.17</x:v>
      </x:c>
      <x:c r="K59" s="43" t="str">
        <x:v>Reported SEM; used unchanged for analysis</x:v>
      </x:c>
      <x:c r="L59" s="43" t="str">
        <x:v>nishio_2006_intjdevlneur_fig2a; Fig. 2a</x:v>
      </x:c>
      <x:c r="M59" s="43" t="str">
        <x:v>3.55</x:v>
      </x:c>
      <x:c r="N59" s="43" t="str">
        <x:v>3.55</x:v>
      </x:c>
      <x:c r="O59" s="43" t="str">
        <x:v>Reported SEM; used unchanged for analysis</x:v>
      </x:c>
      <x:c r="P59" s="43" t="str">
        <x:v>nishio_2006_intjdevlneur_fig2a; Fig. 2a</x:v>
      </x:c>
    </x:row>
    <x:row r="60">
      <x:c r="A60" s="43" t="str">
        <x:v>60</x:v>
      </x:c>
      <x:c r="B60" s="43" t="str">
        <x:v>nishio_2006_intjdevlneur</x:v>
      </x:c>
      <x:c r="C60" s="43" t="str">
        <x:v>es059</x:v>
      </x:c>
      <x:c r="D60" s="43" t="str">
        <x:v>female</x:v>
      </x:c>
      <x:c r="E60" s="43" t="str">
        <x:v>Time in open arms (OAT)</x:v>
      </x:c>
      <x:c r="F60" s="43" t="str">
        <x:v>Verified – no change</x:v>
      </x:c>
      <x:c r="G60" s="43" t="str"/>
      <x:c r="H60" s="43" t="str"/>
      <x:c r="I60" s="43" t="str">
        <x:v>3.06</x:v>
      </x:c>
      <x:c r="J60" s="43" t="str">
        <x:v>3.06</x:v>
      </x:c>
      <x:c r="K60" s="43" t="str">
        <x:v>Reported SEM; used unchanged for analysis</x:v>
      </x:c>
      <x:c r="L60" s="43" t="str">
        <x:v>nishio_2006_intjdevlneur_fig2a; Fig. 2a</x:v>
      </x:c>
      <x:c r="M60" s="43" t="str">
        <x:v>6.17</x:v>
      </x:c>
      <x:c r="N60" s="43" t="str">
        <x:v>6.17</x:v>
      </x:c>
      <x:c r="O60" s="43" t="str">
        <x:v>Reported SEM; used unchanged for analysis</x:v>
      </x:c>
      <x:c r="P60" s="43" t="str">
        <x:v>nishio_2006_intjdevlneur_fig2a; Fig. 2a</x:v>
      </x:c>
    </x:row>
    <x:row r="61">
      <x:c r="A61" s="43" t="str">
        <x:v>61</x:v>
      </x:c>
      <x:c r="B61" s="43" t="str">
        <x:v>nishio_2006_intjdevlneur</x:v>
      </x:c>
      <x:c r="C61" s="43" t="str">
        <x:v>es060</x:v>
      </x:c>
      <x:c r="D61" s="43" t="str">
        <x:v>male</x:v>
      </x:c>
      <x:c r="E61" s="43" t="str">
        <x:v>Entries into open arms (OAE)</x:v>
      </x:c>
      <x:c r="F61" s="43" t="str">
        <x:v>Verified – no change</x:v>
      </x:c>
      <x:c r="G61" s="43" t="str"/>
      <x:c r="H61" s="43" t="str"/>
      <x:c r="I61" s="43" t="str">
        <x:v>4.31</x:v>
      </x:c>
      <x:c r="J61" s="43" t="str">
        <x:v>4.31</x:v>
      </x:c>
      <x:c r="K61" s="43" t="str">
        <x:v>Reported SEM; used unchanged for analysis</x:v>
      </x:c>
      <x:c r="L61" s="43" t="str">
        <x:v>nishio_2006_intjdevlneur_fig2b; Fig. 2b</x:v>
      </x:c>
      <x:c r="M61" s="43" t="str">
        <x:v>3.48</x:v>
      </x:c>
      <x:c r="N61" s="43" t="str">
        <x:v>3.48</x:v>
      </x:c>
      <x:c r="O61" s="43" t="str">
        <x:v>Reported SEM; used unchanged for analysis</x:v>
      </x:c>
      <x:c r="P61" s="43" t="str">
        <x:v>nishio_2006_intjdevlneur_fig2b; Fig. 2b</x:v>
      </x:c>
    </x:row>
    <x:row r="62">
      <x:c r="A62" s="43" t="str">
        <x:v>62</x:v>
      </x:c>
      <x:c r="B62" s="43" t="str">
        <x:v>nishio_2006_intjdevlneur</x:v>
      </x:c>
      <x:c r="C62" s="43" t="str">
        <x:v>es061</x:v>
      </x:c>
      <x:c r="D62" s="43" t="str">
        <x:v>female</x:v>
      </x:c>
      <x:c r="E62" s="43" t="str">
        <x:v>Entries into open arms (OAE)</x:v>
      </x:c>
      <x:c r="F62" s="43" t="str">
        <x:v>Verified – no change</x:v>
      </x:c>
      <x:c r="G62" s="43" t="str"/>
      <x:c r="H62" s="43" t="str"/>
      <x:c r="I62" s="43" t="str">
        <x:v>3.4</x:v>
      </x:c>
      <x:c r="J62" s="43" t="str">
        <x:v>3.4</x:v>
      </x:c>
      <x:c r="K62" s="43" t="str">
        <x:v>Reported SEM; used unchanged for analysis</x:v>
      </x:c>
      <x:c r="L62" s="43" t="str">
        <x:v>nishio_2006_intjdevlneur_fig2b; Fig. 2b</x:v>
      </x:c>
      <x:c r="M62" s="43" t="str">
        <x:v>6.63</x:v>
      </x:c>
      <x:c r="N62" s="43" t="str">
        <x:v>6.63</x:v>
      </x:c>
      <x:c r="O62" s="43" t="str">
        <x:v>Reported SEM; used unchanged for analysis</x:v>
      </x:c>
      <x:c r="P62" s="43" t="str">
        <x:v>nishio_2006_intjdevlneur_fig2b; Fig. 2b</x:v>
      </x:c>
    </x:row>
    <x:row r="63">
      <x:c r="A63" s="43" t="str">
        <x:v>63</x:v>
      </x:c>
      <x:c r="B63" s="43" t="str">
        <x:v>nishio_2006_intjdevlneur</x:v>
      </x:c>
      <x:c r="C63" s="43" t="str">
        <x:v>es062</x:v>
      </x:c>
      <x:c r="D63" s="43" t="str">
        <x:v>male</x:v>
      </x:c>
      <x:c r="E63" s="43" t="str">
        <x:v>Entries to closed arms</x:v>
      </x:c>
      <x:c r="F63" s="43" t="str">
        <x:v>Verified – no change</x:v>
      </x:c>
      <x:c r="G63" s="43" t="str"/>
      <x:c r="H63" s="43" t="str"/>
      <x:c r="I63" s="43" t="str">
        <x:v>0.76</x:v>
      </x:c>
      <x:c r="J63" s="43" t="str">
        <x:v>0.76</x:v>
      </x:c>
      <x:c r="K63" s="43" t="str">
        <x:v>Reported SEM; used unchanged for analysis</x:v>
      </x:c>
      <x:c r="L63" s="43" t="str">
        <x:v>nishio_2006_intjdevlneur_fig2c; Fig. 2c</x:v>
      </x:c>
      <x:c r="M63" s="43" t="str">
        <x:v>0.53</x:v>
      </x:c>
      <x:c r="N63" s="43" t="str">
        <x:v>0.53</x:v>
      </x:c>
      <x:c r="O63" s="43" t="str">
        <x:v>Reported SEM; used unchanged for analysis</x:v>
      </x:c>
      <x:c r="P63" s="43" t="str">
        <x:v>nishio_2006_intjdevlneur_fig2c; Fig. 2c</x:v>
      </x:c>
    </x:row>
    <x:row r="64">
      <x:c r="A64" s="43" t="str">
        <x:v>64</x:v>
      </x:c>
      <x:c r="B64" s="43" t="str">
        <x:v>nishio_2006_intjdevlneur</x:v>
      </x:c>
      <x:c r="C64" s="43" t="str">
        <x:v>es063</x:v>
      </x:c>
      <x:c r="D64" s="43" t="str">
        <x:v>female</x:v>
      </x:c>
      <x:c r="E64" s="43" t="str">
        <x:v>Entries to closed arms</x:v>
      </x:c>
      <x:c r="F64" s="43" t="str">
        <x:v>Verified – no change</x:v>
      </x:c>
      <x:c r="G64" s="43" t="str"/>
      <x:c r="H64" s="43" t="str"/>
      <x:c r="I64" s="43" t="str">
        <x:v>1.08</x:v>
      </x:c>
      <x:c r="J64" s="43" t="str">
        <x:v>1.08</x:v>
      </x:c>
      <x:c r="K64" s="43" t="str">
        <x:v>Reported SEM; used unchanged for analysis</x:v>
      </x:c>
      <x:c r="L64" s="43" t="str">
        <x:v>nishio_2006_intjdevlneur_fig2c; Fig. 2c</x:v>
      </x:c>
      <x:c r="M64" s="43" t="str">
        <x:v>0.51</x:v>
      </x:c>
      <x:c r="N64" s="43" t="str">
        <x:v>0.51</x:v>
      </x:c>
      <x:c r="O64" s="43" t="str">
        <x:v>Reported SEM; used unchanged for analysis</x:v>
      </x:c>
      <x:c r="P64" s="43" t="str">
        <x:v>nishio_2006_intjdevlneur_fig2c; Fig. 2c</x:v>
      </x:c>
    </x:row>
    <x:row r="65">
      <x:c r="A65" s="43" t="str">
        <x:v>65</x:v>
      </x:c>
      <x:c r="B65" s="43" t="str">
        <x:v>uygur_2011_ankarauniv</x:v>
      </x:c>
      <x:c r="C65" s="43" t="str">
        <x:v>es064</x:v>
      </x:c>
      <x:c r="D65" s="43" t="str">
        <x:v>male</x:v>
      </x:c>
      <x:c r="E65" s="43" t="str">
        <x:v>Total immobility time</x:v>
      </x:c>
      <x:c r="F65" s="43" t="str">
        <x:v>Verified – no change</x:v>
      </x:c>
      <x:c r="G65" s="43" t="str"/>
      <x:c r="H65" s="43" t="str"/>
      <x:c r="I65" s="43" t="str">
        <x:v>8.29</x:v>
      </x:c>
      <x:c r="J65" s="43" t="str">
        <x:v>8.29</x:v>
      </x:c>
      <x:c r="K65" s="43" t="str">
        <x:v>Reported SEM; used unchanged for analysis</x:v>
      </x:c>
      <x:c r="L65" s="43" t="str">
        <x:v>uygur_2011_ankarauniv.pdf; In paper: Table 2.</x:v>
      </x:c>
      <x:c r="M65" s="43" t="str">
        <x:v>7.86</x:v>
      </x:c>
      <x:c r="N65" s="43" t="str">
        <x:v>7.86</x:v>
      </x:c>
      <x:c r="O65" s="43" t="str">
        <x:v>Reported SEM; used unchanged for analysis</x:v>
      </x:c>
      <x:c r="P65" s="43" t="str">
        <x:v>uygur_2011_ankarauniv.pdf; In paper: Table 2.</x:v>
      </x:c>
    </x:row>
    <x:row r="66">
      <x:c r="A66" s="43" t="str">
        <x:v>66</x:v>
      </x:c>
      <x:c r="B66" s="43" t="str">
        <x:v>uygur_2011_ankarauniv</x:v>
      </x:c>
      <x:c r="C66" s="43" t="str">
        <x:v>es065</x:v>
      </x:c>
      <x:c r="D66" s="43" t="str">
        <x:v>male</x:v>
      </x:c>
      <x:c r="E66" s="43" t="str">
        <x:v>Total immobility time</x:v>
      </x:c>
      <x:c r="F66" s="43" t="str">
        <x:v>Verified – no change</x:v>
      </x:c>
      <x:c r="G66" s="43" t="str"/>
      <x:c r="H66" s="43" t="str"/>
      <x:c r="I66" s="43" t="str">
        <x:v>13.52</x:v>
      </x:c>
      <x:c r="J66" s="43" t="str">
        <x:v>13.52</x:v>
      </x:c>
      <x:c r="K66" s="43" t="str">
        <x:v>Reported SEM; used unchanged for analysis</x:v>
      </x:c>
      <x:c r="L66" s="43" t="str">
        <x:v>uygur_2011_ankarauniv.pdf; In paper: Table 2.</x:v>
      </x:c>
      <x:c r="M66" s="43" t="str">
        <x:v>12.83</x:v>
      </x:c>
      <x:c r="N66" s="43" t="str">
        <x:v>12.83</x:v>
      </x:c>
      <x:c r="O66" s="43" t="str">
        <x:v>Reported SEM; used unchanged for analysis</x:v>
      </x:c>
      <x:c r="P66" s="43" t="str">
        <x:v>uygur_2011_ankarauniv.pdf; In paper: Table 2.</x:v>
      </x:c>
    </x:row>
    <x:row r="67">
      <x:c r="A67" s="43" t="str">
        <x:v>67</x:v>
      </x:c>
      <x:c r="B67" s="43" t="str">
        <x:v>uygur_2011_ankarauniv</x:v>
      </x:c>
      <x:c r="C67" s="43" t="str">
        <x:v>es066</x:v>
      </x:c>
      <x:c r="D67" s="43" t="str">
        <x:v>male</x:v>
      </x:c>
      <x:c r="E67" s="43" t="str">
        <x:v>Total swimming time</x:v>
      </x:c>
      <x:c r="F67" s="43" t="str">
        <x:v>Verified – no change</x:v>
      </x:c>
      <x:c r="G67" s="43" t="str"/>
      <x:c r="H67" s="43" t="str"/>
      <x:c r="I67" s="43" t="str">
        <x:v>6.28</x:v>
      </x:c>
      <x:c r="J67" s="43" t="str">
        <x:v>6.28</x:v>
      </x:c>
      <x:c r="K67" s="43" t="str">
        <x:v>Reported SEM; used unchanged for analysis</x:v>
      </x:c>
      <x:c r="L67" s="43" t="str">
        <x:v>uygur_2011_ankarauniv.pdf; In paper: Table 2.</x:v>
      </x:c>
      <x:c r="M67" s="43" t="str">
        <x:v>5.96</x:v>
      </x:c>
      <x:c r="N67" s="43" t="str">
        <x:v>5.96</x:v>
      </x:c>
      <x:c r="O67" s="43" t="str">
        <x:v>Reported SEM; used unchanged for analysis</x:v>
      </x:c>
      <x:c r="P67" s="43" t="str">
        <x:v>uygur_2011_ankarauniv.pdf; In paper: Table 2.</x:v>
      </x:c>
    </x:row>
    <x:row r="68">
      <x:c r="A68" s="43" t="str">
        <x:v>68</x:v>
      </x:c>
      <x:c r="B68" s="43" t="str">
        <x:v>uygur_2011_ankarauniv</x:v>
      </x:c>
      <x:c r="C68" s="43" t="str">
        <x:v>es067</x:v>
      </x:c>
      <x:c r="D68" s="43" t="str">
        <x:v>male</x:v>
      </x:c>
      <x:c r="E68" s="43" t="str">
        <x:v>Total swimming time</x:v>
      </x:c>
      <x:c r="F68" s="43" t="str">
        <x:v>Verified – no change</x:v>
      </x:c>
      <x:c r="G68" s="43" t="str"/>
      <x:c r="H68" s="43" t="str"/>
      <x:c r="I68" s="43" t="str">
        <x:v>13.15</x:v>
      </x:c>
      <x:c r="J68" s="43" t="str">
        <x:v>13.15</x:v>
      </x:c>
      <x:c r="K68" s="43" t="str">
        <x:v>Reported SEM; used unchanged for analysis</x:v>
      </x:c>
      <x:c r="L68" s="43" t="str">
        <x:v>uygur_2011_ankarauniv.pdf; In paper: Table 2.</x:v>
      </x:c>
      <x:c r="M68" s="43" t="str">
        <x:v>12.48</x:v>
      </x:c>
      <x:c r="N68" s="43" t="str">
        <x:v>12.48</x:v>
      </x:c>
      <x:c r="O68" s="43" t="str">
        <x:v>Reported SEM; used unchanged for analysis</x:v>
      </x:c>
      <x:c r="P68" s="43" t="str">
        <x:v>uygur_2011_ankarauniv.pdf; In paper: Table 2.</x:v>
      </x:c>
    </x:row>
    <x:row r="69">
      <x:c r="A69" s="43" t="str">
        <x:v>69</x:v>
      </x:c>
      <x:c r="B69" s="43" t="str">
        <x:v>uygur_2011_ankarauniv</x:v>
      </x:c>
      <x:c r="C69" s="43" t="str">
        <x:v>es068</x:v>
      </x:c>
      <x:c r="D69" s="43" t="str">
        <x:v>male</x:v>
      </x:c>
      <x:c r="E69" s="43" t="str">
        <x:v>Total diving time</x:v>
      </x:c>
      <x:c r="F69" s="43" t="str">
        <x:v>Corrected transcription</x:v>
      </x:c>
      <x:c r="G69" s="43" t="str">
        <x:v>1 – Uygur 2011 outcome units</x:v>
      </x:c>
      <x:c r="H69" s="43" t="str">
        <x:v>The paper reports total time spent in diving or jumping, not event counts. | The outcome is a duration in seconds.</x:v>
      </x:c>
      <x:c r="I69" s="43" t="str">
        <x:v>1.49</x:v>
      </x:c>
      <x:c r="J69" s="43" t="str">
        <x:v>1.49</x:v>
      </x:c>
      <x:c r="K69" s="43" t="str">
        <x:v>Reported SEM; used unchanged for analysis</x:v>
      </x:c>
      <x:c r="L69" s="43" t="str">
        <x:v>uygur_2011_ankarauniv.pdf; In paper: Table 2.</x:v>
      </x:c>
      <x:c r="M69" s="43" t="str">
        <x:v>1.42</x:v>
      </x:c>
      <x:c r="N69" s="43" t="str">
        <x:v>1.42</x:v>
      </x:c>
      <x:c r="O69" s="43" t="str">
        <x:v>Reported SEM; used unchanged for analysis</x:v>
      </x:c>
      <x:c r="P69" s="43" t="str">
        <x:v>uygur_2011_ankarauniv.pdf; In paper: Table 2.</x:v>
      </x:c>
    </x:row>
    <x:row r="70">
      <x:c r="A70" s="43" t="str">
        <x:v>70</x:v>
      </x:c>
      <x:c r="B70" s="43" t="str">
        <x:v>uygur_2011_ankarauniv</x:v>
      </x:c>
      <x:c r="C70" s="43" t="str">
        <x:v>es069</x:v>
      </x:c>
      <x:c r="D70" s="43" t="str">
        <x:v>male</x:v>
      </x:c>
      <x:c r="E70" s="43" t="str">
        <x:v>Total diving time</x:v>
      </x:c>
      <x:c r="F70" s="43" t="str">
        <x:v>Corrected transcription</x:v>
      </x:c>
      <x:c r="G70" s="43" t="str">
        <x:v>1 – Uygur 2011 outcome units</x:v>
      </x:c>
      <x:c r="H70" s="43" t="str">
        <x:v>The paper reports total time spent in diving or jumping, not event counts. | The outcome is a duration in seconds.</x:v>
      </x:c>
      <x:c r="I70" s="43" t="str">
        <x:v>0.95</x:v>
      </x:c>
      <x:c r="J70" s="43" t="str">
        <x:v>0.95</x:v>
      </x:c>
      <x:c r="K70" s="43" t="str">
        <x:v>Reported SEM; used unchanged for analysis</x:v>
      </x:c>
      <x:c r="L70" s="43" t="str">
        <x:v>uygur_2011_ankarauniv.pdf; In paper: Table 2.</x:v>
      </x:c>
      <x:c r="M70" s="43" t="str">
        <x:v>0.9</x:v>
      </x:c>
      <x:c r="N70" s="43" t="str">
        <x:v>0.9</x:v>
      </x:c>
      <x:c r="O70" s="43" t="str">
        <x:v>Reported SEM; used unchanged for analysis</x:v>
      </x:c>
      <x:c r="P70" s="43" t="str">
        <x:v>uygur_2011_ankarauniv.pdf; In paper: Table 2.</x:v>
      </x:c>
    </x:row>
    <x:row r="71">
      <x:c r="A71" s="43" t="str">
        <x:v>71</x:v>
      </x:c>
      <x:c r="B71" s="43" t="str">
        <x:v>uygur_2011_ankarauniv</x:v>
      </x:c>
      <x:c r="C71" s="43" t="str">
        <x:v>es070</x:v>
      </x:c>
      <x:c r="D71" s="43" t="str">
        <x:v>male</x:v>
      </x:c>
      <x:c r="E71" s="43" t="str">
        <x:v>Total jumping time</x:v>
      </x:c>
      <x:c r="F71" s="43" t="str">
        <x:v>Corrected transcription</x:v>
      </x:c>
      <x:c r="G71" s="43" t="str">
        <x:v>1 – Uygur 2011 outcome units</x:v>
      </x:c>
      <x:c r="H71" s="43" t="str">
        <x:v>The paper reports total time spent in diving or jumping, not event counts. | The outcome is a duration in seconds.</x:v>
      </x:c>
      <x:c r="I71" s="43" t="str">
        <x:v>4.89</x:v>
      </x:c>
      <x:c r="J71" s="43" t="str">
        <x:v>4.89</x:v>
      </x:c>
      <x:c r="K71" s="43" t="str">
        <x:v>Reported SEM; used unchanged for analysis</x:v>
      </x:c>
      <x:c r="L71" s="43" t="str">
        <x:v>uygur_2011_ankarauniv.pdf; In paper: Table 2.</x:v>
      </x:c>
      <x:c r="M71" s="43" t="str">
        <x:v>4.64</x:v>
      </x:c>
      <x:c r="N71" s="43" t="str">
        <x:v>4.64</x:v>
      </x:c>
      <x:c r="O71" s="43" t="str">
        <x:v>Reported SEM; used unchanged for analysis</x:v>
      </x:c>
      <x:c r="P71" s="43" t="str">
        <x:v>uygur_2011_ankarauniv.pdf; In paper: Table 2.</x:v>
      </x:c>
    </x:row>
    <x:row r="72">
      <x:c r="A72" s="43" t="str">
        <x:v>72</x:v>
      </x:c>
      <x:c r="B72" s="43" t="str">
        <x:v>uygur_2011_ankarauniv</x:v>
      </x:c>
      <x:c r="C72" s="43" t="str">
        <x:v>es071</x:v>
      </x:c>
      <x:c r="D72" s="43" t="str">
        <x:v>male</x:v>
      </x:c>
      <x:c r="E72" s="43" t="str">
        <x:v>Total jumping time</x:v>
      </x:c>
      <x:c r="F72" s="43" t="str">
        <x:v>Corrected transcription</x:v>
      </x:c>
      <x:c r="G72" s="43" t="str">
        <x:v>1 – Uygur 2011 outcome units</x:v>
      </x:c>
      <x:c r="H72" s="43" t="str">
        <x:v>The paper reports total time spent in diving or jumping, not event counts. | The outcome is a duration in seconds.</x:v>
      </x:c>
      <x:c r="I72" s="43" t="str">
        <x:v>3.93</x:v>
      </x:c>
      <x:c r="J72" s="43" t="str">
        <x:v>3.93</x:v>
      </x:c>
      <x:c r="K72" s="43" t="str">
        <x:v>Reported SEM; used unchanged for analysis</x:v>
      </x:c>
      <x:c r="L72" s="43" t="str">
        <x:v>uygur_2011_ankarauniv.pdf; In paper: Table 2.</x:v>
      </x:c>
      <x:c r="M72" s="43" t="str">
        <x:v>3.73</x:v>
      </x:c>
      <x:c r="N72" s="43" t="str">
        <x:v>3.73</x:v>
      </x:c>
      <x:c r="O72" s="43" t="str">
        <x:v>Reported SEM; used unchanged for analysis</x:v>
      </x:c>
      <x:c r="P72" s="43" t="str">
        <x:v>uygur_2011_ankarauniv.pdf; In paper: Table 2.</x:v>
      </x:c>
    </x:row>
    <x:row r="73">
      <x:c r="A73" s="43" t="str">
        <x:v>73</x:v>
      </x:c>
      <x:c r="B73" s="43" t="str">
        <x:v>morra_1965_physiolrec</x:v>
      </x:c>
      <x:c r="C73" s="43" t="str">
        <x:v>es072</x:v>
      </x:c>
      <x:c r="D73" s="43" t="str">
        <x:v>mixed</x:v>
      </x:c>
      <x:c r="E73" s="43" t="str">
        <x:v>Sections crossed</x:v>
      </x:c>
      <x:c r="F73" s="43" t="str">
        <x:v>Verified – no change</x:v>
      </x:c>
      <x:c r="G73" s="43" t="str"/>
      <x:c r="H73" s="43" t="str"/>
      <x:c r="I73" s="43" t="str"/>
      <x:c r="J73" s="43" t="str">
        <x:v>1.058301</x:v>
      </x:c>
      <x:c r="K73" s="43" t="str">
        <x:v>SD / sqrt(n); derived for analysis from the extracted SD and sample size</x:v>
      </x:c>
      <x:c r="L73" s="43" t="str">
        <x:v>Table 2 and text</x:v>
      </x:c>
      <x:c r="M73" s="43" t="str"/>
      <x:c r="N73" s="43" t="str">
        <x:v>1.402956</x:v>
      </x:c>
      <x:c r="O73" s="43" t="str">
        <x:v>SD / sqrt(n); derived for analysis from the extracted SD and sample size</x:v>
      </x:c>
      <x:c r="P73" s="43" t="str">
        <x:v>Table 2 and text</x:v>
      </x:c>
    </x:row>
    <x:row r="74">
      <x:c r="A74" s="43" t="str">
        <x:v>74</x:v>
      </x:c>
      <x:c r="B74" s="43" t="str">
        <x:v>morra_1965_physiolrec</x:v>
      </x:c>
      <x:c r="C74" s="43" t="str">
        <x:v>es073</x:v>
      </x:c>
      <x:c r="D74" s="43" t="str">
        <x:v>mixed</x:v>
      </x:c>
      <x:c r="E74" s="43" t="str">
        <x:v>Initial latency to move</x:v>
      </x:c>
      <x:c r="F74" s="43" t="str">
        <x:v>Verified – no change</x:v>
      </x:c>
      <x:c r="G74" s="43" t="str"/>
      <x:c r="H74" s="43" t="str"/>
      <x:c r="I74" s="43" t="str"/>
      <x:c r="J74" s="43" t="str">
        <x:v>0.995306</x:v>
      </x:c>
      <x:c r="K74" s="43" t="str">
        <x:v>SD / sqrt(n); derived for analysis from the extracted SD and sample size</x:v>
      </x:c>
      <x:c r="L74" s="43" t="str">
        <x:v>Table 2 and text</x:v>
      </x:c>
      <x:c r="M74" s="43" t="str"/>
      <x:c r="N74" s="43" t="str">
        <x:v>1.386053</x:v>
      </x:c>
      <x:c r="O74" s="43" t="str">
        <x:v>SD / sqrt(n); derived for analysis from the extracted SD and sample size</x:v>
      </x:c>
      <x:c r="P74" s="43" t="str">
        <x:v>Table 2 and text</x:v>
      </x:c>
    </x:row>
    <x:row r="75">
      <x:c r="A75" s="43" t="str">
        <x:v>75</x:v>
      </x:c>
      <x:c r="B75" s="43" t="str">
        <x:v>abramova_2021_front</x:v>
      </x:c>
      <x:c r="C75" s="43" t="str">
        <x:v>es074</x:v>
      </x:c>
      <x:c r="D75" s="43" t="str">
        <x:v>female</x:v>
      </x:c>
      <x:c r="E75" s="43" t="str">
        <x:v>Sections crossed</x:v>
      </x:c>
      <x:c r="F75" s="43" t="str">
        <x:v>Corrected transcription</x:v>
      </x:c>
      <x:c r="G75" s="43" t="str">
        <x:v>6 – Abramova 2021 same-sex controls</x:v>
      </x:c>
      <x:c r="H75" s="43" t="str">
        <x:v>Use the females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c r="I75" s="43" t="str"/>
      <x:c r="J75" s="43" t="str">
        <x:v>3.523056</x:v>
      </x:c>
      <x:c r="K75" s="43" t="str">
        <x:v>SD / sqrt(n), using the same-sex subgroup in author raw data</x:v>
      </x:c>
      <x:c r="L75" s="43" t="str">
        <x:v>included_studies/abramova_2021_front/abramova_2021_front.xlsx, Лист1, handling=No handling</x:v>
      </x:c>
      <x:c r="M75" s="43" t="str"/>
      <x:c r="N75" s="43" t="str">
        <x:v>2.913236</x:v>
      </x:c>
      <x:c r="O75" s="43" t="str">
        <x:v>SD / sqrt(n), using the same-sex subgroup in author raw data</x:v>
      </x:c>
      <x:c r="P75" s="43" t="str">
        <x:v>included_studies/abramova_2021_front/abramova_2021_front.xlsx, Лист1, handling=No handling</x:v>
      </x:c>
    </x:row>
    <x:row r="76">
      <x:c r="A76" s="43" t="str">
        <x:v>76</x:v>
      </x:c>
      <x:c r="B76" s="43" t="str">
        <x:v>abramova_2021_front</x:v>
      </x:c>
      <x:c r="C76" s="43" t="str">
        <x:v>es075</x:v>
      </x:c>
      <x:c r="D76" s="43" t="str">
        <x:v>male</x:v>
      </x:c>
      <x:c r="E76" s="43" t="str">
        <x:v>Sections crossed</x:v>
      </x:c>
      <x:c r="F76" s="43" t="str">
        <x:v>Corrected transcription</x:v>
      </x:c>
      <x:c r="G76" s="43" t="str">
        <x:v>6 – Abramova 2021 same-sex controls</x:v>
      </x:c>
      <x:c r="H76" s="43" t="str">
        <x:v>Use the 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c r="I76" s="43" t="str"/>
      <x:c r="J76" s="43" t="str">
        <x:v>3.158058</x:v>
      </x:c>
      <x:c r="K76" s="43" t="str">
        <x:v>SD / sqrt(n), using the same-sex subgroup in author raw data</x:v>
      </x:c>
      <x:c r="L76" s="43" t="str">
        <x:v>included_studies/abramova_2021_front/abramova_2021_front.xlsx, Лист1, handling=No handling</x:v>
      </x:c>
      <x:c r="M76" s="43" t="str"/>
      <x:c r="N76" s="43" t="str">
        <x:v>3.43496</x:v>
      </x:c>
      <x:c r="O76" s="43" t="str">
        <x:v>SD / sqrt(n), using the same-sex subgroup in author raw data</x:v>
      </x:c>
      <x:c r="P76" s="43" t="str">
        <x:v>included_studies/abramova_2021_front/abramova_2021_front.xlsx, Лист1, handling=No handling</x:v>
      </x:c>
    </x:row>
    <x:row r="77">
      <x:c r="A77" s="43" t="str">
        <x:v>77</x:v>
      </x:c>
      <x:c r="B77" s="43" t="str">
        <x:v>abramova_2021_front</x:v>
      </x:c>
      <x:c r="C77" s="43" t="str">
        <x:v>es076</x:v>
      </x:c>
      <x:c r="D77" s="43" t="str">
        <x:v>female</x:v>
      </x:c>
      <x:c r="E77" s="43" t="str">
        <x:v>Rearing frequency</x:v>
      </x:c>
      <x:c r="F77" s="43" t="str">
        <x:v>Corrected transcription</x:v>
      </x:c>
      <x:c r="G77" s="43" t="str">
        <x:v>6 – Abramova 2021 same-sex controls</x:v>
      </x:c>
      <x:c r="H77" s="43" t="str">
        <x:v>Use the females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c r="I77" s="43" t="str"/>
      <x:c r="J77" s="43" t="str">
        <x:v>1.825711</x:v>
      </x:c>
      <x:c r="K77" s="43" t="str">
        <x:v>SD / sqrt(n), using the same-sex subgroup in author raw data</x:v>
      </x:c>
      <x:c r="L77" s="43" t="str">
        <x:v>included_studies/abramova_2021_front/abramova_2021_front.xlsx, Лист1, handling=No handling</x:v>
      </x:c>
      <x:c r="M77" s="43" t="str"/>
      <x:c r="N77" s="43" t="str">
        <x:v>1.014201</x:v>
      </x:c>
      <x:c r="O77" s="43" t="str">
        <x:v>SD / sqrt(n), using the same-sex subgroup in author raw data</x:v>
      </x:c>
      <x:c r="P77" s="43" t="str">
        <x:v>included_studies/abramova_2021_front/abramova_2021_front.xlsx, Лист1, handling=No handling</x:v>
      </x:c>
    </x:row>
    <x:row r="78">
      <x:c r="A78" s="43" t="str">
        <x:v>78</x:v>
      </x:c>
      <x:c r="B78" s="43" t="str">
        <x:v>abramova_2021_front</x:v>
      </x:c>
      <x:c r="C78" s="43" t="str">
        <x:v>es077</x:v>
      </x:c>
      <x:c r="D78" s="43" t="str">
        <x:v>male</x:v>
      </x:c>
      <x:c r="E78" s="43" t="str">
        <x:v>Rearing frequency</x:v>
      </x:c>
      <x:c r="F78" s="43" t="str">
        <x:v>Corrected transcription</x:v>
      </x:c>
      <x:c r="G78" s="43" t="str">
        <x:v>6 – Abramova 2021 same-sex controls</x:v>
      </x:c>
      <x:c r="H78" s="43" t="str">
        <x:v>Use the 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c r="I78" s="43" t="str"/>
      <x:c r="J78" s="43" t="str">
        <x:v>1.386747</x:v>
      </x:c>
      <x:c r="K78" s="43" t="str">
        <x:v>SD / sqrt(n), using the same-sex subgroup in author raw data</x:v>
      </x:c>
      <x:c r="L78" s="43" t="str">
        <x:v>included_studies/abramova_2021_front/abramova_2021_front.xlsx, Лист1, handling=No handling</x:v>
      </x:c>
      <x:c r="M78" s="43" t="str"/>
      <x:c r="N78" s="43" t="str">
        <x:v>0.983986</x:v>
      </x:c>
      <x:c r="O78" s="43" t="str">
        <x:v>SD / sqrt(n), using the same-sex subgroup in author raw data</x:v>
      </x:c>
      <x:c r="P78" s="43" t="str">
        <x:v>included_studies/abramova_2021_front/abramova_2021_front.xlsx, Лист1, handling=No handling</x:v>
      </x:c>
    </x:row>
    <x:row r="79">
      <x:c r="A79" s="43" t="str">
        <x:v>79</x:v>
      </x:c>
      <x:c r="B79" s="43" t="str">
        <x:v>abramova_2021_front</x:v>
      </x:c>
      <x:c r="C79" s="43" t="str">
        <x:v>es078</x:v>
      </x:c>
      <x:c r="D79" s="43" t="str">
        <x:v>female</x:v>
      </x:c>
      <x:c r="E79" s="43" t="str">
        <x:v>Center entries (crossing)</x:v>
      </x:c>
      <x:c r="F79" s="43" t="str">
        <x:v>Corrected transcription</x:v>
      </x:c>
      <x:c r="G79" s="43" t="str">
        <x:v>6 – Abramova 2021 same-sex controls</x:v>
      </x:c>
      <x:c r="H79" s="43" t="str">
        <x:v>Use the females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c r="I79" s="43" t="str"/>
      <x:c r="J79" s="43" t="str">
        <x:v>0.52682</x:v>
      </x:c>
      <x:c r="K79" s="43" t="str">
        <x:v>SD / sqrt(n), using the same-sex subgroup in author raw data</x:v>
      </x:c>
      <x:c r="L79" s="43" t="str">
        <x:v>included_studies/abramova_2021_front/abramova_2021_front.xlsx, Лист1, handling=No handling</x:v>
      </x:c>
      <x:c r="M79" s="43" t="str"/>
      <x:c r="N79" s="43" t="str">
        <x:v>0.465485</x:v>
      </x:c>
      <x:c r="O79" s="43" t="str">
        <x:v>SD / sqrt(n), using the same-sex subgroup in author raw data</x:v>
      </x:c>
      <x:c r="P79" s="43" t="str">
        <x:v>included_studies/abramova_2021_front/abramova_2021_front.xlsx, Лист1, handling=No handling</x:v>
      </x:c>
    </x:row>
    <x:row r="80">
      <x:c r="A80" s="43" t="str">
        <x:v>80</x:v>
      </x:c>
      <x:c r="B80" s="43" t="str">
        <x:v>abramova_2021_front</x:v>
      </x:c>
      <x:c r="C80" s="43" t="str">
        <x:v>es079</x:v>
      </x:c>
      <x:c r="D80" s="43" t="str">
        <x:v>male</x:v>
      </x:c>
      <x:c r="E80" s="43" t="str">
        <x:v>Center entries (crossing)</x:v>
      </x:c>
      <x:c r="F80" s="43" t="str">
        <x:v>Corrected transcription</x:v>
      </x:c>
      <x:c r="G80" s="43" t="str">
        <x:v>6 – Abramova 2021 same-sex controls</x:v>
      </x:c>
      <x:c r="H80" s="43" t="str">
        <x:v>Use the 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c r="I80" s="43" t="str"/>
      <x:c r="J80" s="43" t="str">
        <x:v>0.298217</x:v>
      </x:c>
      <x:c r="K80" s="43" t="str">
        <x:v>SD / sqrt(n), using the same-sex subgroup in author raw data</x:v>
      </x:c>
      <x:c r="L80" s="43" t="str">
        <x:v>included_studies/abramova_2021_front/abramova_2021_front.xlsx, Лист1, handling=No handling</x:v>
      </x:c>
      <x:c r="M80" s="43" t="str"/>
      <x:c r="N80" s="43" t="str">
        <x:v>0.547654</x:v>
      </x:c>
      <x:c r="O80" s="43" t="str">
        <x:v>SD / sqrt(n), using the same-sex subgroup in author raw data</x:v>
      </x:c>
      <x:c r="P80" s="43" t="str">
        <x:v>included_studies/abramova_2021_front/abramova_2021_front.xlsx, Лист1, handling=No handling</x:v>
      </x:c>
    </x:row>
    <x:row r="81">
      <x:c r="A81" s="43" t="str">
        <x:v>81</x:v>
      </x:c>
      <x:c r="B81" s="43" t="str">
        <x:v>abramova_2021_front</x:v>
      </x:c>
      <x:c r="C81" s="43" t="str">
        <x:v>es080</x:v>
      </x:c>
      <x:c r="D81" s="43" t="str">
        <x:v>female</x:v>
      </x:c>
      <x:c r="E81" s="43" t="str">
        <x:v>Time in central square</x:v>
      </x:c>
      <x:c r="F81" s="43" t="str">
        <x:v>Corrected transcription</x:v>
      </x:c>
      <x:c r="G81" s="43" t="str">
        <x:v>6 – Abramova 2021 same-sex controls</x:v>
      </x:c>
      <x:c r="H81" s="43" t="str">
        <x:v>Use the females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c r="I81" s="43" t="str"/>
      <x:c r="J81" s="43" t="str">
        <x:v>1.425754</x:v>
      </x:c>
      <x:c r="K81" s="43" t="str">
        <x:v>SD / sqrt(n), using the same-sex subgroup in author raw data</x:v>
      </x:c>
      <x:c r="L81" s="43" t="str">
        <x:v>included_studies/abramova_2021_front/abramova_2021_front.xlsx, Лист1, handling=No handling</x:v>
      </x:c>
      <x:c r="M81" s="43" t="str"/>
      <x:c r="N81" s="43" t="str">
        <x:v>1.174379</x:v>
      </x:c>
      <x:c r="O81" s="43" t="str">
        <x:v>SD / sqrt(n), using the same-sex subgroup in author raw data</x:v>
      </x:c>
      <x:c r="P81" s="43" t="str">
        <x:v>included_studies/abramova_2021_front/abramova_2021_front.xlsx, Лист1, handling=No handling</x:v>
      </x:c>
    </x:row>
    <x:row r="82">
      <x:c r="A82" s="43" t="str">
        <x:v>82</x:v>
      </x:c>
      <x:c r="B82" s="43" t="str">
        <x:v>abramova_2021_front</x:v>
      </x:c>
      <x:c r="C82" s="43" t="str">
        <x:v>es081</x:v>
      </x:c>
      <x:c r="D82" s="43" t="str">
        <x:v>male</x:v>
      </x:c>
      <x:c r="E82" s="43" t="str">
        <x:v>Time in central square</x:v>
      </x:c>
      <x:c r="F82" s="43" t="str">
        <x:v>Corrected transcription</x:v>
      </x:c>
      <x:c r="G82" s="43" t="str">
        <x:v>6 – Abramova 2021 same-sex controls</x:v>
      </x:c>
      <x:c r="H82" s="43" t="str">
        <x:v>Use the 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c r="I82" s="43" t="str"/>
      <x:c r="J82" s="43" t="str">
        <x:v>0.678013</x:v>
      </x:c>
      <x:c r="K82" s="43" t="str">
        <x:v>SD / sqrt(n), using the same-sex subgroup in author raw data</x:v>
      </x:c>
      <x:c r="L82" s="43" t="str">
        <x:v>included_studies/abramova_2021_front/abramova_2021_front.xlsx, Лист1, handling=No handling</x:v>
      </x:c>
      <x:c r="M82" s="43" t="str"/>
      <x:c r="N82" s="43" t="str">
        <x:v>0.516777</x:v>
      </x:c>
      <x:c r="O82" s="43" t="str">
        <x:v>SD / sqrt(n), using the same-sex subgroup in author raw data</x:v>
      </x:c>
      <x:c r="P82" s="43" t="str">
        <x:v>included_studies/abramova_2021_front/abramova_2021_front.xlsx, Лист1, handling=No handling</x:v>
      </x:c>
    </x:row>
    <x:row r="83">
      <x:c r="A83" s="43" t="str">
        <x:v>83</x:v>
      </x:c>
      <x:c r="B83" s="43" t="str">
        <x:v>abramova_2021_front</x:v>
      </x:c>
      <x:c r="C83" s="43" t="str">
        <x:v>es082</x:v>
      </x:c>
      <x:c r="D83" s="43" t="str">
        <x:v>female</x:v>
      </x:c>
      <x:c r="E83" s="43" t="str">
        <x:v>Grooming frequency</x:v>
      </x:c>
      <x:c r="F83" s="43" t="str">
        <x:v>Corrected transcription</x:v>
      </x:c>
      <x:c r="G83" s="43" t="str">
        <x:v>6 – Abramova 2021 same-sex controls</x:v>
      </x:c>
      <x:c r="H83" s="43" t="str">
        <x:v>Use the females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c r="I83" s="43" t="str"/>
      <x:c r="J83" s="43" t="str">
        <x:v>0.305475</x:v>
      </x:c>
      <x:c r="K83" s="43" t="str">
        <x:v>SD / sqrt(n), using the same-sex subgroup in author raw data</x:v>
      </x:c>
      <x:c r="L83" s="43" t="str">
        <x:v>included_studies/abramova_2021_front/abramova_2021_front.xlsx, Лист1, handling=No handling</x:v>
      </x:c>
      <x:c r="M83" s="43" t="str"/>
      <x:c r="N83" s="43" t="str">
        <x:v>0.408819</x:v>
      </x:c>
      <x:c r="O83" s="43" t="str">
        <x:v>SD / sqrt(n), using the same-sex subgroup in author raw data</x:v>
      </x:c>
      <x:c r="P83" s="43" t="str">
        <x:v>included_studies/abramova_2021_front/abramova_2021_front.xlsx, Лист1, handling=No handling</x:v>
      </x:c>
    </x:row>
    <x:row r="84">
      <x:c r="A84" s="43" t="str">
        <x:v>84</x:v>
      </x:c>
      <x:c r="B84" s="43" t="str">
        <x:v>abramova_2021_front</x:v>
      </x:c>
      <x:c r="C84" s="43" t="str">
        <x:v>es083</x:v>
      </x:c>
      <x:c r="D84" s="43" t="str">
        <x:v>male</x:v>
      </x:c>
      <x:c r="E84" s="43" t="str">
        <x:v>Grooming frequency</x:v>
      </x:c>
      <x:c r="F84" s="43" t="str">
        <x:v>Corrected transcription</x:v>
      </x:c>
      <x:c r="G84" s="43" t="str">
        <x:v>6 – Abramova 2021 same-sex controls</x:v>
      </x:c>
      <x:c r="H84" s="43" t="str">
        <x:v>Use the 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c r="I84" s="43" t="str"/>
      <x:c r="J84" s="43" t="str">
        <x:v>0.333067</x:v>
      </x:c>
      <x:c r="K84" s="43" t="str">
        <x:v>SD / sqrt(n), using the same-sex subgroup in author raw data</x:v>
      </x:c>
      <x:c r="L84" s="43" t="str">
        <x:v>included_studies/abramova_2021_front/abramova_2021_front.xlsx, Лист1, handling=No handling</x:v>
      </x:c>
      <x:c r="M84" s="43" t="str"/>
      <x:c r="N84" s="43" t="str">
        <x:v>0.41222</x:v>
      </x:c>
      <x:c r="O84" s="43" t="str">
        <x:v>SD / sqrt(n), using the same-sex subgroup in author raw data</x:v>
      </x:c>
      <x:c r="P84" s="43" t="str">
        <x:v>included_studies/abramova_2021_front/abramova_2021_front.xlsx, Лист1, handling=No handling</x:v>
      </x:c>
    </x:row>
    <x:row r="85">
      <x:c r="A85" s="43" t="str">
        <x:v>85</x:v>
      </x:c>
      <x:c r="B85" s="43" t="str">
        <x:v>abramova_2021_front</x:v>
      </x:c>
      <x:c r="C85" s="43" t="str">
        <x:v>es084</x:v>
      </x:c>
      <x:c r="D85" s="43" t="str">
        <x:v>female</x:v>
      </x:c>
      <x:c r="E85" s="43" t="str">
        <x:v>Total grooming time</x:v>
      </x:c>
      <x:c r="F85" s="43" t="str">
        <x:v>Corrected transcription</x:v>
      </x:c>
      <x:c r="G85" s="43" t="str">
        <x:v>6 – Abramova 2021 same-sex controls</x:v>
      </x:c>
      <x:c r="H85" s="43" t="str">
        <x:v>Use the females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c r="I85" s="43" t="str"/>
      <x:c r="J85" s="43" t="str">
        <x:v>2.738595</x:v>
      </x:c>
      <x:c r="K85" s="43" t="str">
        <x:v>SD / sqrt(n), using the same-sex subgroup in author raw data</x:v>
      </x:c>
      <x:c r="L85" s="43" t="str">
        <x:v>included_studies/abramova_2021_front/abramova_2021_front.xlsx, Лист1, handling=No handling</x:v>
      </x:c>
      <x:c r="M85" s="43" t="str"/>
      <x:c r="N85" s="43" t="str">
        <x:v>5.66432</x:v>
      </x:c>
      <x:c r="O85" s="43" t="str">
        <x:v>SD / sqrt(n), using the same-sex subgroup in author raw data</x:v>
      </x:c>
      <x:c r="P85" s="43" t="str">
        <x:v>included_studies/abramova_2021_front/abramova_2021_front.xlsx, Лист1, handling=No handling</x:v>
      </x:c>
    </x:row>
    <x:row r="86">
      <x:c r="A86" s="43" t="str">
        <x:v>86</x:v>
      </x:c>
      <x:c r="B86" s="43" t="str">
        <x:v>abramova_2021_front</x:v>
      </x:c>
      <x:c r="C86" s="43" t="str">
        <x:v>es085</x:v>
      </x:c>
      <x:c r="D86" s="43" t="str">
        <x:v>male</x:v>
      </x:c>
      <x:c r="E86" s="43" t="str">
        <x:v>Total grooming time</x:v>
      </x:c>
      <x:c r="F86" s="43" t="str">
        <x:v>Corrected transcription</x:v>
      </x:c>
      <x:c r="G86" s="43" t="str">
        <x:v>6 – Abramova 2021 same-sex controls</x:v>
      </x:c>
      <x:c r="H86" s="43" t="str">
        <x:v>Use the 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c r="I86" s="43" t="str"/>
      <x:c r="J86" s="43" t="str">
        <x:v>5.017053</x:v>
      </x:c>
      <x:c r="K86" s="43" t="str">
        <x:v>SD / sqrt(n), using the same-sex subgroup in author raw data</x:v>
      </x:c>
      <x:c r="L86" s="43" t="str">
        <x:v>included_studies/abramova_2021_front/abramova_2021_front.xlsx, Лист1, handling=No handling</x:v>
      </x:c>
      <x:c r="M86" s="43" t="str"/>
      <x:c r="N86" s="43" t="str">
        <x:v>4.076942</x:v>
      </x:c>
      <x:c r="O86" s="43" t="str">
        <x:v>SD / sqrt(n), using the same-sex subgroup in author raw data</x:v>
      </x:c>
      <x:c r="P86" s="43" t="str">
        <x:v>included_studies/abramova_2021_front/abramova_2021_front.xlsx, Лист1, handling=No handling</x:v>
      </x:c>
    </x:row>
    <x:row r="87">
      <x:c r="A87" s="43" t="str">
        <x:v>87</x:v>
      </x:c>
      <x:c r="B87" s="43" t="str">
        <x:v>abramova_2021_front</x:v>
      </x:c>
      <x:c r="C87" s="43" t="str">
        <x:v>es086</x:v>
      </x:c>
      <x:c r="D87" s="43" t="str">
        <x:v>female</x:v>
      </x:c>
      <x:c r="E87" s="43" t="str">
        <x:v>Total freezing time</x:v>
      </x:c>
      <x:c r="F87" s="43" t="str">
        <x:v>Corrected transcription</x:v>
      </x:c>
      <x:c r="G87" s="43" t="str">
        <x:v>6 – Abramova 2021 same-sex controls</x:v>
      </x:c>
      <x:c r="H87" s="43" t="str">
        <x:v>Use the females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c r="I87" s="43" t="str"/>
      <x:c r="J87" s="43" t="str">
        <x:v>8.700763</x:v>
      </x:c>
      <x:c r="K87" s="43" t="str">
        <x:v>SD / sqrt(n), using the same-sex subgroup in author raw data</x:v>
      </x:c>
      <x:c r="L87" s="43" t="str">
        <x:v>included_studies/abramova_2021_front/abramova_2021_front.xlsx, Лист1, handling=No handling</x:v>
      </x:c>
      <x:c r="M87" s="43" t="str"/>
      <x:c r="N87" s="43" t="str">
        <x:v>12.35351</x:v>
      </x:c>
      <x:c r="O87" s="43" t="str">
        <x:v>SD / sqrt(n), using the same-sex subgroup in author raw data</x:v>
      </x:c>
      <x:c r="P87" s="43" t="str">
        <x:v>included_studies/abramova_2021_front/abramova_2021_front.xlsx, Лист1, handling=No handling</x:v>
      </x:c>
    </x:row>
    <x:row r="88">
      <x:c r="A88" s="43" t="str">
        <x:v>88</x:v>
      </x:c>
      <x:c r="B88" s="43" t="str">
        <x:v>abramova_2021_front</x:v>
      </x:c>
      <x:c r="C88" s="43" t="str">
        <x:v>es087</x:v>
      </x:c>
      <x:c r="D88" s="43" t="str">
        <x:v>male</x:v>
      </x:c>
      <x:c r="E88" s="43" t="str">
        <x:v>Total freezing time</x:v>
      </x:c>
      <x:c r="F88" s="43" t="str">
        <x:v>Corrected transcription</x:v>
      </x:c>
      <x:c r="G88" s="43" t="str">
        <x:v>6 – Abramova 2021 same-sex controls</x:v>
      </x:c>
      <x:c r="H88" s="43" t="str">
        <x:v>Use the 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c r="I88" s="43" t="str"/>
      <x:c r="J88" s="43" t="str">
        <x:v>7.327604</x:v>
      </x:c>
      <x:c r="K88" s="43" t="str">
        <x:v>SD / sqrt(n), using the same-sex subgroup in author raw data</x:v>
      </x:c>
      <x:c r="L88" s="43" t="str">
        <x:v>included_studies/abramova_2021_front/abramova_2021_front.xlsx, Лист1, handling=No handling</x:v>
      </x:c>
      <x:c r="M88" s="43" t="str"/>
      <x:c r="N88" s="43" t="str">
        <x:v>13.077469</x:v>
      </x:c>
      <x:c r="O88" s="43" t="str">
        <x:v>SD / sqrt(n), using the same-sex subgroup in author raw data</x:v>
      </x:c>
      <x:c r="P88" s="43" t="str">
        <x:v>included_studies/abramova_2021_front/abramova_2021_front.xlsx, Лист1, handling=No handling</x:v>
      </x:c>
    </x:row>
    <x:row r="89">
      <x:c r="A89" s="43" t="str">
        <x:v>89</x:v>
      </x:c>
      <x:c r="B89" s="43" t="str">
        <x:v>badache_2017_stress</x:v>
      </x:c>
      <x:c r="C89" s="43" t="str">
        <x:v>es088</x:v>
      </x:c>
      <x:c r="D89" s="43" t="str">
        <x:v>male</x:v>
      </x:c>
      <x:c r="E89" s="43" t="str">
        <x:v>Time in corners</x:v>
      </x:c>
      <x:c r="F89" s="43" t="str">
        <x:v>Verified – no change</x:v>
      </x:c>
      <x:c r="G89" s="43" t="str"/>
      <x:c r="H89" s="43" t="str"/>
      <x:c r="I89" s="43" t="str">
        <x:v>11.76</x:v>
      </x:c>
      <x:c r="J89" s="43" t="str">
        <x:v>11.76</x:v>
      </x:c>
      <x:c r="K89" s="43" t="str">
        <x:v>Reported SEM; used unchanged for analysis</x:v>
      </x:c>
      <x:c r="L89" s="43" t="str">
        <x:v>badache_2017_stress_5a; Figure 5a</x:v>
      </x:c>
      <x:c r="M89" s="43" t="str">
        <x:v>12.97</x:v>
      </x:c>
      <x:c r="N89" s="43" t="str">
        <x:v>12.97</x:v>
      </x:c>
      <x:c r="O89" s="43" t="str">
        <x:v>Reported SEM; used unchanged for analysis</x:v>
      </x:c>
      <x:c r="P89" s="43" t="str">
        <x:v>badache_2017_stress_5a; Figure 5a</x:v>
      </x:c>
    </x:row>
    <x:row r="90">
      <x:c r="A90" s="43" t="str">
        <x:v>90</x:v>
      </x:c>
      <x:c r="B90" s="43" t="str">
        <x:v>badache_2017_stress</x:v>
      </x:c>
      <x:c r="C90" s="43" t="str">
        <x:v>es089</x:v>
      </x:c>
      <x:c r="D90" s="43" t="str">
        <x:v>male</x:v>
      </x:c>
      <x:c r="E90" s="43" t="str">
        <x:v>Sections crossed</x:v>
      </x:c>
      <x:c r="F90" s="43" t="str">
        <x:v>Verified – no change</x:v>
      </x:c>
      <x:c r="G90" s="43" t="str"/>
      <x:c r="H90" s="43" t="str"/>
      <x:c r="I90" s="43" t="str">
        <x:v>4.04</x:v>
      </x:c>
      <x:c r="J90" s="43" t="str">
        <x:v>4.04</x:v>
      </x:c>
      <x:c r="K90" s="43" t="str">
        <x:v>Reported SEM; used unchanged for analysis</x:v>
      </x:c>
      <x:c r="L90" s="43" t="str">
        <x:v>badache_2017_stress_5b; Figure 5b</x:v>
      </x:c>
      <x:c r="M90" s="43" t="str">
        <x:v>2.23</x:v>
      </x:c>
      <x:c r="N90" s="43" t="str">
        <x:v>2.23</x:v>
      </x:c>
      <x:c r="O90" s="43" t="str">
        <x:v>Reported SEM; used unchanged for analysis</x:v>
      </x:c>
      <x:c r="P90" s="43" t="str">
        <x:v>badache_2017_stress_5b; Figure 5b</x:v>
      </x:c>
    </x:row>
    <x:row r="91">
      <x:c r="A91" s="43" t="str">
        <x:v>91</x:v>
      </x:c>
      <x:c r="B91" s="43" t="str">
        <x:v>badache_2017_stress</x:v>
      </x:c>
      <x:c r="C91" s="43" t="str">
        <x:v>es090</x:v>
      </x:c>
      <x:c r="D91" s="43" t="str">
        <x:v>male</x:v>
      </x:c>
      <x:c r="E91" s="43" t="str">
        <x:v>Time in central square</x:v>
      </x:c>
      <x:c r="F91" s="43" t="str">
        <x:v>Verified – no change</x:v>
      </x:c>
      <x:c r="G91" s="43" t="str"/>
      <x:c r="H91" s="43" t="str"/>
      <x:c r="I91" s="43" t="str">
        <x:v>0.23</x:v>
      </x:c>
      <x:c r="J91" s="43" t="str">
        <x:v>0.23</x:v>
      </x:c>
      <x:c r="K91" s="43" t="str">
        <x:v>Reported SEM; used unchanged for analysis</x:v>
      </x:c>
      <x:c r="L91" s="43" t="str">
        <x:v>badache_2017_stress_5c; Figure 5c</x:v>
      </x:c>
      <x:c r="M91" s="43" t="str">
        <x:v>0.07</x:v>
      </x:c>
      <x:c r="N91" s="43" t="str">
        <x:v>0.07</x:v>
      </x:c>
      <x:c r="O91" s="43" t="str">
        <x:v>Reported SEM; used unchanged for analysis</x:v>
      </x:c>
      <x:c r="P91" s="43" t="str">
        <x:v>badache_2017_stress_5c; Figure 5c</x:v>
      </x:c>
    </x:row>
    <x:row r="92">
      <x:c r="A92" s="43" t="str">
        <x:v>92</x:v>
      </x:c>
      <x:c r="B92" s="43" t="str">
        <x:v>badache_2017_stress</x:v>
      </x:c>
      <x:c r="C92" s="43" t="str">
        <x:v>es091</x:v>
      </x:c>
      <x:c r="D92" s="43" t="str">
        <x:v>male</x:v>
      </x:c>
      <x:c r="E92" s="43" t="str">
        <x:v>Rearing time</x:v>
      </x:c>
      <x:c r="F92" s="43" t="str">
        <x:v>Verified – no change</x:v>
      </x:c>
      <x:c r="G92" s="43" t="str"/>
      <x:c r="H92" s="43" t="str"/>
      <x:c r="I92" s="43" t="str">
        <x:v>1.26</x:v>
      </x:c>
      <x:c r="J92" s="43" t="str">
        <x:v>1.26</x:v>
      </x:c>
      <x:c r="K92" s="43" t="str">
        <x:v>Reported SEM; used unchanged for analysis</x:v>
      </x:c>
      <x:c r="L92" s="43" t="str">
        <x:v>badache_2017_stress_5d; Figure 5d</x:v>
      </x:c>
      <x:c r="M92" s="43" t="str">
        <x:v>0.48</x:v>
      </x:c>
      <x:c r="N92" s="43" t="str">
        <x:v>0.48</x:v>
      </x:c>
      <x:c r="O92" s="43" t="str">
        <x:v>Reported SEM; used unchanged for analysis</x:v>
      </x:c>
      <x:c r="P92" s="43" t="str">
        <x:v>badache_2017_stress_5d; Figure 5d</x:v>
      </x:c>
    </x:row>
    <x:row r="93">
      <x:c r="A93" s="43" t="str">
        <x:v>93</x:v>
      </x:c>
      <x:c r="B93" s="43" t="str">
        <x:v>badache_2017_stress</x:v>
      </x:c>
      <x:c r="C93" s="43" t="str">
        <x:v>es092</x:v>
      </x:c>
      <x:c r="D93" s="43" t="str">
        <x:v>male</x:v>
      </x:c>
      <x:c r="E93" s="43" t="str">
        <x:v>Time in open arms (OAT)</x:v>
      </x:c>
      <x:c r="F93" s="43" t="str">
        <x:v>Verified – no change</x:v>
      </x:c>
      <x:c r="G93" s="43" t="str"/>
      <x:c r="H93" s="43" t="str"/>
      <x:c r="I93" s="43" t="str">
        <x:v>7.96</x:v>
      </x:c>
      <x:c r="J93" s="43" t="str">
        <x:v>7.96</x:v>
      </x:c>
      <x:c r="K93" s="43" t="str">
        <x:v>Reported SEM; used unchanged for analysis</x:v>
      </x:c>
      <x:c r="L93" s="43" t="str">
        <x:v>badache_2017_stress_6a; Figure 6a</x:v>
      </x:c>
      <x:c r="M93" s="43" t="str">
        <x:v>3.67</x:v>
      </x:c>
      <x:c r="N93" s="43" t="str">
        <x:v>3.67</x:v>
      </x:c>
      <x:c r="O93" s="43" t="str">
        <x:v>Reported SEM; used unchanged for analysis</x:v>
      </x:c>
      <x:c r="P93" s="43" t="str">
        <x:v>badache_2017_stress_6a; Figure 6a</x:v>
      </x:c>
    </x:row>
    <x:row r="94">
      <x:c r="A94" s="43" t="str">
        <x:v>94</x:v>
      </x:c>
      <x:c r="B94" s="43" t="str">
        <x:v>badache_2017_stress</x:v>
      </x:c>
      <x:c r="C94" s="43" t="str">
        <x:v>es093</x:v>
      </x:c>
      <x:c r="D94" s="43" t="str">
        <x:v>male</x:v>
      </x:c>
      <x:c r="E94" s="43" t="str">
        <x:v>Rearing time</x:v>
      </x:c>
      <x:c r="F94" s="43" t="str">
        <x:v>Verified – no change</x:v>
      </x:c>
      <x:c r="G94" s="43" t="str"/>
      <x:c r="H94" s="43" t="str"/>
      <x:c r="I94" s="43" t="str">
        <x:v>1.13</x:v>
      </x:c>
      <x:c r="J94" s="43" t="str">
        <x:v>1.13</x:v>
      </x:c>
      <x:c r="K94" s="43" t="str">
        <x:v>Reported SEM; used unchanged for analysis</x:v>
      </x:c>
      <x:c r="L94" s="43" t="str">
        <x:v>badache_2017_stress_6b; Figure 6b</x:v>
      </x:c>
      <x:c r="M94" s="43" t="str">
        <x:v>0.51</x:v>
      </x:c>
      <x:c r="N94" s="43" t="str">
        <x:v>0.51</x:v>
      </x:c>
      <x:c r="O94" s="43" t="str">
        <x:v>Reported SEM; used unchanged for analysis</x:v>
      </x:c>
      <x:c r="P94" s="43" t="str">
        <x:v>badache_2017_stress_6b; Figure 6b</x:v>
      </x:c>
    </x:row>
    <x:row r="95">
      <x:c r="A95" s="43" t="str">
        <x:v>95</x:v>
      </x:c>
      <x:c r="B95" s="43" t="str">
        <x:v>whitlow_1978_thesis</x:v>
      </x:c>
      <x:c r="C95" s="43" t="str">
        <x:v>es094</x:v>
      </x:c>
      <x:c r="D95" s="43" t="str">
        <x:v>male</x:v>
      </x:c>
      <x:c r="E95" s="43" t="str">
        <x:v>Sections crossed</x:v>
      </x:c>
      <x:c r="F95" s="43" t="str">
        <x:v>Corrected derived value</x:v>
      </x:c>
      <x:c r="G95" s="43" t="str">
        <x:v>Variance decision – Whitlow 1978</x:v>
      </x:c>
      <x:c r="H95" s="43" t="str">
        <x:v>Variance assumption accepted: SD=sqrt(mean), then SE=SD/sqrt(n).</x:v>
      </x:c>
      <x:c r="I95" s="43" t="str"/>
      <x:c r="J95" s="43" t="str">
        <x:v>1.811483</x:v>
      </x:c>
      <x:c r="K95" s="43" t="str">
        <x:v>Accepted analysis assumption: SD = sqrt(mean); SE = SD / sqrt(n)</x:v>
      </x:c>
      <x:c r="L95" s="43" t="str">
        <x:v>included_studies/whitlow_1978_thesis.pdf; figure error bars are not defined; assumption approved by reviewer</x:v>
      </x:c>
      <x:c r="M95" s="43" t="str"/>
      <x:c r="N95" s="43" t="str">
        <x:v>1.887174</x:v>
      </x:c>
      <x:c r="O95" s="43" t="str">
        <x:v>Accepted analysis assumption: SD = sqrt(mean); SE = SD / sqrt(n)</x:v>
      </x:c>
      <x:c r="P95" s="43" t="str">
        <x:v>included_studies/whitlow_1978_thesis.pdf; figure error bars are not defined; assumption approved by reviewer</x:v>
      </x:c>
    </x:row>
    <x:row r="96">
      <x:c r="A96" s="43" t="str">
        <x:v>96</x:v>
      </x:c>
      <x:c r="B96" s="43" t="str">
        <x:v>whitlow_1978_thesis</x:v>
      </x:c>
      <x:c r="C96" s="43" t="str">
        <x:v>es095</x:v>
      </x:c>
      <x:c r="D96" s="43" t="str">
        <x:v>male</x:v>
      </x:c>
      <x:c r="E96" s="43" t="str">
        <x:v>Sections crossed</x:v>
      </x:c>
      <x:c r="F96" s="43" t="str">
        <x:v>Corrected derived value</x:v>
      </x:c>
      <x:c r="G96" s="43" t="str">
        <x:v>Variance decision – Whitlow 1978</x:v>
      </x:c>
      <x:c r="H96" s="43" t="str">
        <x:v>Variance assumption accepted: SD=sqrt(mean), then SE=SD/sqrt(n).</x:v>
      </x:c>
      <x:c r="I96" s="43" t="str"/>
      <x:c r="J96" s="43" t="str">
        <x:v>1.811483</x:v>
      </x:c>
      <x:c r="K96" s="43" t="str">
        <x:v>Accepted analysis assumption: SD = sqrt(mean); SE = SD / sqrt(n)</x:v>
      </x:c>
      <x:c r="L96" s="43" t="str">
        <x:v>included_studies/whitlow_1978_thesis.pdf; figure error bars are not defined; assumption approved by reviewer</x:v>
      </x:c>
      <x:c r="M96" s="43" t="str"/>
      <x:c r="N96" s="43" t="str">
        <x:v>1.74458</x:v>
      </x:c>
      <x:c r="O96" s="43" t="str">
        <x:v>Accepted analysis assumption: SD = sqrt(mean); SE = SD / sqrt(n)</x:v>
      </x:c>
      <x:c r="P96" s="43" t="str">
        <x:v>included_studies/whitlow_1978_thesis.pdf; figure error bars are not defined; assumption approved by reviewer</x:v>
      </x:c>
    </x:row>
    <x:row r="97">
      <x:c r="A97" s="43" t="str">
        <x:v>97</x:v>
      </x:c>
      <x:c r="B97" s="43" t="str">
        <x:v>whitlow_1978_thesis</x:v>
      </x:c>
      <x:c r="C97" s="43" t="str">
        <x:v>es096</x:v>
      </x:c>
      <x:c r="D97" s="43" t="str">
        <x:v>male</x:v>
      </x:c>
      <x:c r="E97" s="43" t="str">
        <x:v>Sections crossed</x:v>
      </x:c>
      <x:c r="F97" s="43" t="str">
        <x:v>Corrected derived value</x:v>
      </x:c>
      <x:c r="G97" s="43" t="str">
        <x:v>Variance decision – Whitlow 1978</x:v>
      </x:c>
      <x:c r="H97" s="43" t="str">
        <x:v>Variance assumption accepted: SD=sqrt(mean), then SE=SD/sqrt(n).</x:v>
      </x:c>
      <x:c r="I97" s="43" t="str"/>
      <x:c r="J97" s="43" t="str">
        <x:v>1.409617</x:v>
      </x:c>
      <x:c r="K97" s="43" t="str">
        <x:v>Accepted analysis assumption: SD = sqrt(mean); SE = SD / sqrt(n)</x:v>
      </x:c>
      <x:c r="L97" s="43" t="str">
        <x:v>included_studies/whitlow_1978_thesis.pdf; figure error bars are not defined; assumption approved by reviewer</x:v>
      </x:c>
      <x:c r="M97" s="43" t="str"/>
      <x:c r="N97" s="43" t="str">
        <x:v>1.46288</x:v>
      </x:c>
      <x:c r="O97" s="43" t="str">
        <x:v>Accepted analysis assumption: SD = sqrt(mean); SE = SD / sqrt(n)</x:v>
      </x:c>
      <x:c r="P97" s="43" t="str">
        <x:v>included_studies/whitlow_1978_thesis.pdf; figure error bars are not defined; assumption approved by reviewer</x:v>
      </x:c>
    </x:row>
    <x:row r="98">
      <x:c r="A98" s="43" t="str">
        <x:v>98</x:v>
      </x:c>
      <x:c r="B98" s="43" t="str">
        <x:v>whitlow_1978_thesis</x:v>
      </x:c>
      <x:c r="C98" s="43" t="str">
        <x:v>es097</x:v>
      </x:c>
      <x:c r="D98" s="43" t="str">
        <x:v>male</x:v>
      </x:c>
      <x:c r="E98" s="43" t="str">
        <x:v>Sections crossed</x:v>
      </x:c>
      <x:c r="F98" s="43" t="str">
        <x:v>Corrected derived value</x:v>
      </x:c>
      <x:c r="G98" s="43" t="str">
        <x:v>Variance decision – Whitlow 1978</x:v>
      </x:c>
      <x:c r="H98" s="43" t="str">
        <x:v>Variance assumption accepted: SD=sqrt(mean), then SE=SD/sqrt(n).</x:v>
      </x:c>
      <x:c r="I98" s="43" t="str"/>
      <x:c r="J98" s="43" t="str">
        <x:v>1.409617</x:v>
      </x:c>
      <x:c r="K98" s="43" t="str">
        <x:v>Accepted analysis assumption: SD = sqrt(mean); SE = SD / sqrt(n)</x:v>
      </x:c>
      <x:c r="L98" s="43" t="str">
        <x:v>included_studies/whitlow_1978_thesis.pdf; figure error bars are not defined; assumption approved by reviewer</x:v>
      </x:c>
      <x:c r="M98" s="43" t="str"/>
      <x:c r="N98" s="43" t="str">
        <x:v>1.357986</x:v>
      </x:c>
      <x:c r="O98" s="43" t="str">
        <x:v>Accepted analysis assumption: SD = sqrt(mean); SE = SD / sqrt(n)</x:v>
      </x:c>
      <x:c r="P98" s="43" t="str">
        <x:v>included_studies/whitlow_1978_thesis.pdf; figure error bars are not defined; assumption approved by reviewer</x:v>
      </x:c>
    </x:row>
    <x:row r="99">
      <x:c r="A99" s="43" t="str">
        <x:v>99</x:v>
      </x:c>
      <x:c r="B99" s="43" t="str">
        <x:v>whitlow_1978_thesis</x:v>
      </x:c>
      <x:c r="C99" s="43" t="str">
        <x:v>es098</x:v>
      </x:c>
      <x:c r="D99" s="43" t="str">
        <x:v>male</x:v>
      </x:c>
      <x:c r="E99" s="43" t="str">
        <x:v>Sections crossed</x:v>
      </x:c>
      <x:c r="F99" s="43" t="str">
        <x:v>Corrected derived value</x:v>
      </x:c>
      <x:c r="G99" s="43" t="str">
        <x:v>Variance decision – Whitlow 1978</x:v>
      </x:c>
      <x:c r="H99" s="43" t="str">
        <x:v>Variance assumption accepted: SD=sqrt(mean), then SE=SD/sqrt(n).</x:v>
      </x:c>
      <x:c r="I99" s="43" t="str"/>
      <x:c r="J99" s="43" t="str">
        <x:v>0.930853</x:v>
      </x:c>
      <x:c r="K99" s="43" t="str">
        <x:v>Accepted analysis assumption: SD = sqrt(mean); SE = SD / sqrt(n)</x:v>
      </x:c>
      <x:c r="L99" s="43" t="str">
        <x:v>included_studies/whitlow_1978_thesis.pdf; figure error bars are not defined; assumption approved by reviewer</x:v>
      </x:c>
      <x:c r="M99" s="43" t="str"/>
      <x:c r="N99" s="43" t="str">
        <x:v>1.156226</x:v>
      </x:c>
      <x:c r="O99" s="43" t="str">
        <x:v>Accepted analysis assumption: SD = sqrt(mean); SE = SD / sqrt(n)</x:v>
      </x:c>
      <x:c r="P99" s="43" t="str">
        <x:v>included_studies/whitlow_1978_thesis.pdf; figure error bars are not defined; assumption approved by reviewer</x:v>
      </x:c>
    </x:row>
    <x:row r="100">
      <x:c r="A100" s="43" t="str">
        <x:v>100</x:v>
      </x:c>
      <x:c r="B100" s="43" t="str">
        <x:v>whitlow_1978_thesis</x:v>
      </x:c>
      <x:c r="C100" s="43" t="str">
        <x:v>es099</x:v>
      </x:c>
      <x:c r="D100" s="43" t="str">
        <x:v>male</x:v>
      </x:c>
      <x:c r="E100" s="43" t="str">
        <x:v>Sections crossed</x:v>
      </x:c>
      <x:c r="F100" s="43" t="str">
        <x:v>Corrected derived value</x:v>
      </x:c>
      <x:c r="G100" s="43" t="str">
        <x:v>Variance decision – Whitlow 1978</x:v>
      </x:c>
      <x:c r="H100" s="43" t="str">
        <x:v>Variance assumption accepted: SD=sqrt(mean), then SE=SD/sqrt(n).</x:v>
      </x:c>
      <x:c r="I100" s="43" t="str"/>
      <x:c r="J100" s="43" t="str">
        <x:v>0.930853</x:v>
      </x:c>
      <x:c r="K100" s="43" t="str">
        <x:v>Accepted analysis assumption: SD = sqrt(mean); SE = SD / sqrt(n)</x:v>
      </x:c>
      <x:c r="L100" s="43" t="str">
        <x:v>included_studies/whitlow_1978_thesis.pdf; figure error bars are not defined; assumption approved by reviewer</x:v>
      </x:c>
      <x:c r="M100" s="43" t="str"/>
      <x:c r="N100" s="43" t="str">
        <x:v>0.887316</x:v>
      </x:c>
      <x:c r="O100" s="43" t="str">
        <x:v>Accepted analysis assumption: SD = sqrt(mean); SE = SD / sqrt(n)</x:v>
      </x:c>
      <x:c r="P100" s="43" t="str">
        <x:v>included_studies/whitlow_1978_thesis.pdf; figure error bars are not defined; assumption approved by reviewer</x:v>
      </x:c>
    </x:row>
    <x:row r="101">
      <x:c r="A101" s="43" t="str">
        <x:v>101</x:v>
      </x:c>
      <x:c r="B101" s="43" t="str">
        <x:v>whitlow_1978_thesis</x:v>
      </x:c>
      <x:c r="C101" s="43" t="str">
        <x:v>es100</x:v>
      </x:c>
      <x:c r="D101" s="43" t="str">
        <x:v>male</x:v>
      </x:c>
      <x:c r="E101" s="43" t="str">
        <x:v>Grooming frequency</x:v>
      </x:c>
      <x:c r="F101" s="43" t="str">
        <x:v>Corrected derived value</x:v>
      </x:c>
      <x:c r="G101" s="43" t="str">
        <x:v>Variance decision – Whitlow 1978</x:v>
      </x:c>
      <x:c r="H101" s="43" t="str">
        <x:v>Variance assumption accepted: SD=sqrt(mean), then SE=SD/sqrt(n).</x:v>
      </x:c>
      <x:c r="I101" s="43" t="str"/>
      <x:c r="J101" s="43" t="str">
        <x:v>0.473286</x:v>
      </x:c>
      <x:c r="K101" s="43" t="str">
        <x:v>Accepted analysis assumption: SD = sqrt(mean); SE = SD / sqrt(n)</x:v>
      </x:c>
      <x:c r="L101" s="43" t="str">
        <x:v>included_studies/whitlow_1978_thesis.pdf; figure error bars are not defined; assumption approved by reviewer</x:v>
      </x:c>
      <x:c r="M101" s="43" t="str"/>
      <x:c r="N101" s="43" t="str">
        <x:v>0.429012</x:v>
      </x:c>
      <x:c r="O101" s="43" t="str">
        <x:v>Accepted analysis assumption: SD = sqrt(mean); SE = SD / sqrt(n)</x:v>
      </x:c>
      <x:c r="P101" s="43" t="str">
        <x:v>included_studies/whitlow_1978_thesis.pdf; figure error bars are not defined; assumption approved by reviewer</x:v>
      </x:c>
    </x:row>
    <x:row r="102">
      <x:c r="A102" s="43" t="str">
        <x:v>102</x:v>
      </x:c>
      <x:c r="B102" s="43" t="str">
        <x:v>whitlow_1978_thesis</x:v>
      </x:c>
      <x:c r="C102" s="43" t="str">
        <x:v>es101</x:v>
      </x:c>
      <x:c r="D102" s="43" t="str">
        <x:v>male</x:v>
      </x:c>
      <x:c r="E102" s="43" t="str">
        <x:v>Grooming frequency</x:v>
      </x:c>
      <x:c r="F102" s="43" t="str">
        <x:v>Corrected derived value</x:v>
      </x:c>
      <x:c r="G102" s="43" t="str">
        <x:v>Variance decision – Whitlow 1978</x:v>
      </x:c>
      <x:c r="H102" s="43" t="str">
        <x:v>Variance assumption accepted: SD=sqrt(mean), then SE=SD/sqrt(n).</x:v>
      </x:c>
      <x:c r="I102" s="43" t="str"/>
      <x:c r="J102" s="43" t="str">
        <x:v>0.473286</x:v>
      </x:c>
      <x:c r="K102" s="43" t="str">
        <x:v>Accepted analysis assumption: SD = sqrt(mean); SE = SD / sqrt(n)</x:v>
      </x:c>
      <x:c r="L102" s="43" t="str">
        <x:v>included_studies/whitlow_1978_thesis.pdf; figure error bars are not defined; assumption approved by reviewer</x:v>
      </x:c>
      <x:c r="M102" s="43" t="str"/>
      <x:c r="N102" s="43" t="str">
        <x:v>0.430577</x:v>
      </x:c>
      <x:c r="O102" s="43" t="str">
        <x:v>Accepted analysis assumption: SD = sqrt(mean); SE = SD / sqrt(n)</x:v>
      </x:c>
      <x:c r="P102" s="43" t="str">
        <x:v>included_studies/whitlow_1978_thesis.pdf; figure error bars are not defined; assumption approved by reviewer</x:v>
      </x:c>
    </x:row>
    <x:row r="103">
      <x:c r="A103" s="43" t="str">
        <x:v>103</x:v>
      </x:c>
      <x:c r="B103" s="43" t="str">
        <x:v>whitlow_1978_thesis</x:v>
      </x:c>
      <x:c r="C103" s="43" t="str">
        <x:v>es102</x:v>
      </x:c>
      <x:c r="D103" s="43" t="str">
        <x:v>male</x:v>
      </x:c>
      <x:c r="E103" s="43" t="str">
        <x:v>Grooming frequency</x:v>
      </x:c>
      <x:c r="F103" s="43" t="str">
        <x:v>Corrected derived value</x:v>
      </x:c>
      <x:c r="G103" s="43" t="str">
        <x:v>Variance decision – Whitlow 1978</x:v>
      </x:c>
      <x:c r="H103" s="43" t="str">
        <x:v>Variance assumption accepted: SD=sqrt(mean), then SE=SD/sqrt(n).</x:v>
      </x:c>
      <x:c r="I103" s="43" t="str"/>
      <x:c r="J103" s="43" t="str">
        <x:v>0.565233</x:v>
      </x:c>
      <x:c r="K103" s="43" t="str">
        <x:v>Accepted analysis assumption: SD = sqrt(mean); SE = SD / sqrt(n)</x:v>
      </x:c>
      <x:c r="L103" s="43" t="str">
        <x:v>included_studies/whitlow_1978_thesis.pdf; figure error bars are not defined; assumption approved by reviewer</x:v>
      </x:c>
      <x:c r="M103" s="43" t="str"/>
      <x:c r="N103" s="43" t="str">
        <x:v>0.532475</x:v>
      </x:c>
      <x:c r="O103" s="43" t="str">
        <x:v>Accepted analysis assumption: SD = sqrt(mean); SE = SD / sqrt(n)</x:v>
      </x:c>
      <x:c r="P103" s="43" t="str">
        <x:v>included_studies/whitlow_1978_thesis.pdf; figure error bars are not defined; assumption approved by reviewer</x:v>
      </x:c>
    </x:row>
    <x:row r="104">
      <x:c r="A104" s="43" t="str">
        <x:v>104</x:v>
      </x:c>
      <x:c r="B104" s="43" t="str">
        <x:v>whitlow_1978_thesis</x:v>
      </x:c>
      <x:c r="C104" s="43" t="str">
        <x:v>es103</x:v>
      </x:c>
      <x:c r="D104" s="43" t="str">
        <x:v>male</x:v>
      </x:c>
      <x:c r="E104" s="43" t="str">
        <x:v>Grooming frequency</x:v>
      </x:c>
      <x:c r="F104" s="43" t="str">
        <x:v>Corrected derived value</x:v>
      </x:c>
      <x:c r="G104" s="43" t="str">
        <x:v>Variance decision – Whitlow 1978</x:v>
      </x:c>
      <x:c r="H104" s="43" t="str">
        <x:v>Variance assumption accepted: SD=sqrt(mean), then SE=SD/sqrt(n).</x:v>
      </x:c>
      <x:c r="I104" s="43" t="str"/>
      <x:c r="J104" s="43" t="str">
        <x:v>0.565233</x:v>
      </x:c>
      <x:c r="K104" s="43" t="str">
        <x:v>Accepted analysis assumption: SD = sqrt(mean); SE = SD / sqrt(n)</x:v>
      </x:c>
      <x:c r="L104" s="43" t="str">
        <x:v>included_studies/whitlow_1978_thesis.pdf; figure error bars are not defined; assumption approved by reviewer</x:v>
      </x:c>
      <x:c r="M104" s="43" t="str"/>
      <x:c r="N104" s="43" t="str">
        <x:v>0.490012</x:v>
      </x:c>
      <x:c r="O104" s="43" t="str">
        <x:v>Accepted analysis assumption: SD = sqrt(mean); SE = SD / sqrt(n)</x:v>
      </x:c>
      <x:c r="P104" s="43" t="str">
        <x:v>included_studies/whitlow_1978_thesis.pdf; figure error bars are not defined; assumption approved by reviewer</x:v>
      </x:c>
    </x:row>
    <x:row r="105">
      <x:c r="A105" s="43" t="str">
        <x:v>105</x:v>
      </x:c>
      <x:c r="B105" s="43" t="str">
        <x:v>whitlow_1978_thesis</x:v>
      </x:c>
      <x:c r="C105" s="43" t="str">
        <x:v>es104</x:v>
      </x:c>
      <x:c r="D105" s="43" t="str">
        <x:v>male</x:v>
      </x:c>
      <x:c r="E105" s="43" t="str">
        <x:v>Grooming frequency</x:v>
      </x:c>
      <x:c r="F105" s="43" t="str">
        <x:v>Corrected derived value</x:v>
      </x:c>
      <x:c r="G105" s="43" t="str">
        <x:v>Variance decision – Whitlow 1978</x:v>
      </x:c>
      <x:c r="H105" s="43" t="str">
        <x:v>Variance assumption accepted: SD=sqrt(mean), then SE=SD/sqrt(n).</x:v>
      </x:c>
      <x:c r="I105" s="43" t="str"/>
      <x:c r="J105" s="43" t="str">
        <x:v>0.43818</x:v>
      </x:c>
      <x:c r="K105" s="43" t="str">
        <x:v>Accepted analysis assumption: SD = sqrt(mean); SE = SD / sqrt(n)</x:v>
      </x:c>
      <x:c r="L105" s="43" t="str">
        <x:v>included_studies/whitlow_1978_thesis.pdf; figure error bars are not defined; assumption approved by reviewer</x:v>
      </x:c>
      <x:c r="M105" s="43" t="str"/>
      <x:c r="N105" s="43" t="str">
        <x:v>0.429526</x:v>
      </x:c>
      <x:c r="O105" s="43" t="str">
        <x:v>Accepted analysis assumption: SD = sqrt(mean); SE = SD / sqrt(n)</x:v>
      </x:c>
      <x:c r="P105" s="43" t="str">
        <x:v>included_studies/whitlow_1978_thesis.pdf; figure error bars are not defined; assumption approved by reviewer</x:v>
      </x:c>
    </x:row>
    <x:row r="106">
      <x:c r="A106" s="43" t="str">
        <x:v>106</x:v>
      </x:c>
      <x:c r="B106" s="43" t="str">
        <x:v>whitlow_1978_thesis</x:v>
      </x:c>
      <x:c r="C106" s="43" t="str">
        <x:v>es105</x:v>
      </x:c>
      <x:c r="D106" s="43" t="str">
        <x:v>male</x:v>
      </x:c>
      <x:c r="E106" s="43" t="str">
        <x:v>Grooming frequency</x:v>
      </x:c>
      <x:c r="F106" s="43" t="str">
        <x:v>Corrected derived value</x:v>
      </x:c>
      <x:c r="G106" s="43" t="str">
        <x:v>Variance decision – Whitlow 1978</x:v>
      </x:c>
      <x:c r="H106" s="43" t="str">
        <x:v>Variance assumption accepted: SD=sqrt(mean), then SE=SD/sqrt(n).</x:v>
      </x:c>
      <x:c r="I106" s="43" t="str"/>
      <x:c r="J106" s="43" t="str">
        <x:v>0.43818</x:v>
      </x:c>
      <x:c r="K106" s="43" t="str">
        <x:v>Accepted analysis assumption: SD = sqrt(mean); SE = SD / sqrt(n)</x:v>
      </x:c>
      <x:c r="L106" s="43" t="str">
        <x:v>included_studies/whitlow_1978_thesis.pdf; figure error bars are not defined; assumption approved by reviewer</x:v>
      </x:c>
      <x:c r="M106" s="43" t="str"/>
      <x:c r="N106" s="43" t="str">
        <x:v>0.392095</x:v>
      </x:c>
      <x:c r="O106" s="43" t="str">
        <x:v>Accepted analysis assumption: SD = sqrt(mean); SE = SD / sqrt(n)</x:v>
      </x:c>
      <x:c r="P106" s="43" t="str">
        <x:v>included_studies/whitlow_1978_thesis.pdf; figure error bars are not defined; assumption approved by reviewer</x:v>
      </x:c>
    </x:row>
    <x:row r="107">
      <x:c r="A107" s="43" t="str">
        <x:v>107</x:v>
      </x:c>
      <x:c r="B107" s="43" t="str">
        <x:v>whitlow_1978_thesis</x:v>
      </x:c>
      <x:c r="C107" s="43" t="str">
        <x:v>es106</x:v>
      </x:c>
      <x:c r="D107" s="43" t="str">
        <x:v>male</x:v>
      </x:c>
      <x:c r="E107" s="43" t="str">
        <x:v>Defecation amount</x:v>
      </x:c>
      <x:c r="F107" s="43" t="str">
        <x:v>Corrected derived value</x:v>
      </x:c>
      <x:c r="G107" s="43" t="str">
        <x:v>Variance decision – Whitlow 1978</x:v>
      </x:c>
      <x:c r="H107" s="43" t="str">
        <x:v>Variance assumption accepted: SD=sqrt(mean), then SE=SD/sqrt(n).</x:v>
      </x:c>
      <x:c r="I107" s="43" t="str"/>
      <x:c r="J107" s="43" t="str">
        <x:v>0.29496</x:v>
      </x:c>
      <x:c r="K107" s="43" t="str">
        <x:v>Accepted analysis assumption: SD = sqrt(mean); SE = SD / sqrt(n)</x:v>
      </x:c>
      <x:c r="L107" s="43" t="str">
        <x:v>included_studies/whitlow_1978_thesis.pdf; figure error bars are not defined; assumption approved by reviewer</x:v>
      </x:c>
      <x:c r="M107" s="43" t="str"/>
      <x:c r="N107" s="43" t="str">
        <x:v>0.344802</x:v>
      </x:c>
      <x:c r="O107" s="43" t="str">
        <x:v>Accepted analysis assumption: SD = sqrt(mean); SE = SD / sqrt(n)</x:v>
      </x:c>
      <x:c r="P107" s="43" t="str">
        <x:v>included_studies/whitlow_1978_thesis.pdf; figure error bars are not defined; assumption approved by reviewer</x:v>
      </x:c>
    </x:row>
    <x:row r="108">
      <x:c r="A108" s="43" t="str">
        <x:v>108</x:v>
      </x:c>
      <x:c r="B108" s="43" t="str">
        <x:v>whitlow_1978_thesis</x:v>
      </x:c>
      <x:c r="C108" s="43" t="str">
        <x:v>es107</x:v>
      </x:c>
      <x:c r="D108" s="43" t="str">
        <x:v>male</x:v>
      </x:c>
      <x:c r="E108" s="43" t="str">
        <x:v>Defecation amount</x:v>
      </x:c>
      <x:c r="F108" s="43" t="str">
        <x:v>Corrected derived value</x:v>
      </x:c>
      <x:c r="G108" s="43" t="str">
        <x:v>Variance decision – Whitlow 1978</x:v>
      </x:c>
      <x:c r="H108" s="43" t="str">
        <x:v>Variance assumption accepted: SD=sqrt(mean), then SE=SD/sqrt(n).</x:v>
      </x:c>
      <x:c r="I108" s="43" t="str"/>
      <x:c r="J108" s="43" t="str">
        <x:v>0.29496</x:v>
      </x:c>
      <x:c r="K108" s="43" t="str">
        <x:v>Accepted analysis assumption: SD = sqrt(mean); SE = SD / sqrt(n)</x:v>
      </x:c>
      <x:c r="L108" s="43" t="str">
        <x:v>included_studies/whitlow_1978_thesis.pdf; figure error bars are not defined; assumption approved by reviewer</x:v>
      </x:c>
      <x:c r="M108" s="43" t="str"/>
      <x:c r="N108" s="43" t="str">
        <x:v>0.318014</x:v>
      </x:c>
      <x:c r="O108" s="43" t="str">
        <x:v>Accepted analysis assumption: SD = sqrt(mean); SE = SD / sqrt(n)</x:v>
      </x:c>
      <x:c r="P108" s="43" t="str">
        <x:v>included_studies/whitlow_1978_thesis.pdf; figure error bars are not defined; assumption approved by reviewer</x:v>
      </x:c>
    </x:row>
    <x:row r="109">
      <x:c r="A109" s="43" t="str">
        <x:v>109</x:v>
      </x:c>
      <x:c r="B109" s="43" t="str">
        <x:v>whitlow_1978_thesis</x:v>
      </x:c>
      <x:c r="C109" s="43" t="str">
        <x:v>es108</x:v>
      </x:c>
      <x:c r="D109" s="43" t="str">
        <x:v>male</x:v>
      </x:c>
      <x:c r="E109" s="43" t="str">
        <x:v>Defecation amount</x:v>
      </x:c>
      <x:c r="F109" s="43" t="str">
        <x:v>Corrected derived value</x:v>
      </x:c>
      <x:c r="G109" s="43" t="str">
        <x:v>Variance decision – Whitlow 1978</x:v>
      </x:c>
      <x:c r="H109" s="43" t="str">
        <x:v>Variance assumption accepted: SD=sqrt(mean), then SE=SD/sqrt(n).</x:v>
      </x:c>
      <x:c r="I109" s="43" t="str"/>
      <x:c r="J109" s="43" t="str">
        <x:v>0.333174</x:v>
      </x:c>
      <x:c r="K109" s="43" t="str">
        <x:v>Accepted analysis assumption: SD = sqrt(mean); SE = SD / sqrt(n)</x:v>
      </x:c>
      <x:c r="L109" s="43" t="str">
        <x:v>included_studies/whitlow_1978_thesis.pdf; figure error bars are not defined; assumption approved by reviewer</x:v>
      </x:c>
      <x:c r="M109" s="43" t="str"/>
      <x:c r="N109" s="43" t="str">
        <x:v>0.314861</x:v>
      </x:c>
      <x:c r="O109" s="43" t="str">
        <x:v>Accepted analysis assumption: SD = sqrt(mean); SE = SD / sqrt(n)</x:v>
      </x:c>
      <x:c r="P109" s="43" t="str">
        <x:v>included_studies/whitlow_1978_thesis.pdf; figure error bars are not defined; assumption approved by reviewer</x:v>
      </x:c>
    </x:row>
    <x:row r="110">
      <x:c r="A110" s="43" t="str">
        <x:v>110</x:v>
      </x:c>
      <x:c r="B110" s="43" t="str">
        <x:v>whitlow_1978_thesis</x:v>
      </x:c>
      <x:c r="C110" s="43" t="str">
        <x:v>es109</x:v>
      </x:c>
      <x:c r="D110" s="43" t="str">
        <x:v>male</x:v>
      </x:c>
      <x:c r="E110" s="43" t="str">
        <x:v>Defecation amount</x:v>
      </x:c>
      <x:c r="F110" s="43" t="str">
        <x:v>Corrected derived value</x:v>
      </x:c>
      <x:c r="G110" s="43" t="str">
        <x:v>Variance decision – Whitlow 1978</x:v>
      </x:c>
      <x:c r="H110" s="43" t="str">
        <x:v>Variance assumption accepted: SD=sqrt(mean), then SE=SD/sqrt(n).</x:v>
      </x:c>
      <x:c r="I110" s="43" t="str"/>
      <x:c r="J110" s="43" t="str">
        <x:v>0.333174</x:v>
      </x:c>
      <x:c r="K110" s="43" t="str">
        <x:v>Accepted analysis assumption: SD = sqrt(mean); SE = SD / sqrt(n)</x:v>
      </x:c>
      <x:c r="L110" s="43" t="str">
        <x:v>included_studies/whitlow_1978_thesis.pdf; figure error bars are not defined; assumption approved by reviewer</x:v>
      </x:c>
      <x:c r="M110" s="43" t="str"/>
      <x:c r="N110" s="43" t="str">
        <x:v>0.302585</x:v>
      </x:c>
      <x:c r="O110" s="43" t="str">
        <x:v>Accepted analysis assumption: SD = sqrt(mean); SE = SD / sqrt(n)</x:v>
      </x:c>
      <x:c r="P110" s="43" t="str">
        <x:v>included_studies/whitlow_1978_thesis.pdf; figure error bars are not defined; assumption approved by reviewer</x:v>
      </x:c>
    </x:row>
    <x:row r="111">
      <x:c r="A111" s="43" t="str">
        <x:v>111</x:v>
      </x:c>
      <x:c r="B111" s="43" t="str">
        <x:v>whitlow_1978_thesis</x:v>
      </x:c>
      <x:c r="C111" s="43" t="str">
        <x:v>es110</x:v>
      </x:c>
      <x:c r="D111" s="43" t="str">
        <x:v>male</x:v>
      </x:c>
      <x:c r="E111" s="43" t="str">
        <x:v>Defecation amount</x:v>
      </x:c>
      <x:c r="F111" s="43" t="str">
        <x:v>Corrected derived value</x:v>
      </x:c>
      <x:c r="G111" s="43" t="str">
        <x:v>Variance decision – Whitlow 1978</x:v>
      </x:c>
      <x:c r="H111" s="43" t="str">
        <x:v>Variance assumption accepted: SD=sqrt(mean), then SE=SD/sqrt(n).</x:v>
      </x:c>
      <x:c r="I111" s="43" t="str"/>
      <x:c r="J111" s="43" t="str">
        <x:v>0.238745</x:v>
      </x:c>
      <x:c r="K111" s="43" t="str">
        <x:v>Accepted analysis assumption: SD = sqrt(mean); SE = SD / sqrt(n)</x:v>
      </x:c>
      <x:c r="L111" s="43" t="str">
        <x:v>included_studies/whitlow_1978_thesis.pdf; figure error bars are not defined; assumption approved by reviewer</x:v>
      </x:c>
      <x:c r="M111" s="43" t="str"/>
      <x:c r="N111" s="43" t="str">
        <x:v>0.358688</x:v>
      </x:c>
      <x:c r="O111" s="43" t="str">
        <x:v>Accepted analysis assumption: SD = sqrt(mean); SE = SD / sqrt(n)</x:v>
      </x:c>
      <x:c r="P111" s="43" t="str">
        <x:v>included_studies/whitlow_1978_thesis.pdf; figure error bars are not defined; assumption approved by reviewer</x:v>
      </x:c>
    </x:row>
    <x:row r="112">
      <x:c r="A112" s="43" t="str">
        <x:v>112</x:v>
      </x:c>
      <x:c r="B112" s="43" t="str">
        <x:v>whitlow_1978_thesis</x:v>
      </x:c>
      <x:c r="C112" s="43" t="str">
        <x:v>es111</x:v>
      </x:c>
      <x:c r="D112" s="43" t="str">
        <x:v>male</x:v>
      </x:c>
      <x:c r="E112" s="43" t="str">
        <x:v>Defecation amount</x:v>
      </x:c>
      <x:c r="F112" s="43" t="str">
        <x:v>Corrected derived value</x:v>
      </x:c>
      <x:c r="G112" s="43" t="str">
        <x:v>Variance decision – Whitlow 1978</x:v>
      </x:c>
      <x:c r="H112" s="43" t="str">
        <x:v>Variance assumption accepted: SD=sqrt(mean), then SE=SD/sqrt(n).</x:v>
      </x:c>
      <x:c r="I112" s="43" t="str"/>
      <x:c r="J112" s="43" t="str">
        <x:v>0.238745</x:v>
      </x:c>
      <x:c r="K112" s="43" t="str">
        <x:v>Accepted analysis assumption: SD = sqrt(mean); SE = SD / sqrt(n)</x:v>
      </x:c>
      <x:c r="L112" s="43" t="str">
        <x:v>included_studies/whitlow_1978_thesis.pdf; figure error bars are not defined; assumption approved by reviewer</x:v>
      </x:c>
      <x:c r="M112" s="43" t="str"/>
      <x:c r="N112" s="43" t="str">
        <x:v>0.378186</x:v>
      </x:c>
      <x:c r="O112" s="43" t="str">
        <x:v>Accepted analysis assumption: SD = sqrt(mean); SE = SD / sqrt(n)</x:v>
      </x:c>
      <x:c r="P112" s="43" t="str">
        <x:v>included_studies/whitlow_1978_thesis.pdf; figure error bars are not defined; assumption approved by reviewer</x:v>
      </x:c>
    </x:row>
    <x:row r="113">
      <x:c r="A113" s="43" t="str">
        <x:v>113</x:v>
      </x:c>
      <x:c r="B113" s="43" t="str">
        <x:v>whitlow_1978_thesis</x:v>
      </x:c>
      <x:c r="C113" s="43" t="str">
        <x:v>es112</x:v>
      </x:c>
      <x:c r="D113" s="43" t="str">
        <x:v>male</x:v>
      </x:c>
      <x:c r="E113" s="43" t="str">
        <x:v>Sections crossed</x:v>
      </x:c>
      <x:c r="F113" s="43" t="str">
        <x:v>Corrected derived value</x:v>
      </x:c>
      <x:c r="G113" s="43" t="str">
        <x:v>Variance decision – Whitlow 1978</x:v>
      </x:c>
      <x:c r="H113" s="43" t="str">
        <x:v>Variance assumption accepted: SD=sqrt(mean), then SE=SD/sqrt(n).</x:v>
      </x:c>
      <x:c r="I113" s="43" t="str"/>
      <x:c r="J113" s="43" t="str">
        <x:v>1.512722</x:v>
      </x:c>
      <x:c r="K113" s="43" t="str">
        <x:v>Accepted analysis assumption: SD = sqrt(mean); SE = SD / sqrt(n)</x:v>
      </x:c>
      <x:c r="L113" s="43" t="str">
        <x:v>included_studies/whitlow_1978_thesis.pdf; figure error bars are not defined; assumption approved by reviewer</x:v>
      </x:c>
      <x:c r="M113" s="43" t="str"/>
      <x:c r="N113" s="43" t="str">
        <x:v>1.887174</x:v>
      </x:c>
      <x:c r="O113" s="43" t="str">
        <x:v>Accepted analysis assumption: SD = sqrt(mean); SE = SD / sqrt(n)</x:v>
      </x:c>
      <x:c r="P113" s="43" t="str">
        <x:v>included_studies/whitlow_1978_thesis.pdf; figure error bars are not defined; assumption approved by reviewer</x:v>
      </x:c>
    </x:row>
    <x:row r="114">
      <x:c r="A114" s="43" t="str">
        <x:v>114</x:v>
      </x:c>
      <x:c r="B114" s="43" t="str">
        <x:v>whitlow_1978_thesis</x:v>
      </x:c>
      <x:c r="C114" s="43" t="str">
        <x:v>es113</x:v>
      </x:c>
      <x:c r="D114" s="43" t="str">
        <x:v>male</x:v>
      </x:c>
      <x:c r="E114" s="43" t="str">
        <x:v>Sections crossed</x:v>
      </x:c>
      <x:c r="F114" s="43" t="str">
        <x:v>Corrected derived value</x:v>
      </x:c>
      <x:c r="G114" s="43" t="str">
        <x:v>Variance decision – Whitlow 1978</x:v>
      </x:c>
      <x:c r="H114" s="43" t="str">
        <x:v>Variance assumption accepted: SD=sqrt(mean), then SE=SD/sqrt(n).</x:v>
      </x:c>
      <x:c r="I114" s="43" t="str"/>
      <x:c r="J114" s="43" t="str">
        <x:v>1.512722</x:v>
      </x:c>
      <x:c r="K114" s="43" t="str">
        <x:v>Accepted analysis assumption: SD = sqrt(mean); SE = SD / sqrt(n)</x:v>
      </x:c>
      <x:c r="L114" s="43" t="str">
        <x:v>included_studies/whitlow_1978_thesis.pdf; figure error bars are not defined; assumption approved by reviewer</x:v>
      </x:c>
      <x:c r="M114" s="43" t="str"/>
      <x:c r="N114" s="43" t="str">
        <x:v>1.74458</x:v>
      </x:c>
      <x:c r="O114" s="43" t="str">
        <x:v>Accepted analysis assumption: SD = sqrt(mean); SE = SD / sqrt(n)</x:v>
      </x:c>
      <x:c r="P114" s="43" t="str">
        <x:v>included_studies/whitlow_1978_thesis.pdf; figure error bars are not defined; assumption approved by reviewer</x:v>
      </x:c>
    </x:row>
    <x:row r="115">
      <x:c r="A115" s="43" t="str">
        <x:v>115</x:v>
      </x:c>
      <x:c r="B115" s="43" t="str">
        <x:v>whitlow_1978_thesis</x:v>
      </x:c>
      <x:c r="C115" s="43" t="str">
        <x:v>es114</x:v>
      </x:c>
      <x:c r="D115" s="43" t="str">
        <x:v>male</x:v>
      </x:c>
      <x:c r="E115" s="43" t="str">
        <x:v>Sections crossed</x:v>
      </x:c>
      <x:c r="F115" s="43" t="str">
        <x:v>Corrected derived value</x:v>
      </x:c>
      <x:c r="G115" s="43" t="str">
        <x:v>Variance decision – Whitlow 1978</x:v>
      </x:c>
      <x:c r="H115" s="43" t="str">
        <x:v>Variance assumption accepted: SD=sqrt(mean), then SE=SD/sqrt(n).</x:v>
      </x:c>
      <x:c r="I115" s="43" t="str"/>
      <x:c r="J115" s="43" t="str">
        <x:v>1.259689</x:v>
      </x:c>
      <x:c r="K115" s="43" t="str">
        <x:v>Accepted analysis assumption: SD = sqrt(mean); SE = SD / sqrt(n)</x:v>
      </x:c>
      <x:c r="L115" s="43" t="str">
        <x:v>included_studies/whitlow_1978_thesis.pdf; figure error bars are not defined; assumption approved by reviewer</x:v>
      </x:c>
      <x:c r="M115" s="43" t="str"/>
      <x:c r="N115" s="43" t="str">
        <x:v>1.46288</x:v>
      </x:c>
      <x:c r="O115" s="43" t="str">
        <x:v>Accepted analysis assumption: SD = sqrt(mean); SE = SD / sqrt(n)</x:v>
      </x:c>
      <x:c r="P115" s="43" t="str">
        <x:v>included_studies/whitlow_1978_thesis.pdf; figure error bars are not defined; assumption approved by reviewer</x:v>
      </x:c>
    </x:row>
    <x:row r="116">
      <x:c r="A116" s="43" t="str">
        <x:v>116</x:v>
      </x:c>
      <x:c r="B116" s="43" t="str">
        <x:v>whitlow_1978_thesis</x:v>
      </x:c>
      <x:c r="C116" s="43" t="str">
        <x:v>es115</x:v>
      </x:c>
      <x:c r="D116" s="43" t="str">
        <x:v>male</x:v>
      </x:c>
      <x:c r="E116" s="43" t="str">
        <x:v>Sections crossed</x:v>
      </x:c>
      <x:c r="F116" s="43" t="str">
        <x:v>Corrected derived value</x:v>
      </x:c>
      <x:c r="G116" s="43" t="str">
        <x:v>Variance decision – Whitlow 1978</x:v>
      </x:c>
      <x:c r="H116" s="43" t="str">
        <x:v>Variance assumption accepted: SD=sqrt(mean), then SE=SD/sqrt(n).</x:v>
      </x:c>
      <x:c r="I116" s="43" t="str"/>
      <x:c r="J116" s="43" t="str">
        <x:v>1.259689</x:v>
      </x:c>
      <x:c r="K116" s="43" t="str">
        <x:v>Accepted analysis assumption: SD = sqrt(mean); SE = SD / sqrt(n)</x:v>
      </x:c>
      <x:c r="L116" s="43" t="str">
        <x:v>included_studies/whitlow_1978_thesis.pdf; figure error bars are not defined; assumption approved by reviewer</x:v>
      </x:c>
      <x:c r="M116" s="43" t="str"/>
      <x:c r="N116" s="43" t="str">
        <x:v>1.357986</x:v>
      </x:c>
      <x:c r="O116" s="43" t="str">
        <x:v>Accepted analysis assumption: SD = sqrt(mean); SE = SD / sqrt(n)</x:v>
      </x:c>
      <x:c r="P116" s="43" t="str">
        <x:v>included_studies/whitlow_1978_thesis.pdf; figure error bars are not defined; assumption approved by reviewer</x:v>
      </x:c>
    </x:row>
    <x:row r="117">
      <x:c r="A117" s="43" t="str">
        <x:v>117</x:v>
      </x:c>
      <x:c r="B117" s="43" t="str">
        <x:v>whitlow_1978_thesis</x:v>
      </x:c>
      <x:c r="C117" s="43" t="str">
        <x:v>es116</x:v>
      </x:c>
      <x:c r="D117" s="43" t="str">
        <x:v>male</x:v>
      </x:c>
      <x:c r="E117" s="43" t="str">
        <x:v>Sections crossed</x:v>
      </x:c>
      <x:c r="F117" s="43" t="str">
        <x:v>Corrected derived value</x:v>
      </x:c>
      <x:c r="G117" s="43" t="str">
        <x:v>Variance decision – Whitlow 1978</x:v>
      </x:c>
      <x:c r="H117" s="43" t="str">
        <x:v>Variance assumption accepted: SD=sqrt(mean), then SE=SD/sqrt(n).</x:v>
      </x:c>
      <x:c r="I117" s="43" t="str"/>
      <x:c r="J117" s="43" t="str">
        <x:v>0.977743</x:v>
      </x:c>
      <x:c r="K117" s="43" t="str">
        <x:v>Accepted analysis assumption: SD = sqrt(mean); SE = SD / sqrt(n)</x:v>
      </x:c>
      <x:c r="L117" s="43" t="str">
        <x:v>included_studies/whitlow_1978_thesis.pdf; figure error bars are not defined; assumption approved by reviewer</x:v>
      </x:c>
      <x:c r="M117" s="43" t="str"/>
      <x:c r="N117" s="43" t="str">
        <x:v>1.156226</x:v>
      </x:c>
      <x:c r="O117" s="43" t="str">
        <x:v>Accepted analysis assumption: SD = sqrt(mean); SE = SD / sqrt(n)</x:v>
      </x:c>
      <x:c r="P117" s="43" t="str">
        <x:v>included_studies/whitlow_1978_thesis.pdf; figure error bars are not defined; assumption approved by reviewer</x:v>
      </x:c>
    </x:row>
    <x:row r="118">
      <x:c r="A118" s="43" t="str">
        <x:v>118</x:v>
      </x:c>
      <x:c r="B118" s="43" t="str">
        <x:v>whitlow_1978_thesis</x:v>
      </x:c>
      <x:c r="C118" s="43" t="str">
        <x:v>es117</x:v>
      </x:c>
      <x:c r="D118" s="43" t="str">
        <x:v>male</x:v>
      </x:c>
      <x:c r="E118" s="43" t="str">
        <x:v>Sections crossed</x:v>
      </x:c>
      <x:c r="F118" s="43" t="str">
        <x:v>Corrected derived value</x:v>
      </x:c>
      <x:c r="G118" s="43" t="str">
        <x:v>Variance decision – Whitlow 1978</x:v>
      </x:c>
      <x:c r="H118" s="43" t="str">
        <x:v>Variance assumption accepted: SD=sqrt(mean), then SE=SD/sqrt(n).</x:v>
      </x:c>
      <x:c r="I118" s="43" t="str"/>
      <x:c r="J118" s="43" t="str">
        <x:v>0.977743</x:v>
      </x:c>
      <x:c r="K118" s="43" t="str">
        <x:v>Accepted analysis assumption: SD = sqrt(mean); SE = SD / sqrt(n)</x:v>
      </x:c>
      <x:c r="L118" s="43" t="str">
        <x:v>included_studies/whitlow_1978_thesis.pdf; figure error bars are not defined; assumption approved by reviewer</x:v>
      </x:c>
      <x:c r="M118" s="43" t="str"/>
      <x:c r="N118" s="43" t="str">
        <x:v>0.887316</x:v>
      </x:c>
      <x:c r="O118" s="43" t="str">
        <x:v>Accepted analysis assumption: SD = sqrt(mean); SE = SD / sqrt(n)</x:v>
      </x:c>
      <x:c r="P118" s="43" t="str">
        <x:v>included_studies/whitlow_1978_thesis.pdf; figure error bars are not defined; assumption approved by reviewer</x:v>
      </x:c>
    </x:row>
    <x:row r="119">
      <x:c r="A119" s="43" t="str">
        <x:v>119</x:v>
      </x:c>
      <x:c r="B119" s="43" t="str">
        <x:v>whitlow_1978_thesis</x:v>
      </x:c>
      <x:c r="C119" s="43" t="str">
        <x:v>es118</x:v>
      </x:c>
      <x:c r="D119" s="43" t="str">
        <x:v>male</x:v>
      </x:c>
      <x:c r="E119" s="43" t="str">
        <x:v>Grooming frequency</x:v>
      </x:c>
      <x:c r="F119" s="43" t="str">
        <x:v>Corrected derived value</x:v>
      </x:c>
      <x:c r="G119" s="43" t="str">
        <x:v>Variance decision – Whitlow 1978</x:v>
      </x:c>
      <x:c r="H119" s="43" t="str">
        <x:v>Variance assumption accepted: SD=sqrt(mean), then SE=SD/sqrt(n).</x:v>
      </x:c>
      <x:c r="I119" s="43" t="str"/>
      <x:c r="J119" s="43" t="str">
        <x:v>0.450143</x:v>
      </x:c>
      <x:c r="K119" s="43" t="str">
        <x:v>Accepted analysis assumption: SD = sqrt(mean); SE = SD / sqrt(n)</x:v>
      </x:c>
      <x:c r="L119" s="43" t="str">
        <x:v>included_studies/whitlow_1978_thesis.pdf; figure error bars are not defined; assumption approved by reviewer</x:v>
      </x:c>
      <x:c r="M119" s="43" t="str"/>
      <x:c r="N119" s="43" t="str">
        <x:v>0.429012</x:v>
      </x:c>
      <x:c r="O119" s="43" t="str">
        <x:v>Accepted analysis assumption: SD = sqrt(mean); SE = SD / sqrt(n)</x:v>
      </x:c>
      <x:c r="P119" s="43" t="str">
        <x:v>included_studies/whitlow_1978_thesis.pdf; figure error bars are not defined; assumption approved by reviewer</x:v>
      </x:c>
    </x:row>
    <x:row r="120">
      <x:c r="A120" s="43" t="str">
        <x:v>120</x:v>
      </x:c>
      <x:c r="B120" s="43" t="str">
        <x:v>whitlow_1978_thesis</x:v>
      </x:c>
      <x:c r="C120" s="43" t="str">
        <x:v>es119</x:v>
      </x:c>
      <x:c r="D120" s="43" t="str">
        <x:v>male</x:v>
      </x:c>
      <x:c r="E120" s="43" t="str">
        <x:v>Grooming frequency</x:v>
      </x:c>
      <x:c r="F120" s="43" t="str">
        <x:v>Corrected derived value</x:v>
      </x:c>
      <x:c r="G120" s="43" t="str">
        <x:v>Variance decision – Whitlow 1978</x:v>
      </x:c>
      <x:c r="H120" s="43" t="str">
        <x:v>Variance assumption accepted: SD=sqrt(mean), then SE=SD/sqrt(n).</x:v>
      </x:c>
      <x:c r="I120" s="43" t="str"/>
      <x:c r="J120" s="43" t="str">
        <x:v>0.450143</x:v>
      </x:c>
      <x:c r="K120" s="43" t="str">
        <x:v>Accepted analysis assumption: SD = sqrt(mean); SE = SD / sqrt(n)</x:v>
      </x:c>
      <x:c r="L120" s="43" t="str">
        <x:v>included_studies/whitlow_1978_thesis.pdf; figure error bars are not defined; assumption approved by reviewer</x:v>
      </x:c>
      <x:c r="M120" s="43" t="str"/>
      <x:c r="N120" s="43" t="str">
        <x:v>0.430577</x:v>
      </x:c>
      <x:c r="O120" s="43" t="str">
        <x:v>Accepted analysis assumption: SD = sqrt(mean); SE = SD / sqrt(n)</x:v>
      </x:c>
      <x:c r="P120" s="43" t="str">
        <x:v>included_studies/whitlow_1978_thesis.pdf; figure error bars are not defined; assumption approved by reviewer</x:v>
      </x:c>
    </x:row>
    <x:row r="121">
      <x:c r="A121" s="43" t="str">
        <x:v>121</x:v>
      </x:c>
      <x:c r="B121" s="43" t="str">
        <x:v>whitlow_1978_thesis</x:v>
      </x:c>
      <x:c r="C121" s="43" t="str">
        <x:v>es120</x:v>
      </x:c>
      <x:c r="D121" s="43" t="str">
        <x:v>male</x:v>
      </x:c>
      <x:c r="E121" s="43" t="str">
        <x:v>Grooming frequency</x:v>
      </x:c>
      <x:c r="F121" s="43" t="str">
        <x:v>Corrected derived value</x:v>
      </x:c>
      <x:c r="G121" s="43" t="str">
        <x:v>Variance decision – Whitlow 1978</x:v>
      </x:c>
      <x:c r="H121" s="43" t="str">
        <x:v>Variance assumption accepted: SD=sqrt(mean), then SE=SD/sqrt(n).</x:v>
      </x:c>
      <x:c r="I121" s="43" t="str"/>
      <x:c r="J121" s="43" t="str">
        <x:v>0.419084</x:v>
      </x:c>
      <x:c r="K121" s="43" t="str">
        <x:v>Accepted analysis assumption: SD = sqrt(mean); SE = SD / sqrt(n)</x:v>
      </x:c>
      <x:c r="L121" s="43" t="str">
        <x:v>included_studies/whitlow_1978_thesis.pdf; figure error bars are not defined; assumption approved by reviewer</x:v>
      </x:c>
      <x:c r="M121" s="43" t="str"/>
      <x:c r="N121" s="43" t="str">
        <x:v>0.532475</x:v>
      </x:c>
      <x:c r="O121" s="43" t="str">
        <x:v>Accepted analysis assumption: SD = sqrt(mean); SE = SD / sqrt(n)</x:v>
      </x:c>
      <x:c r="P121" s="43" t="str">
        <x:v>included_studies/whitlow_1978_thesis.pdf; figure error bars are not defined; assumption approved by reviewer</x:v>
      </x:c>
    </x:row>
    <x:row r="122">
      <x:c r="A122" s="43" t="str">
        <x:v>122</x:v>
      </x:c>
      <x:c r="B122" s="43" t="str">
        <x:v>whitlow_1978_thesis</x:v>
      </x:c>
      <x:c r="C122" s="43" t="str">
        <x:v>es121</x:v>
      </x:c>
      <x:c r="D122" s="43" t="str">
        <x:v>male</x:v>
      </x:c>
      <x:c r="E122" s="43" t="str">
        <x:v>Grooming frequency</x:v>
      </x:c>
      <x:c r="F122" s="43" t="str">
        <x:v>Corrected derived value</x:v>
      </x:c>
      <x:c r="G122" s="43" t="str">
        <x:v>Variance decision – Whitlow 1978</x:v>
      </x:c>
      <x:c r="H122" s="43" t="str">
        <x:v>Variance assumption accepted: SD=sqrt(mean), then SE=SD/sqrt(n).</x:v>
      </x:c>
      <x:c r="I122" s="43" t="str"/>
      <x:c r="J122" s="43" t="str">
        <x:v>0.419084</x:v>
      </x:c>
      <x:c r="K122" s="43" t="str">
        <x:v>Accepted analysis assumption: SD = sqrt(mean); SE = SD / sqrt(n)</x:v>
      </x:c>
      <x:c r="L122" s="43" t="str">
        <x:v>included_studies/whitlow_1978_thesis.pdf; figure error bars are not defined; assumption approved by reviewer</x:v>
      </x:c>
      <x:c r="M122" s="43" t="str"/>
      <x:c r="N122" s="43" t="str">
        <x:v>0.490012</x:v>
      </x:c>
      <x:c r="O122" s="43" t="str">
        <x:v>Accepted analysis assumption: SD = sqrt(mean); SE = SD / sqrt(n)</x:v>
      </x:c>
      <x:c r="P122" s="43" t="str">
        <x:v>included_studies/whitlow_1978_thesis.pdf; figure error bars are not defined; assumption approved by reviewer</x:v>
      </x:c>
    </x:row>
    <x:row r="123">
      <x:c r="A123" s="43" t="str">
        <x:v>123</x:v>
      </x:c>
      <x:c r="B123" s="43" t="str">
        <x:v>whitlow_1978_thesis</x:v>
      </x:c>
      <x:c r="C123" s="43" t="str">
        <x:v>es122</x:v>
      </x:c>
      <x:c r="D123" s="43" t="str">
        <x:v>male</x:v>
      </x:c>
      <x:c r="E123" s="43" t="str">
        <x:v>Grooming frequency</x:v>
      </x:c>
      <x:c r="F123" s="43" t="str">
        <x:v>Corrected derived value</x:v>
      </x:c>
      <x:c r="G123" s="43" t="str">
        <x:v>Variance decision – Whitlow 1978</x:v>
      </x:c>
      <x:c r="H123" s="43" t="str">
        <x:v>Variance assumption accepted: SD=sqrt(mean), then SE=SD/sqrt(n).</x:v>
      </x:c>
      <x:c r="I123" s="43" t="str"/>
      <x:c r="J123" s="43" t="str">
        <x:v>0.438627</x:v>
      </x:c>
      <x:c r="K123" s="43" t="str">
        <x:v>Accepted analysis assumption: SD = sqrt(mean); SE = SD / sqrt(n)</x:v>
      </x:c>
      <x:c r="L123" s="43" t="str">
        <x:v>included_studies/whitlow_1978_thesis.pdf; figure error bars are not defined; assumption approved by reviewer</x:v>
      </x:c>
      <x:c r="M123" s="43" t="str"/>
      <x:c r="N123" s="43" t="str">
        <x:v>0.429526</x:v>
      </x:c>
      <x:c r="O123" s="43" t="str">
        <x:v>Accepted analysis assumption: SD = sqrt(mean); SE = SD / sqrt(n)</x:v>
      </x:c>
      <x:c r="P123" s="43" t="str">
        <x:v>included_studies/whitlow_1978_thesis.pdf; figure error bars are not defined; assumption approved by reviewer</x:v>
      </x:c>
    </x:row>
    <x:row r="124">
      <x:c r="A124" s="43" t="str">
        <x:v>124</x:v>
      </x:c>
      <x:c r="B124" s="43" t="str">
        <x:v>whitlow_1978_thesis</x:v>
      </x:c>
      <x:c r="C124" s="43" t="str">
        <x:v>es123</x:v>
      </x:c>
      <x:c r="D124" s="43" t="str">
        <x:v>male</x:v>
      </x:c>
      <x:c r="E124" s="43" t="str">
        <x:v>Grooming frequency</x:v>
      </x:c>
      <x:c r="F124" s="43" t="str">
        <x:v>Corrected derived value</x:v>
      </x:c>
      <x:c r="G124" s="43" t="str">
        <x:v>Variance decision – Whitlow 1978</x:v>
      </x:c>
      <x:c r="H124" s="43" t="str">
        <x:v>Variance assumption accepted: SD=sqrt(mean), then SE=SD/sqrt(n).</x:v>
      </x:c>
      <x:c r="I124" s="43" t="str"/>
      <x:c r="J124" s="43" t="str">
        <x:v>0.438627</x:v>
      </x:c>
      <x:c r="K124" s="43" t="str">
        <x:v>Accepted analysis assumption: SD = sqrt(mean); SE = SD / sqrt(n)</x:v>
      </x:c>
      <x:c r="L124" s="43" t="str">
        <x:v>included_studies/whitlow_1978_thesis.pdf; figure error bars are not defined; assumption approved by reviewer</x:v>
      </x:c>
      <x:c r="M124" s="43" t="str"/>
      <x:c r="N124" s="43" t="str">
        <x:v>0.392095</x:v>
      </x:c>
      <x:c r="O124" s="43" t="str">
        <x:v>Accepted analysis assumption: SD = sqrt(mean); SE = SD / sqrt(n)</x:v>
      </x:c>
      <x:c r="P124" s="43" t="str">
        <x:v>included_studies/whitlow_1978_thesis.pdf; figure error bars are not defined; assumption approved by reviewer</x:v>
      </x:c>
    </x:row>
    <x:row r="125">
      <x:c r="A125" s="43" t="str">
        <x:v>125</x:v>
      </x:c>
      <x:c r="B125" s="43" t="str">
        <x:v>whitlow_1978_thesis</x:v>
      </x:c>
      <x:c r="C125" s="43" t="str">
        <x:v>es124</x:v>
      </x:c>
      <x:c r="D125" s="43" t="str">
        <x:v>male</x:v>
      </x:c>
      <x:c r="E125" s="43" t="str">
        <x:v>Defecation amount</x:v>
      </x:c>
      <x:c r="F125" s="43" t="str">
        <x:v>Corrected derived value</x:v>
      </x:c>
      <x:c r="G125" s="43" t="str">
        <x:v>Variance decision – Whitlow 1978</x:v>
      </x:c>
      <x:c r="H125" s="43" t="str">
        <x:v>Variance assumption accepted: SD=sqrt(mean), then SE=SD/sqrt(n).</x:v>
      </x:c>
      <x:c r="I125" s="43" t="str"/>
      <x:c r="J125" s="43" t="str">
        <x:v>0.345316</x:v>
      </x:c>
      <x:c r="K125" s="43" t="str">
        <x:v>Accepted analysis assumption: SD = sqrt(mean); SE = SD / sqrt(n)</x:v>
      </x:c>
      <x:c r="L125" s="43" t="str">
        <x:v>included_studies/whitlow_1978_thesis.pdf; figure error bars are not defined; assumption approved by reviewer</x:v>
      </x:c>
      <x:c r="M125" s="43" t="str"/>
      <x:c r="N125" s="43" t="str">
        <x:v>0.344802</x:v>
      </x:c>
      <x:c r="O125" s="43" t="str">
        <x:v>Accepted analysis assumption: SD = sqrt(mean); SE = SD / sqrt(n)</x:v>
      </x:c>
      <x:c r="P125" s="43" t="str">
        <x:v>included_studies/whitlow_1978_thesis.pdf; figure error bars are not defined; assumption approved by reviewer</x:v>
      </x:c>
    </x:row>
    <x:row r="126">
      <x:c r="A126" s="43" t="str">
        <x:v>126</x:v>
      </x:c>
      <x:c r="B126" s="43" t="str">
        <x:v>whitlow_1978_thesis</x:v>
      </x:c>
      <x:c r="C126" s="43" t="str">
        <x:v>es125</x:v>
      </x:c>
      <x:c r="D126" s="43" t="str">
        <x:v>male</x:v>
      </x:c>
      <x:c r="E126" s="43" t="str">
        <x:v>Defecation amount</x:v>
      </x:c>
      <x:c r="F126" s="43" t="str">
        <x:v>Corrected derived value</x:v>
      </x:c>
      <x:c r="G126" s="43" t="str">
        <x:v>Variance decision – Whitlow 1978</x:v>
      </x:c>
      <x:c r="H126" s="43" t="str">
        <x:v>Variance assumption accepted: SD=sqrt(mean), then SE=SD/sqrt(n).</x:v>
      </x:c>
      <x:c r="I126" s="43" t="str"/>
      <x:c r="J126" s="43" t="str">
        <x:v>0.345316</x:v>
      </x:c>
      <x:c r="K126" s="43" t="str">
        <x:v>Accepted analysis assumption: SD = sqrt(mean); SE = SD / sqrt(n)</x:v>
      </x:c>
      <x:c r="L126" s="43" t="str">
        <x:v>included_studies/whitlow_1978_thesis.pdf; figure error bars are not defined; assumption approved by reviewer</x:v>
      </x:c>
      <x:c r="M126" s="43" t="str"/>
      <x:c r="N126" s="43" t="str">
        <x:v>0.318014</x:v>
      </x:c>
      <x:c r="O126" s="43" t="str">
        <x:v>Accepted analysis assumption: SD = sqrt(mean); SE = SD / sqrt(n)</x:v>
      </x:c>
      <x:c r="P126" s="43" t="str">
        <x:v>included_studies/whitlow_1978_thesis.pdf; figure error bars are not defined; assumption approved by reviewer</x:v>
      </x:c>
    </x:row>
    <x:row r="127">
      <x:c r="A127" s="43" t="str">
        <x:v>127</x:v>
      </x:c>
      <x:c r="B127" s="43" t="str">
        <x:v>whitlow_1978_thesis</x:v>
      </x:c>
      <x:c r="C127" s="43" t="str">
        <x:v>es126</x:v>
      </x:c>
      <x:c r="D127" s="43" t="str">
        <x:v>male</x:v>
      </x:c>
      <x:c r="E127" s="43" t="str">
        <x:v>Defecation amount</x:v>
      </x:c>
      <x:c r="F127" s="43" t="str">
        <x:v>Corrected derived value</x:v>
      </x:c>
      <x:c r="G127" s="43" t="str">
        <x:v>Variance decision – Whitlow 1978</x:v>
      </x:c>
      <x:c r="H127" s="43" t="str">
        <x:v>Variance assumption accepted: SD=sqrt(mean), then SE=SD/sqrt(n).</x:v>
      </x:c>
      <x:c r="I127" s="43" t="str"/>
      <x:c r="J127" s="43" t="str">
        <x:v>0.276311</x:v>
      </x:c>
      <x:c r="K127" s="43" t="str">
        <x:v>Accepted analysis assumption: SD = sqrt(mean); SE = SD / sqrt(n)</x:v>
      </x:c>
      <x:c r="L127" s="43" t="str">
        <x:v>included_studies/whitlow_1978_thesis.pdf; figure error bars are not defined; assumption approved by reviewer</x:v>
      </x:c>
      <x:c r="M127" s="43" t="str"/>
      <x:c r="N127" s="43" t="str">
        <x:v>0.314861</x:v>
      </x:c>
      <x:c r="O127" s="43" t="str">
        <x:v>Accepted analysis assumption: SD = sqrt(mean); SE = SD / sqrt(n)</x:v>
      </x:c>
      <x:c r="P127" s="43" t="str">
        <x:v>included_studies/whitlow_1978_thesis.pdf; figure error bars are not defined; assumption approved by reviewer</x:v>
      </x:c>
    </x:row>
    <x:row r="128">
      <x:c r="A128" s="43" t="str">
        <x:v>128</x:v>
      </x:c>
      <x:c r="B128" s="43" t="str">
        <x:v>whitlow_1978_thesis</x:v>
      </x:c>
      <x:c r="C128" s="43" t="str">
        <x:v>es127</x:v>
      </x:c>
      <x:c r="D128" s="43" t="str">
        <x:v>male</x:v>
      </x:c>
      <x:c r="E128" s="43" t="str">
        <x:v>Defecation amount</x:v>
      </x:c>
      <x:c r="F128" s="43" t="str">
        <x:v>Corrected derived value</x:v>
      </x:c>
      <x:c r="G128" s="43" t="str">
        <x:v>Variance decision – Whitlow 1978</x:v>
      </x:c>
      <x:c r="H128" s="43" t="str">
        <x:v>Variance assumption accepted: SD=sqrt(mean), then SE=SD/sqrt(n).</x:v>
      </x:c>
      <x:c r="I128" s="43" t="str"/>
      <x:c r="J128" s="43" t="str">
        <x:v>0.276311</x:v>
      </x:c>
      <x:c r="K128" s="43" t="str">
        <x:v>Accepted analysis assumption: SD = sqrt(mean); SE = SD / sqrt(n)</x:v>
      </x:c>
      <x:c r="L128" s="43" t="str">
        <x:v>included_studies/whitlow_1978_thesis.pdf; figure error bars are not defined; assumption approved by reviewer</x:v>
      </x:c>
      <x:c r="M128" s="43" t="str"/>
      <x:c r="N128" s="43" t="str">
        <x:v>0.302585</x:v>
      </x:c>
      <x:c r="O128" s="43" t="str">
        <x:v>Accepted analysis assumption: SD = sqrt(mean); SE = SD / sqrt(n)</x:v>
      </x:c>
      <x:c r="P128" s="43" t="str">
        <x:v>included_studies/whitlow_1978_thesis.pdf; figure error bars are not defined; assumption approved by reviewer</x:v>
      </x:c>
    </x:row>
    <x:row r="129">
      <x:c r="A129" s="43" t="str">
        <x:v>129</x:v>
      </x:c>
      <x:c r="B129" s="43" t="str">
        <x:v>whitlow_1978_thesis</x:v>
      </x:c>
      <x:c r="C129" s="43" t="str">
        <x:v>es128</x:v>
      </x:c>
      <x:c r="D129" s="43" t="str">
        <x:v>male</x:v>
      </x:c>
      <x:c r="E129" s="43" t="str">
        <x:v>Defecation amount</x:v>
      </x:c>
      <x:c r="F129" s="43" t="str">
        <x:v>Corrected derived value</x:v>
      </x:c>
      <x:c r="G129" s="43" t="str">
        <x:v>Variance decision – Whitlow 1978</x:v>
      </x:c>
      <x:c r="H129" s="43" t="str">
        <x:v>Variance assumption accepted: SD=sqrt(mean), then SE=SD/sqrt(n).</x:v>
      </x:c>
      <x:c r="I129" s="43" t="str"/>
      <x:c r="J129" s="43" t="str">
        <x:v>0.372484</x:v>
      </x:c>
      <x:c r="K129" s="43" t="str">
        <x:v>Accepted analysis assumption: SD = sqrt(mean); SE = SD / sqrt(n)</x:v>
      </x:c>
      <x:c r="L129" s="43" t="str">
        <x:v>included_studies/whitlow_1978_thesis.pdf; figure error bars are not defined; assumption approved by reviewer</x:v>
      </x:c>
      <x:c r="M129" s="43" t="str"/>
      <x:c r="N129" s="43" t="str">
        <x:v>0.358688</x:v>
      </x:c>
      <x:c r="O129" s="43" t="str">
        <x:v>Accepted analysis assumption: SD = sqrt(mean); SE = SD / sqrt(n)</x:v>
      </x:c>
      <x:c r="P129" s="43" t="str">
        <x:v>included_studies/whitlow_1978_thesis.pdf; figure error bars are not defined; assumption approved by reviewer</x:v>
      </x:c>
    </x:row>
    <x:row r="130">
      <x:c r="A130" s="43" t="str">
        <x:v>130</x:v>
      </x:c>
      <x:c r="B130" s="43" t="str">
        <x:v>whitlow_1978_thesis</x:v>
      </x:c>
      <x:c r="C130" s="43" t="str">
        <x:v>es129</x:v>
      </x:c>
      <x:c r="D130" s="43" t="str">
        <x:v>male</x:v>
      </x:c>
      <x:c r="E130" s="43" t="str">
        <x:v>Defecation amount</x:v>
      </x:c>
      <x:c r="F130" s="43" t="str">
        <x:v>Corrected derived value</x:v>
      </x:c>
      <x:c r="G130" s="43" t="str">
        <x:v>Variance decision – Whitlow 1978</x:v>
      </x:c>
      <x:c r="H130" s="43" t="str">
        <x:v>Variance assumption accepted: SD=sqrt(mean), then SE=SD/sqrt(n).</x:v>
      </x:c>
      <x:c r="I130" s="43" t="str"/>
      <x:c r="J130" s="43" t="str">
        <x:v>0.372484</x:v>
      </x:c>
      <x:c r="K130" s="43" t="str">
        <x:v>Accepted analysis assumption: SD = sqrt(mean); SE = SD / sqrt(n)</x:v>
      </x:c>
      <x:c r="L130" s="43" t="str">
        <x:v>included_studies/whitlow_1978_thesis.pdf; figure error bars are not defined; assumption approved by reviewer</x:v>
      </x:c>
      <x:c r="M130" s="43" t="str"/>
      <x:c r="N130" s="43" t="str">
        <x:v>0.378186</x:v>
      </x:c>
      <x:c r="O130" s="43" t="str">
        <x:v>Accepted analysis assumption: SD = sqrt(mean); SE = SD / sqrt(n)</x:v>
      </x:c>
      <x:c r="P130" s="43" t="str">
        <x:v>included_studies/whitlow_1978_thesis.pdf; figure error bars are not defined; assumption approved by reviewer</x:v>
      </x:c>
    </x:row>
    <x:row r="131">
      <x:c r="A131" s="43" t="str">
        <x:v>131</x:v>
      </x:c>
      <x:c r="B131" s="43" t="str">
        <x:v>abramova_2020_genpath</x:v>
      </x:c>
      <x:c r="C131" s="43" t="str">
        <x:v>es130</x:v>
      </x:c>
      <x:c r="D131" s="43" t="str">
        <x:v>male</x:v>
      </x:c>
      <x:c r="E131" s="43" t="str">
        <x:v>Sections crossed</x:v>
      </x:c>
      <x:c r="F131" s="43" t="str">
        <x:v>Corrected derived value</x:v>
      </x:c>
      <x:c r="G131" s="43" t="str">
        <x:v>5 – Abramova 2020 derived SEs</x:v>
      </x:c>
      <x:c r="H131" s="43" t="str">
        <x:v>The analysis SE is recalculated as SD/sqrt(n); no author-reported statistic is overwritten.</x:v>
      </x:c>
      <x:c r="I131" s="43" t="str"/>
      <x:c r="J131" s="43" t="str">
        <x:v>5.948995</x:v>
      </x:c>
      <x:c r="K131" s="43" t="str">
        <x:v>SD / sqrt(n), using descriptive statistics calculated from author raw data</x:v>
      </x:c>
      <x:c r="L131" s="43" t="str">
        <x:v>included_studies/abramova_2020_genpath/abramova2020_descriptives.xlsx, tidy_all</x:v>
      </x:c>
      <x:c r="M131" s="43" t="str"/>
      <x:c r="N131" s="43" t="str">
        <x:v>6.070662</x:v>
      </x:c>
      <x:c r="O131" s="43" t="str">
        <x:v>SD / sqrt(n), using descriptive statistics calculated from author raw data</x:v>
      </x:c>
      <x:c r="P131" s="43" t="str">
        <x:v>included_studies/abramova_2020_genpath/abramova2020_descriptives.xlsx, tidy_all</x:v>
      </x:c>
    </x:row>
    <x:row r="132">
      <x:c r="A132" s="43" t="str">
        <x:v>132</x:v>
      </x:c>
      <x:c r="B132" s="43" t="str">
        <x:v>abramova_2020_genpath</x:v>
      </x:c>
      <x:c r="C132" s="43" t="str">
        <x:v>es131</x:v>
      </x:c>
      <x:c r="D132" s="43" t="str">
        <x:v>female</x:v>
      </x:c>
      <x:c r="E132" s="43" t="str">
        <x:v>Sections crossed</x:v>
      </x:c>
      <x:c r="F132" s="43" t="str">
        <x:v>Corrected derived value</x:v>
      </x:c>
      <x:c r="G132" s="43" t="str">
        <x:v>5 – Abramova 2020 derived SEs</x:v>
      </x:c>
      <x:c r="H132" s="43" t="str">
        <x:v>The analysis SE is recalculated as SD/sqrt(n); no author-reported statistic is overwritten.</x:v>
      </x:c>
      <x:c r="I132" s="43" t="str"/>
      <x:c r="J132" s="43" t="str">
        <x:v>6.011893</x:v>
      </x:c>
      <x:c r="K132" s="43" t="str">
        <x:v>SD / sqrt(n), using descriptive statistics calculated from author raw data</x:v>
      </x:c>
      <x:c r="L132" s="43" t="str">
        <x:v>included_studies/abramova_2020_genpath/abramova2020_descriptives.xlsx, tidy_all</x:v>
      </x:c>
      <x:c r="M132" s="43" t="str"/>
      <x:c r="N132" s="43" t="str">
        <x:v>4.86045</x:v>
      </x:c>
      <x:c r="O132" s="43" t="str">
        <x:v>SD / sqrt(n), using descriptive statistics calculated from author raw data</x:v>
      </x:c>
      <x:c r="P132" s="43" t="str">
        <x:v>included_studies/abramova_2020_genpath/abramova2020_descriptives.xlsx, tidy_all</x:v>
      </x:c>
    </x:row>
    <x:row r="133">
      <x:c r="A133" s="43" t="str">
        <x:v>133</x:v>
      </x:c>
      <x:c r="B133" s="43" t="str">
        <x:v>abramova_2020_genpath</x:v>
      </x:c>
      <x:c r="C133" s="43" t="str">
        <x:v>es132</x:v>
      </x:c>
      <x:c r="D133" s="43" t="str">
        <x:v>male</x:v>
      </x:c>
      <x:c r="E133" s="43" t="str">
        <x:v>Rearing frequency</x:v>
      </x:c>
      <x:c r="F133" s="43" t="str">
        <x:v>Corrected derived value</x:v>
      </x:c>
      <x:c r="G133" s="43" t="str">
        <x:v>5 – Abramova 2020 derived SEs</x:v>
      </x:c>
      <x:c r="H133" s="43" t="str">
        <x:v>The analysis SE is recalculated as SD/sqrt(n); no author-reported statistic is overwritten.</x:v>
      </x:c>
      <x:c r="I133" s="43" t="str"/>
      <x:c r="J133" s="43" t="str">
        <x:v>2.38249</x:v>
      </x:c>
      <x:c r="K133" s="43" t="str">
        <x:v>SD / sqrt(n), using descriptive statistics calculated from author raw data</x:v>
      </x:c>
      <x:c r="L133" s="43" t="str">
        <x:v>included_studies/abramova_2020_genpath/abramova2020_descriptives.xlsx, tidy_all</x:v>
      </x:c>
      <x:c r="M133" s="43" t="str"/>
      <x:c r="N133" s="43" t="str">
        <x:v>2.53665</x:v>
      </x:c>
      <x:c r="O133" s="43" t="str">
        <x:v>SD / sqrt(n), using descriptive statistics calculated from author raw data</x:v>
      </x:c>
      <x:c r="P133" s="43" t="str">
        <x:v>included_studies/abramova_2020_genpath/abramova2020_descriptives.xlsx, tidy_all</x:v>
      </x:c>
    </x:row>
    <x:row r="134">
      <x:c r="A134" s="43" t="str">
        <x:v>134</x:v>
      </x:c>
      <x:c r="B134" s="43" t="str">
        <x:v>abramova_2020_genpath</x:v>
      </x:c>
      <x:c r="C134" s="43" t="str">
        <x:v>es133</x:v>
      </x:c>
      <x:c r="D134" s="43" t="str">
        <x:v>female</x:v>
      </x:c>
      <x:c r="E134" s="43" t="str">
        <x:v>Rearing frequency</x:v>
      </x:c>
      <x:c r="F134" s="43" t="str">
        <x:v>Corrected derived value</x:v>
      </x:c>
      <x:c r="G134" s="43" t="str">
        <x:v>5 – Abramova 2020 derived SEs</x:v>
      </x:c>
      <x:c r="H134" s="43" t="str">
        <x:v>The analysis SE is recalculated as SD/sqrt(n); no author-reported statistic is overwritten.</x:v>
      </x:c>
      <x:c r="I134" s="43" t="str"/>
      <x:c r="J134" s="43" t="str">
        <x:v>2.286889</x:v>
      </x:c>
      <x:c r="K134" s="43" t="str">
        <x:v>SD / sqrt(n), using descriptive statistics calculated from author raw data</x:v>
      </x:c>
      <x:c r="L134" s="43" t="str">
        <x:v>included_studies/abramova_2020_genpath/abramova2020_descriptives.xlsx, tidy_all</x:v>
      </x:c>
      <x:c r="M134" s="43" t="str"/>
      <x:c r="N134" s="43" t="str">
        <x:v>2.22715</x:v>
      </x:c>
      <x:c r="O134" s="43" t="str">
        <x:v>SD / sqrt(n), using descriptive statistics calculated from author raw data</x:v>
      </x:c>
      <x:c r="P134" s="43" t="str">
        <x:v>included_studies/abramova_2020_genpath/abramova2020_descriptives.xlsx, tidy_all</x:v>
      </x:c>
    </x:row>
    <x:row r="135">
      <x:c r="A135" s="43" t="str">
        <x:v>135</x:v>
      </x:c>
      <x:c r="B135" s="43" t="str">
        <x:v>abramova_2020_genpath</x:v>
      </x:c>
      <x:c r="C135" s="43" t="str">
        <x:v>es134</x:v>
      </x:c>
      <x:c r="D135" s="43" t="str">
        <x:v>male</x:v>
      </x:c>
      <x:c r="E135" s="43" t="str">
        <x:v>Center entries (crossing)</x:v>
      </x:c>
      <x:c r="F135" s="43" t="str">
        <x:v>Corrected derived value</x:v>
      </x:c>
      <x:c r="G135" s="43" t="str">
        <x:v>5 – Abramova 2020 derived SEs</x:v>
      </x:c>
      <x:c r="H135" s="43" t="str">
        <x:v>The analysis SE is recalculated as SD/sqrt(n); no author-reported statistic is overwritten.</x:v>
      </x:c>
      <x:c r="I135" s="43" t="str"/>
      <x:c r="J135" s="43" t="str">
        <x:v>1.0596</x:v>
      </x:c>
      <x:c r="K135" s="43" t="str">
        <x:v>SD / sqrt(n), using descriptive statistics calculated from author raw data</x:v>
      </x:c>
      <x:c r="L135" s="43" t="str">
        <x:v>included_studies/abramova_2020_genpath/abramova2020_descriptives.xlsx, tidy_all</x:v>
      </x:c>
      <x:c r="M135" s="43" t="str"/>
      <x:c r="N135" s="43" t="str">
        <x:v>0.326803</x:v>
      </x:c>
      <x:c r="O135" s="43" t="str">
        <x:v>SD / sqrt(n), using descriptive statistics calculated from author raw data</x:v>
      </x:c>
      <x:c r="P135" s="43" t="str">
        <x:v>included_studies/abramova_2020_genpath/abramova2020_descriptives.xlsx, tidy_all</x:v>
      </x:c>
    </x:row>
    <x:row r="136">
      <x:c r="A136" s="43" t="str">
        <x:v>136</x:v>
      </x:c>
      <x:c r="B136" s="43" t="str">
        <x:v>abramova_2020_genpath</x:v>
      </x:c>
      <x:c r="C136" s="43" t="str">
        <x:v>es135</x:v>
      </x:c>
      <x:c r="D136" s="43" t="str">
        <x:v>female</x:v>
      </x:c>
      <x:c r="E136" s="43" t="str">
        <x:v>Center entries (crossing)</x:v>
      </x:c>
      <x:c r="F136" s="43" t="str">
        <x:v>Corrected derived value</x:v>
      </x:c>
      <x:c r="G136" s="43" t="str">
        <x:v>5 – Abramova 2020 derived SEs</x:v>
      </x:c>
      <x:c r="H136" s="43" t="str">
        <x:v>The analysis SE is recalculated as SD/sqrt(n); no author-reported statistic is overwritten.</x:v>
      </x:c>
      <x:c r="I136" s="43" t="str"/>
      <x:c r="J136" s="43" t="str">
        <x:v>0.647816</x:v>
      </x:c>
      <x:c r="K136" s="43" t="str">
        <x:v>SD / sqrt(n), using descriptive statistics calculated from author raw data</x:v>
      </x:c>
      <x:c r="L136" s="43" t="str">
        <x:v>included_studies/abramova_2020_genpath/abramova2020_descriptives.xlsx, tidy_all</x:v>
      </x:c>
      <x:c r="M136" s="43" t="str"/>
      <x:c r="N136" s="43" t="str">
        <x:v>0.232725</x:v>
      </x:c>
      <x:c r="O136" s="43" t="str">
        <x:v>SD / sqrt(n), using descriptive statistics calculated from author raw data</x:v>
      </x:c>
      <x:c r="P136" s="43" t="str">
        <x:v>included_studies/abramova_2020_genpath/abramova2020_descriptives.xlsx, tidy_all</x:v>
      </x:c>
    </x:row>
    <x:row r="137">
      <x:c r="A137" s="43" t="str">
        <x:v>137</x:v>
      </x:c>
      <x:c r="B137" s="43" t="str">
        <x:v>abramova_2020_genpath</x:v>
      </x:c>
      <x:c r="C137" s="43" t="str">
        <x:v>es136</x:v>
      </x:c>
      <x:c r="D137" s="43" t="str">
        <x:v>male</x:v>
      </x:c>
      <x:c r="E137" s="43" t="str">
        <x:v>Total grooming time</x:v>
      </x:c>
      <x:c r="F137" s="43" t="str">
        <x:v>Corrected derived value</x:v>
      </x:c>
      <x:c r="G137" s="43" t="str">
        <x:v>5 – Abramova 2020 derived SEs</x:v>
      </x:c>
      <x:c r="H137" s="43" t="str">
        <x:v>The analysis SE is recalculated as SD/sqrt(n); no author-reported statistic is overwritten.</x:v>
      </x:c>
      <x:c r="I137" s="43" t="str"/>
      <x:c r="J137" s="43" t="str">
        <x:v>3.898315</x:v>
      </x:c>
      <x:c r="K137" s="43" t="str">
        <x:v>SD / sqrt(n), using descriptive statistics calculated from author raw data</x:v>
      </x:c>
      <x:c r="L137" s="43" t="str">
        <x:v>included_studies/abramova_2020_genpath/abramova2020_descriptives.xlsx, tidy_all</x:v>
      </x:c>
      <x:c r="M137" s="43" t="str"/>
      <x:c r="N137" s="43" t="str">
        <x:v>4.581983</x:v>
      </x:c>
      <x:c r="O137" s="43" t="str">
        <x:v>SD / sqrt(n), using descriptive statistics calculated from author raw data</x:v>
      </x:c>
      <x:c r="P137" s="43" t="str">
        <x:v>included_studies/abramova_2020_genpath/abramova2020_descriptives.xlsx, tidy_all</x:v>
      </x:c>
    </x:row>
    <x:row r="138">
      <x:c r="A138" s="43" t="str">
        <x:v>138</x:v>
      </x:c>
      <x:c r="B138" s="43" t="str">
        <x:v>abramova_2020_genpath</x:v>
      </x:c>
      <x:c r="C138" s="43" t="str">
        <x:v>es137</x:v>
      </x:c>
      <x:c r="D138" s="43" t="str">
        <x:v>female</x:v>
      </x:c>
      <x:c r="E138" s="43" t="str">
        <x:v>Total grooming time</x:v>
      </x:c>
      <x:c r="F138" s="43" t="str">
        <x:v>Corrected derived value</x:v>
      </x:c>
      <x:c r="G138" s="43" t="str">
        <x:v>5 – Abramova 2020 derived SEs</x:v>
      </x:c>
      <x:c r="H138" s="43" t="str">
        <x:v>The analysis SE is recalculated as SD/sqrt(n); no author-reported statistic is overwritten.</x:v>
      </x:c>
      <x:c r="I138" s="43" t="str"/>
      <x:c r="J138" s="43" t="str">
        <x:v>4.774845</x:v>
      </x:c>
      <x:c r="K138" s="43" t="str">
        <x:v>SD / sqrt(n), using descriptive statistics calculated from author raw data</x:v>
      </x:c>
      <x:c r="L138" s="43" t="str">
        <x:v>included_studies/abramova_2020_genpath/abramova2020_descriptives.xlsx, tidy_all</x:v>
      </x:c>
      <x:c r="M138" s="43" t="str"/>
      <x:c r="N138" s="43" t="str">
        <x:v>3.074025</x:v>
      </x:c>
      <x:c r="O138" s="43" t="str">
        <x:v>SD / sqrt(n), using descriptive statistics calculated from author raw data</x:v>
      </x:c>
      <x:c r="P138" s="43" t="str">
        <x:v>included_studies/abramova_2020_genpath/abramova2020_descriptives.xlsx, tidy_all</x:v>
      </x:c>
    </x:row>
    <x:row r="139">
      <x:c r="A139" s="43" t="str">
        <x:v>139</x:v>
      </x:c>
      <x:c r="B139" s="43" t="str">
        <x:v>abramova_2020_genpath</x:v>
      </x:c>
      <x:c r="C139" s="43" t="str">
        <x:v>es138</x:v>
      </x:c>
      <x:c r="D139" s="43" t="str">
        <x:v>male</x:v>
      </x:c>
      <x:c r="E139" s="43" t="str">
        <x:v>Total freezing time</x:v>
      </x:c>
      <x:c r="F139" s="43" t="str">
        <x:v>Corrected derived value</x:v>
      </x:c>
      <x:c r="G139" s="43" t="str">
        <x:v>5 – Abramova 2020 derived SEs</x:v>
      </x:c>
      <x:c r="H139" s="43" t="str">
        <x:v>The analysis SE is recalculated as SD/sqrt(n); no author-reported statistic is overwritten.</x:v>
      </x:c>
      <x:c r="I139" s="43" t="str"/>
      <x:c r="J139" s="43" t="str">
        <x:v>5.49871</x:v>
      </x:c>
      <x:c r="K139" s="43" t="str">
        <x:v>SD / sqrt(n), using descriptive statistics calculated from author raw data</x:v>
      </x:c>
      <x:c r="L139" s="43" t="str">
        <x:v>included_studies/abramova_2020_genpath/abramova2020_descriptives.xlsx, tidy_all</x:v>
      </x:c>
      <x:c r="M139" s="43" t="str"/>
      <x:c r="N139" s="43" t="str">
        <x:v>10.044119</x:v>
      </x:c>
      <x:c r="O139" s="43" t="str">
        <x:v>SD / sqrt(n), using descriptive statistics calculated from author raw data</x:v>
      </x:c>
      <x:c r="P139" s="43" t="str">
        <x:v>included_studies/abramova_2020_genpath/abramova2020_descriptives.xlsx, tidy_all</x:v>
      </x:c>
    </x:row>
    <x:row r="140">
      <x:c r="A140" s="43" t="str">
        <x:v>140</x:v>
      </x:c>
      <x:c r="B140" s="43" t="str">
        <x:v>abramova_2020_genpath</x:v>
      </x:c>
      <x:c r="C140" s="43" t="str">
        <x:v>es139</x:v>
      </x:c>
      <x:c r="D140" s="43" t="str">
        <x:v>female</x:v>
      </x:c>
      <x:c r="E140" s="43" t="str">
        <x:v>Total freezing time</x:v>
      </x:c>
      <x:c r="F140" s="43" t="str">
        <x:v>Corrected derived value</x:v>
      </x:c>
      <x:c r="G140" s="43" t="str">
        <x:v>5 – Abramova 2020 derived SEs</x:v>
      </x:c>
      <x:c r="H140" s="43" t="str">
        <x:v>The analysis SE is recalculated as SD/sqrt(n); no author-reported statistic is overwritten.</x:v>
      </x:c>
      <x:c r="I140" s="43" t="str"/>
      <x:c r="J140" s="43" t="str">
        <x:v>7.584251</x:v>
      </x:c>
      <x:c r="K140" s="43" t="str">
        <x:v>SD / sqrt(n), using descriptive statistics calculated from author raw data</x:v>
      </x:c>
      <x:c r="L140" s="43" t="str">
        <x:v>included_studies/abramova_2020_genpath/abramova2020_descriptives.xlsx, tidy_all</x:v>
      </x:c>
      <x:c r="M140" s="43" t="str"/>
      <x:c r="N140" s="43" t="str">
        <x:v>7.162475</x:v>
      </x:c>
      <x:c r="O140" s="43" t="str">
        <x:v>SD / sqrt(n), using descriptive statistics calculated from author raw data</x:v>
      </x:c>
      <x:c r="P140" s="43" t="str">
        <x:v>included_studies/abramova_2020_genpath/abramova2020_descriptives.xlsx, tidy_all</x:v>
      </x:c>
    </x:row>
    <x:row r="141">
      <x:c r="A141" s="43" t="str">
        <x:v>141</x:v>
      </x:c>
      <x:c r="B141" s="43" t="str">
        <x:v>abramova_2020_genpath</x:v>
      </x:c>
      <x:c r="C141" s="43" t="str">
        <x:v>es140</x:v>
      </x:c>
      <x:c r="D141" s="43" t="str">
        <x:v>male</x:v>
      </x:c>
      <x:c r="E141" s="43" t="str">
        <x:v>Grooming frequency</x:v>
      </x:c>
      <x:c r="F141" s="43" t="str">
        <x:v>Corrected derived value</x:v>
      </x:c>
      <x:c r="G141" s="43" t="str">
        <x:v>5 – Abramova 2020 derived SEs</x:v>
      </x:c>
      <x:c r="H141" s="43" t="str">
        <x:v>The analysis SE is recalculated as SD/sqrt(n); no author-reported statistic is overwritten.</x:v>
      </x:c>
      <x:c r="I141" s="43" t="str"/>
      <x:c r="J141" s="43" t="str">
        <x:v>1.308466</x:v>
      </x:c>
      <x:c r="K141" s="43" t="str">
        <x:v>SD / sqrt(n), using descriptive statistics calculated from author raw data</x:v>
      </x:c>
      <x:c r="L141" s="43" t="str">
        <x:v>included_studies/abramova_2020_genpath/abramova2020_descriptives.xlsx, tidy_all</x:v>
      </x:c>
      <x:c r="M141" s="43" t="str"/>
      <x:c r="N141" s="43" t="str">
        <x:v>0.499002</x:v>
      </x:c>
      <x:c r="O141" s="43" t="str">
        <x:v>SD / sqrt(n), using descriptive statistics calculated from author raw data</x:v>
      </x:c>
      <x:c r="P141" s="43" t="str">
        <x:v>included_studies/abramova_2020_genpath/abramova2020_descriptives.xlsx, tidy_all</x:v>
      </x:c>
    </x:row>
    <x:row r="142">
      <x:c r="A142" s="43" t="str">
        <x:v>142</x:v>
      </x:c>
      <x:c r="B142" s="43" t="str">
        <x:v>abramova_2020_genpath</x:v>
      </x:c>
      <x:c r="C142" s="43" t="str">
        <x:v>es141</x:v>
      </x:c>
      <x:c r="D142" s="43" t="str">
        <x:v>female</x:v>
      </x:c>
      <x:c r="E142" s="43" t="str">
        <x:v>Grooming frequency</x:v>
      </x:c>
      <x:c r="F142" s="43" t="str">
        <x:v>Corrected derived value</x:v>
      </x:c>
      <x:c r="G142" s="43" t="str">
        <x:v>5 – Abramova 2020 derived SEs</x:v>
      </x:c>
      <x:c r="H142" s="43" t="str">
        <x:v>The analysis SE is recalculated as SD/sqrt(n); no author-reported statistic is overwritten.</x:v>
      </x:c>
      <x:c r="I142" s="43" t="str"/>
      <x:c r="J142" s="43" t="str">
        <x:v>0.639118</x:v>
      </x:c>
      <x:c r="K142" s="43" t="str">
        <x:v>SD / sqrt(n), using descriptive statistics calculated from author raw data</x:v>
      </x:c>
      <x:c r="L142" s="43" t="str">
        <x:v>included_studies/abramova_2020_genpath/abramova2020_descriptives.xlsx, tidy_all</x:v>
      </x:c>
      <x:c r="M142" s="43" t="str"/>
      <x:c r="N142" s="43" t="str">
        <x:v>0.341575</x:v>
      </x:c>
      <x:c r="O142" s="43" t="str">
        <x:v>SD / sqrt(n), using descriptive statistics calculated from author raw data</x:v>
      </x:c>
      <x:c r="P142" s="43" t="str">
        <x:v>included_studies/abramova_2020_genpath/abramova2020_descriptives.xlsx, tidy_all</x:v>
      </x:c>
    </x:row>
    <x:row r="143">
      <x:c r="A143" s="43" t="str">
        <x:v>143</x:v>
      </x:c>
      <x:c r="B143" s="43" t="str">
        <x:v>abramova_2020_genpath</x:v>
      </x:c>
      <x:c r="C143" s="43" t="str">
        <x:v>es142</x:v>
      </x:c>
      <x:c r="D143" s="43" t="str">
        <x:v>male</x:v>
      </x:c>
      <x:c r="E143" s="43" t="str">
        <x:v>Total time in dark</x:v>
      </x:c>
      <x:c r="F143" s="43" t="str">
        <x:v>Corrected derived value</x:v>
      </x:c>
      <x:c r="G143" s="43" t="str">
        <x:v>5 – Abramova 2020 derived SEs</x:v>
      </x:c>
      <x:c r="H143" s="43" t="str">
        <x:v>The analysis SE is recalculated as SD/sqrt(n); no author-reported statistic is overwritten.</x:v>
      </x:c>
      <x:c r="I143" s="43" t="str"/>
      <x:c r="J143" s="43" t="str">
        <x:v>3.82068</x:v>
      </x:c>
      <x:c r="K143" s="43" t="str">
        <x:v>SD / sqrt(n), using descriptive statistics calculated from author raw data</x:v>
      </x:c>
      <x:c r="L143" s="43" t="str">
        <x:v>included_studies/abramova_2020_genpath/abramova2020_descriptives.xlsx, tidy_all</x:v>
      </x:c>
      <x:c r="M143" s="43" t="str"/>
      <x:c r="N143" s="43" t="str">
        <x:v>9.054465</x:v>
      </x:c>
      <x:c r="O143" s="43" t="str">
        <x:v>SD / sqrt(n), using descriptive statistics calculated from author raw data</x:v>
      </x:c>
      <x:c r="P143" s="43" t="str">
        <x:v>included_studies/abramova_2020_genpath/abramova2020_descriptives.xlsx, tidy_all</x:v>
      </x:c>
    </x:row>
    <x:row r="144">
      <x:c r="A144" s="43" t="str">
        <x:v>144</x:v>
      </x:c>
      <x:c r="B144" s="43" t="str">
        <x:v>abramova_2020_genpath</x:v>
      </x:c>
      <x:c r="C144" s="43" t="str">
        <x:v>es143</x:v>
      </x:c>
      <x:c r="D144" s="43" t="str">
        <x:v>female</x:v>
      </x:c>
      <x:c r="E144" s="43" t="str">
        <x:v>Total time in dark</x:v>
      </x:c>
      <x:c r="F144" s="43" t="str">
        <x:v>Corrected derived value</x:v>
      </x:c>
      <x:c r="G144" s="43" t="str">
        <x:v>5 – Abramova 2020 derived SEs</x:v>
      </x:c>
      <x:c r="H144" s="43" t="str">
        <x:v>The analysis SE is recalculated as SD/sqrt(n); no author-reported statistic is overwritten.</x:v>
      </x:c>
      <x:c r="I144" s="43" t="str"/>
      <x:c r="J144" s="43" t="str">
        <x:v>5.562291</x:v>
      </x:c>
      <x:c r="K144" s="43" t="str">
        <x:v>SD / sqrt(n), using descriptive statistics calculated from author raw data</x:v>
      </x:c>
      <x:c r="L144" s="43" t="str">
        <x:v>included_studies/abramova_2020_genpath/abramova2020_descriptives.xlsx, tidy_all</x:v>
      </x:c>
      <x:c r="M144" s="43" t="str"/>
      <x:c r="N144" s="43" t="str">
        <x:v>10.968425</x:v>
      </x:c>
      <x:c r="O144" s="43" t="str">
        <x:v>SD / sqrt(n), using descriptive statistics calculated from author raw data</x:v>
      </x:c>
      <x:c r="P144" s="43" t="str">
        <x:v>included_studies/abramova_2020_genpath/abramova2020_descriptives.xlsx, tidy_all</x:v>
      </x:c>
    </x:row>
    <x:row r="145">
      <x:c r="A145" s="43" t="str">
        <x:v>145</x:v>
      </x:c>
      <x:c r="B145" s="43" t="str">
        <x:v>abramova_2020_genpath</x:v>
      </x:c>
      <x:c r="C145" s="43" t="str">
        <x:v>es144</x:v>
      </x:c>
      <x:c r="D145" s="43" t="str">
        <x:v>male</x:v>
      </x:c>
      <x:c r="E145" s="43" t="str">
        <x:v>Total time in light</x:v>
      </x:c>
      <x:c r="F145" s="43" t="str">
        <x:v>Corrected derived value</x:v>
      </x:c>
      <x:c r="G145" s="43" t="str">
        <x:v>5 – Abramova 2020 derived SEs</x:v>
      </x:c>
      <x:c r="H145" s="43" t="str">
        <x:v>The analysis SE is recalculated as SD/sqrt(n); no author-reported statistic is overwritten.</x:v>
      </x:c>
      <x:c r="I145" s="43" t="str"/>
      <x:c r="J145" s="43" t="str">
        <x:v>3.644701</x:v>
      </x:c>
      <x:c r="K145" s="43" t="str">
        <x:v>SD / sqrt(n), using descriptive statistics calculated from author raw data</x:v>
      </x:c>
      <x:c r="L145" s="43" t="str">
        <x:v>included_studies/abramova_2020_genpath/abramova2020_descriptives.xlsx, tidy_all</x:v>
      </x:c>
      <x:c r="M145" s="43" t="str"/>
      <x:c r="N145" s="43" t="str">
        <x:v>8.912044</x:v>
      </x:c>
      <x:c r="O145" s="43" t="str">
        <x:v>SD / sqrt(n), using descriptive statistics calculated from author raw data</x:v>
      </x:c>
      <x:c r="P145" s="43" t="str">
        <x:v>included_studies/abramova_2020_genpath/abramova2020_descriptives.xlsx, tidy_all</x:v>
      </x:c>
    </x:row>
    <x:row r="146">
      <x:c r="A146" s="43" t="str">
        <x:v>146</x:v>
      </x:c>
      <x:c r="B146" s="43" t="str">
        <x:v>abramova_2020_genpath</x:v>
      </x:c>
      <x:c r="C146" s="43" t="str">
        <x:v>es145</x:v>
      </x:c>
      <x:c r="D146" s="43" t="str">
        <x:v>female</x:v>
      </x:c>
      <x:c r="E146" s="43" t="str">
        <x:v>Total time in light</x:v>
      </x:c>
      <x:c r="F146" s="43" t="str">
        <x:v>Corrected derived value</x:v>
      </x:c>
      <x:c r="G146" s="43" t="str">
        <x:v>5 – Abramova 2020 derived SEs</x:v>
      </x:c>
      <x:c r="H146" s="43" t="str">
        <x:v>The analysis SE is recalculated as SD/sqrt(n); no author-reported statistic is overwritten.</x:v>
      </x:c>
      <x:c r="I146" s="43" t="str"/>
      <x:c r="J146" s="43" t="str">
        <x:v>5.168479</x:v>
      </x:c>
      <x:c r="K146" s="43" t="str">
        <x:v>SD / sqrt(n), using descriptive statistics calculated from author raw data</x:v>
      </x:c>
      <x:c r="L146" s="43" t="str">
        <x:v>included_studies/abramova_2020_genpath/abramova2020_descriptives.xlsx, tidy_all</x:v>
      </x:c>
      <x:c r="M146" s="43" t="str"/>
      <x:c r="N146" s="43" t="str">
        <x:v>10.4604</x:v>
      </x:c>
      <x:c r="O146" s="43" t="str">
        <x:v>SD / sqrt(n), using descriptive statistics calculated from author raw data</x:v>
      </x:c>
      <x:c r="P146" s="43" t="str">
        <x:v>included_studies/abramova_2020_genpath/abramova2020_descriptives.xlsx, tidy_all</x:v>
      </x:c>
    </x:row>
    <x:row r="147">
      <x:c r="A147" s="43" t="str">
        <x:v>147</x:v>
      </x:c>
      <x:c r="B147" s="43" t="str">
        <x:v>abramova_2020_genpath</x:v>
      </x:c>
      <x:c r="C147" s="43" t="str">
        <x:v>es146</x:v>
      </x:c>
      <x:c r="D147" s="43" t="str">
        <x:v>male</x:v>
      </x:c>
      <x:c r="E147" s="43" t="str">
        <x:v>Center entries (crossing)</x:v>
      </x:c>
      <x:c r="F147" s="43" t="str">
        <x:v>Corrected derived value</x:v>
      </x:c>
      <x:c r="G147" s="43" t="str">
        <x:v>5 – Abramova 2020 derived SEs</x:v>
      </x:c>
      <x:c r="H147" s="43" t="str">
        <x:v>The analysis SE is recalculated as SD/sqrt(n); no author-reported statistic is overwritten.</x:v>
      </x:c>
      <x:c r="I147" s="43" t="str"/>
      <x:c r="J147" s="43" t="str">
        <x:v>0.467204</x:v>
      </x:c>
      <x:c r="K147" s="43" t="str">
        <x:v>SD / sqrt(n), using descriptive statistics calculated from author raw data</x:v>
      </x:c>
      <x:c r="L147" s="43" t="str">
        <x:v>included_studies/abramova_2020_genpath/abramova2020_descriptives.xlsx, tidy_all</x:v>
      </x:c>
      <x:c r="M147" s="43" t="str"/>
      <x:c r="N147" s="43" t="str">
        <x:v>0.719723</x:v>
      </x:c>
      <x:c r="O147" s="43" t="str">
        <x:v>SD / sqrt(n), using descriptive statistics calculated from author raw data</x:v>
      </x:c>
      <x:c r="P147" s="43" t="str">
        <x:v>included_studies/abramova_2020_genpath/abramova2020_descriptives.xlsx, tidy_all</x:v>
      </x:c>
    </x:row>
    <x:row r="148">
      <x:c r="A148" s="43" t="str">
        <x:v>148</x:v>
      </x:c>
      <x:c r="B148" s="43" t="str">
        <x:v>abramova_2020_genpath</x:v>
      </x:c>
      <x:c r="C148" s="43" t="str">
        <x:v>es147</x:v>
      </x:c>
      <x:c r="D148" s="43" t="str">
        <x:v>female</x:v>
      </x:c>
      <x:c r="E148" s="43" t="str">
        <x:v>Center entries (crossing)</x:v>
      </x:c>
      <x:c r="F148" s="43" t="str">
        <x:v>Corrected derived value</x:v>
      </x:c>
      <x:c r="G148" s="43" t="str">
        <x:v>5 – Abramova 2020 derived SEs</x:v>
      </x:c>
      <x:c r="H148" s="43" t="str">
        <x:v>The analysis SE is recalculated as SD/sqrt(n); no author-reported statistic is overwritten.</x:v>
      </x:c>
      <x:c r="I148" s="43" t="str"/>
      <x:c r="J148" s="43" t="str">
        <x:v>0.616432</x:v>
      </x:c>
      <x:c r="K148" s="43" t="str">
        <x:v>SD / sqrt(n), using descriptive statistics calculated from author raw data</x:v>
      </x:c>
      <x:c r="L148" s="43" t="str">
        <x:v>included_studies/abramova_2020_genpath/abramova2020_descriptives.xlsx, tidy_all</x:v>
      </x:c>
      <x:c r="M148" s="43" t="str"/>
      <x:c r="N148" s="43" t="str">
        <x:v>0.809925</x:v>
      </x:c>
      <x:c r="O148" s="43" t="str">
        <x:v>SD / sqrt(n), using descriptive statistics calculated from author raw data</x:v>
      </x:c>
      <x:c r="P148" s="43" t="str">
        <x:v>included_studies/abramova_2020_genpath/abramova2020_descriptives.xlsx, tidy_all</x:v>
      </x:c>
    </x:row>
    <x:row r="149">
      <x:c r="A149" s="43" t="str">
        <x:v>149</x:v>
      </x:c>
      <x:c r="B149" s="43" t="str">
        <x:v>abramova_2020_genpath</x:v>
      </x:c>
      <x:c r="C149" s="43" t="str">
        <x:v>es148</x:v>
      </x:c>
      <x:c r="D149" s="43" t="str">
        <x:v>male</x:v>
      </x:c>
      <x:c r="E149" s="43" t="str">
        <x:v>Head-out inspections</x:v>
      </x:c>
      <x:c r="F149" s="43" t="str">
        <x:v>Corrected derived value</x:v>
      </x:c>
      <x:c r="G149" s="43" t="str">
        <x:v>5 – Abramova 2020 derived SEs</x:v>
      </x:c>
      <x:c r="H149" s="43" t="str">
        <x:v>The analysis SE is recalculated as SD/sqrt(n); no author-reported statistic is overwritten.</x:v>
      </x:c>
      <x:c r="I149" s="43" t="str"/>
      <x:c r="J149" s="43" t="str">
        <x:v>0.280045</x:v>
      </x:c>
      <x:c r="K149" s="43" t="str">
        <x:v>SD / sqrt(n), using descriptive statistics calculated from author raw data</x:v>
      </x:c>
      <x:c r="L149" s="43" t="str">
        <x:v>included_studies/abramova_2020_genpath/abramova2020_descriptives.xlsx, tidy_all</x:v>
      </x:c>
      <x:c r="M149" s="43" t="str"/>
      <x:c r="N149" s="43" t="str">
        <x:v>0.50421</x:v>
      </x:c>
      <x:c r="O149" s="43" t="str">
        <x:v>SD / sqrt(n), using descriptive statistics calculated from author raw data</x:v>
      </x:c>
      <x:c r="P149" s="43" t="str">
        <x:v>included_studies/abramova_2020_genpath/abramova2020_descriptives.xlsx, tidy_all</x:v>
      </x:c>
    </x:row>
    <x:row r="150">
      <x:c r="A150" s="43" t="str">
        <x:v>150</x:v>
      </x:c>
      <x:c r="B150" s="43" t="str">
        <x:v>abramova_2020_genpath</x:v>
      </x:c>
      <x:c r="C150" s="43" t="str">
        <x:v>es149</x:v>
      </x:c>
      <x:c r="D150" s="43" t="str">
        <x:v>female</x:v>
      </x:c>
      <x:c r="E150" s="43" t="str">
        <x:v>Head-out inspections</x:v>
      </x:c>
      <x:c r="F150" s="43" t="str">
        <x:v>Corrected derived value</x:v>
      </x:c>
      <x:c r="G150" s="43" t="str">
        <x:v>5 – Abramova 2020 derived SEs</x:v>
      </x:c>
      <x:c r="H150" s="43" t="str">
        <x:v>The analysis SE is recalculated as SD/sqrt(n); no author-reported statistic is overwritten.</x:v>
      </x:c>
      <x:c r="I150" s="43" t="str"/>
      <x:c r="J150" s="43" t="str">
        <x:v>0.441376</x:v>
      </x:c>
      <x:c r="K150" s="43" t="str">
        <x:v>SD / sqrt(n), using descriptive statistics calculated from author raw data</x:v>
      </x:c>
      <x:c r="L150" s="43" t="str">
        <x:v>included_studies/abramova_2020_genpath/abramova2020_descriptives.xlsx, tidy_all</x:v>
      </x:c>
      <x:c r="M150" s="43" t="str"/>
      <x:c r="N150" s="43" t="str">
        <x:v>0.478725</x:v>
      </x:c>
      <x:c r="O150" s="43" t="str">
        <x:v>SD / sqrt(n), using descriptive statistics calculated from author raw data</x:v>
      </x:c>
      <x:c r="P150" s="43" t="str">
        <x:v>included_studies/abramova_2020_genpath/abramova2020_descriptives.xlsx, tidy_all</x:v>
      </x:c>
    </x:row>
    <x:row r="151">
      <x:c r="A151" s="43" t="str">
        <x:v>151</x:v>
      </x:c>
      <x:c r="B151" s="43" t="str">
        <x:v>abramova_2020_genpath</x:v>
      </x:c>
      <x:c r="C151" s="43" t="str">
        <x:v>es150</x:v>
      </x:c>
      <x:c r="D151" s="43" t="str">
        <x:v>male</x:v>
      </x:c>
      <x:c r="E151" s="43" t="str">
        <x:v>Overhangs</x:v>
      </x:c>
      <x:c r="F151" s="43" t="str">
        <x:v>Corrected derived value</x:v>
      </x:c>
      <x:c r="G151" s="43" t="str">
        <x:v>5 – Abramova 2020 derived SEs</x:v>
      </x:c>
      <x:c r="H151" s="43" t="str">
        <x:v>The analysis SE is recalculated as SD/sqrt(n); no author-reported statistic is overwritten.</x:v>
      </x:c>
      <x:c r="I151" s="43" t="str"/>
      <x:c r="J151" s="43" t="str">
        <x:v>0.682381</x:v>
      </x:c>
      <x:c r="K151" s="43" t="str">
        <x:v>SD / sqrt(n), using descriptive statistics calculated from author raw data</x:v>
      </x:c>
      <x:c r="L151" s="43" t="str">
        <x:v>included_studies/abramova_2020_genpath/abramova2020_descriptives.xlsx, tidy_all</x:v>
      </x:c>
      <x:c r="M151" s="43" t="str"/>
      <x:c r="N151" s="43" t="str">
        <x:v>1.242263</x:v>
      </x:c>
      <x:c r="O151" s="43" t="str">
        <x:v>SD / sqrt(n), using descriptive statistics calculated from author raw data</x:v>
      </x:c>
      <x:c r="P151" s="43" t="str">
        <x:v>included_studies/abramova_2020_genpath/abramova2020_descriptives.xlsx, tidy_all</x:v>
      </x:c>
    </x:row>
    <x:row r="152">
      <x:c r="A152" s="43" t="str">
        <x:v>152</x:v>
      </x:c>
      <x:c r="B152" s="43" t="str">
        <x:v>abramova_2020_genpath</x:v>
      </x:c>
      <x:c r="C152" s="43" t="str">
        <x:v>es151</x:v>
      </x:c>
      <x:c r="D152" s="43" t="str">
        <x:v>female</x:v>
      </x:c>
      <x:c r="E152" s="43" t="str">
        <x:v>Overhangs</x:v>
      </x:c>
      <x:c r="F152" s="43" t="str">
        <x:v>Corrected derived value</x:v>
      </x:c>
      <x:c r="G152" s="43" t="str">
        <x:v>5 – Abramova 2020 derived SEs</x:v>
      </x:c>
      <x:c r="H152" s="43" t="str">
        <x:v>The analysis SE is recalculated as SD/sqrt(n); no author-reported statistic is overwritten.</x:v>
      </x:c>
      <x:c r="I152" s="43" t="str"/>
      <x:c r="J152" s="43" t="str">
        <x:v>1.164723</x:v>
      </x:c>
      <x:c r="K152" s="43" t="str">
        <x:v>SD / sqrt(n), using descriptive statistics calculated from author raw data</x:v>
      </x:c>
      <x:c r="L152" s="43" t="str">
        <x:v>included_studies/abramova_2020_genpath/abramova2020_descriptives.xlsx, tidy_all</x:v>
      </x:c>
      <x:c r="M152" s="43" t="str"/>
      <x:c r="N152" s="43" t="str">
        <x:v>1.714825</x:v>
      </x:c>
      <x:c r="O152" s="43" t="str">
        <x:v>SD / sqrt(n), using descriptive statistics calculated from author raw data</x:v>
      </x:c>
      <x:c r="P152" s="43" t="str">
        <x:v>included_studies/abramova_2020_genpath/abramova2020_descriptives.xlsx, tidy_all</x:v>
      </x:c>
    </x:row>
    <x:row r="153">
      <x:c r="A153" s="43" t="str">
        <x:v>153</x:v>
      </x:c>
      <x:c r="B153" s="43" t="str">
        <x:v>abramova_2020_genpath</x:v>
      </x:c>
      <x:c r="C153" s="43" t="str">
        <x:v>es152</x:v>
      </x:c>
      <x:c r="D153" s="43" t="str">
        <x:v>male</x:v>
      </x:c>
      <x:c r="E153" s="43" t="str">
        <x:v>Total grooming time</x:v>
      </x:c>
      <x:c r="F153" s="43" t="str">
        <x:v>Corrected derived value</x:v>
      </x:c>
      <x:c r="G153" s="43" t="str">
        <x:v>5 – Abramova 2020 derived SEs</x:v>
      </x:c>
      <x:c r="H153" s="43" t="str">
        <x:v>The analysis SE is recalculated as SD/sqrt(n); no author-reported statistic is overwritten.</x:v>
      </x:c>
      <x:c r="I153" s="43" t="str"/>
      <x:c r="J153" s="43" t="str">
        <x:v>8.57418</x:v>
      </x:c>
      <x:c r="K153" s="43" t="str">
        <x:v>SD / sqrt(n), using descriptive statistics calculated from author raw data</x:v>
      </x:c>
      <x:c r="L153" s="43" t="str">
        <x:v>included_studies/abramova_2020_genpath/abramova2020_descriptives.xlsx, tidy_all</x:v>
      </x:c>
      <x:c r="M153" s="43" t="str"/>
      <x:c r="N153" s="43" t="str">
        <x:v>4.762694</x:v>
      </x:c>
      <x:c r="O153" s="43" t="str">
        <x:v>SD / sqrt(n), using descriptive statistics calculated from author raw data</x:v>
      </x:c>
      <x:c r="P153" s="43" t="str">
        <x:v>included_studies/abramova_2020_genpath/abramova2020_descriptives.xlsx, tidy_all</x:v>
      </x:c>
    </x:row>
    <x:row r="154">
      <x:c r="A154" s="43" t="str">
        <x:v>154</x:v>
      </x:c>
      <x:c r="B154" s="43" t="str">
        <x:v>abramova_2020_genpath</x:v>
      </x:c>
      <x:c r="C154" s="43" t="str">
        <x:v>es153</x:v>
      </x:c>
      <x:c r="D154" s="43" t="str">
        <x:v>female</x:v>
      </x:c>
      <x:c r="E154" s="43" t="str">
        <x:v>Total grooming time</x:v>
      </x:c>
      <x:c r="F154" s="43" t="str">
        <x:v>Corrected derived value</x:v>
      </x:c>
      <x:c r="G154" s="43" t="str">
        <x:v>5 – Abramova 2020 derived SEs</x:v>
      </x:c>
      <x:c r="H154" s="43" t="str">
        <x:v>The analysis SE is recalculated as SD/sqrt(n); no author-reported statistic is overwritten.</x:v>
      </x:c>
      <x:c r="I154" s="43" t="str"/>
      <x:c r="J154" s="43" t="str">
        <x:v>10.421458</x:v>
      </x:c>
      <x:c r="K154" s="43" t="str">
        <x:v>SD / sqrt(n), using descriptive statistics calculated from author raw data</x:v>
      </x:c>
      <x:c r="L154" s="43" t="str">
        <x:v>included_studies/abramova_2020_genpath/abramova2020_descriptives.xlsx, tidy_all</x:v>
      </x:c>
      <x:c r="M154" s="43" t="str"/>
      <x:c r="N154" s="43" t="str">
        <x:v>5.518025</x:v>
      </x:c>
      <x:c r="O154" s="43" t="str">
        <x:v>SD / sqrt(n), using descriptive statistics calculated from author raw data</x:v>
      </x:c>
      <x:c r="P154" s="43" t="str">
        <x:v>included_studies/abramova_2020_genpath/abramova2020_descriptives.xlsx, tidy_all</x:v>
      </x:c>
    </x:row>
    <x:row r="155">
      <x:c r="A155" s="43" t="str">
        <x:v>155</x:v>
      </x:c>
      <x:c r="B155" s="43" t="str">
        <x:v>abramova_2020_genpath</x:v>
      </x:c>
      <x:c r="C155" s="43" t="str">
        <x:v>es154</x:v>
      </x:c>
      <x:c r="D155" s="43" t="str">
        <x:v>male</x:v>
      </x:c>
      <x:c r="E155" s="43" t="str">
        <x:v>Rearing frequency</x:v>
      </x:c>
      <x:c r="F155" s="43" t="str">
        <x:v>Corrected derived value</x:v>
      </x:c>
      <x:c r="G155" s="43" t="str">
        <x:v>5 – Abramova 2020 derived SEs</x:v>
      </x:c>
      <x:c r="H155" s="43" t="str">
        <x:v>The analysis SE is recalculated as SD/sqrt(n); no author-reported statistic is overwritten.</x:v>
      </x:c>
      <x:c r="I155" s="43" t="str"/>
      <x:c r="J155" s="43" t="str">
        <x:v>0.864128</x:v>
      </x:c>
      <x:c r="K155" s="43" t="str">
        <x:v>SD / sqrt(n), using descriptive statistics calculated from author raw data</x:v>
      </x:c>
      <x:c r="L155" s="43" t="str">
        <x:v>included_studies/abramova_2020_genpath/abramova2020_descriptives.xlsx, tidy_all</x:v>
      </x:c>
      <x:c r="M155" s="43" t="str"/>
      <x:c r="N155" s="43" t="str">
        <x:v>1.231458</x:v>
      </x:c>
      <x:c r="O155" s="43" t="str">
        <x:v>SD / sqrt(n), using descriptive statistics calculated from author raw data</x:v>
      </x:c>
      <x:c r="P155" s="43" t="str">
        <x:v>included_studies/abramova_2020_genpath/abramova2020_descriptives.xlsx, tidy_all</x:v>
      </x:c>
    </x:row>
    <x:row r="156">
      <x:c r="A156" s="43" t="str">
        <x:v>156</x:v>
      </x:c>
      <x:c r="B156" s="43" t="str">
        <x:v>abramova_2020_genpath</x:v>
      </x:c>
      <x:c r="C156" s="43" t="str">
        <x:v>es155</x:v>
      </x:c>
      <x:c r="D156" s="43" t="str">
        <x:v>female</x:v>
      </x:c>
      <x:c r="E156" s="43" t="str">
        <x:v>Rearing frequency</x:v>
      </x:c>
      <x:c r="F156" s="43" t="str">
        <x:v>Corrected derived value</x:v>
      </x:c>
      <x:c r="G156" s="43" t="str">
        <x:v>5 – Abramova 2020 derived SEs</x:v>
      </x:c>
      <x:c r="H156" s="43" t="str">
        <x:v>The analysis SE is recalculated as SD/sqrt(n); no author-reported statistic is overwritten.</x:v>
      </x:c>
      <x:c r="I156" s="43" t="str"/>
      <x:c r="J156" s="43" t="str">
        <x:v>1.295561</x:v>
      </x:c>
      <x:c r="K156" s="43" t="str">
        <x:v>SD / sqrt(n), using descriptive statistics calculated from author raw data</x:v>
      </x:c>
      <x:c r="L156" s="43" t="str">
        <x:v>included_studies/abramova_2020_genpath/abramova2020_descriptives.xlsx, tidy_all</x:v>
      </x:c>
      <x:c r="M156" s="43" t="str"/>
      <x:c r="N156" s="43" t="str">
        <x:v>1.6695</x:v>
      </x:c>
      <x:c r="O156" s="43" t="str">
        <x:v>SD / sqrt(n), using descriptive statistics calculated from author raw data</x:v>
      </x:c>
      <x:c r="P156" s="43" t="str">
        <x:v>included_studies/abramova_2020_genpath/abramova2020_descriptives.xlsx, tidy_all</x:v>
      </x:c>
    </x:row>
    <x:row r="157">
      <x:c r="A157" s="43" t="str">
        <x:v>157</x:v>
      </x:c>
      <x:c r="B157" s="43" t="str">
        <x:v>abramova_2020_genpath</x:v>
      </x:c>
      <x:c r="C157" s="43" t="str">
        <x:v>es156</x:v>
      </x:c>
      <x:c r="D157" s="43" t="str">
        <x:v>male</x:v>
      </x:c>
      <x:c r="E157" s="43" t="str">
        <x:v>Total freezing time</x:v>
      </x:c>
      <x:c r="F157" s="43" t="str">
        <x:v>Corrected derived value</x:v>
      </x:c>
      <x:c r="G157" s="43" t="str">
        <x:v>5 – Abramova 2020 derived SEs</x:v>
      </x:c>
      <x:c r="H157" s="43" t="str">
        <x:v>The analysis SE is recalculated as SD/sqrt(n); no author-reported statistic is overwritten.</x:v>
      </x:c>
      <x:c r="I157" s="43" t="str"/>
      <x:c r="J157" s="43" t="str">
        <x:v>8.108117</x:v>
      </x:c>
      <x:c r="K157" s="43" t="str">
        <x:v>SD / sqrt(n), using descriptive statistics calculated from author raw data</x:v>
      </x:c>
      <x:c r="L157" s="43" t="str">
        <x:v>included_studies/abramova_2020_genpath/abramova2020_descriptives.xlsx, tidy_all</x:v>
      </x:c>
      <x:c r="M157" s="43" t="str"/>
      <x:c r="N157" s="43" t="str">
        <x:v>2.588911</x:v>
      </x:c>
      <x:c r="O157" s="43" t="str">
        <x:v>SD / sqrt(n), using descriptive statistics calculated from author raw data</x:v>
      </x:c>
      <x:c r="P157" s="43" t="str">
        <x:v>included_studies/abramova_2020_genpath/abramova2020_descriptives.xlsx, tidy_all</x:v>
      </x:c>
    </x:row>
    <x:row r="158">
      <x:c r="A158" s="43" t="str">
        <x:v>158</x:v>
      </x:c>
      <x:c r="B158" s="43" t="str">
        <x:v>abramova_2020_genpath</x:v>
      </x:c>
      <x:c r="C158" s="43" t="str">
        <x:v>es157</x:v>
      </x:c>
      <x:c r="D158" s="43" t="str">
        <x:v>female</x:v>
      </x:c>
      <x:c r="E158" s="43" t="str">
        <x:v>Total freezing time</x:v>
      </x:c>
      <x:c r="F158" s="43" t="str">
        <x:v>Corrected derived value</x:v>
      </x:c>
      <x:c r="G158" s="43" t="str">
        <x:v>5 – Abramova 2020 derived SEs</x:v>
      </x:c>
      <x:c r="H158" s="43" t="str">
        <x:v>The analysis SE is recalculated as SD/sqrt(n); no author-reported statistic is overwritten.</x:v>
      </x:c>
      <x:c r="I158" s="43" t="str"/>
      <x:c r="J158" s="43" t="str">
        <x:v>7.265923</x:v>
      </x:c>
      <x:c r="K158" s="43" t="str">
        <x:v>SD / sqrt(n), using descriptive statistics calculated from author raw data</x:v>
      </x:c>
      <x:c r="L158" s="43" t="str">
        <x:v>included_studies/abramova_2020_genpath/abramova2020_descriptives.xlsx, tidy_all</x:v>
      </x:c>
      <x:c r="M158" s="43" t="str"/>
      <x:c r="N158" s="43" t="str">
        <x:v>4.602875</x:v>
      </x:c>
      <x:c r="O158" s="43" t="str">
        <x:v>SD / sqrt(n), using descriptive statistics calculated from author raw data</x:v>
      </x:c>
      <x:c r="P158" s="43" t="str">
        <x:v>included_studies/abramova_2020_genpath/abramova2020_descriptives.xlsx, tidy_all</x:v>
      </x:c>
    </x:row>
    <x:row r="159">
      <x:c r="A159" s="43" t="str">
        <x:v>159</x:v>
      </x:c>
      <x:c r="B159" s="43" t="str">
        <x:v>abramova_2020_genpath</x:v>
      </x:c>
      <x:c r="C159" s="43" t="str">
        <x:v>es158</x:v>
      </x:c>
      <x:c r="D159" s="43" t="str">
        <x:v>male</x:v>
      </x:c>
      <x:c r="E159" s="43" t="str">
        <x:v>Grooming frequency</x:v>
      </x:c>
      <x:c r="F159" s="43" t="str">
        <x:v>Corrected derived value</x:v>
      </x:c>
      <x:c r="G159" s="43" t="str">
        <x:v>5 – Abramova 2020 derived SEs</x:v>
      </x:c>
      <x:c r="H159" s="43" t="str">
        <x:v>The analysis SE is recalculated as SD/sqrt(n); no author-reported statistic is overwritten.</x:v>
      </x:c>
      <x:c r="I159" s="43" t="str"/>
      <x:c r="J159" s="43" t="str">
        <x:v>0.531133</x:v>
      </x:c>
      <x:c r="K159" s="43" t="str">
        <x:v>SD / sqrt(n), using descriptive statistics calculated from author raw data</x:v>
      </x:c>
      <x:c r="L159" s="43" t="str">
        <x:v>included_studies/abramova_2020_genpath/abramova2020_descriptives.xlsx, tidy_all</x:v>
      </x:c>
      <x:c r="M159" s="43" t="str"/>
      <x:c r="N159" s="43" t="str">
        <x:v>0.578678</x:v>
      </x:c>
      <x:c r="O159" s="43" t="str">
        <x:v>SD / sqrt(n), using descriptive statistics calculated from author raw data</x:v>
      </x:c>
      <x:c r="P159" s="43" t="str">
        <x:v>included_studies/abramova_2020_genpath/abramova2020_descriptives.xlsx, tidy_all</x:v>
      </x:c>
    </x:row>
    <x:row r="160">
      <x:c r="A160" s="43" t="str">
        <x:v>160</x:v>
      </x:c>
      <x:c r="B160" s="43" t="str">
        <x:v>abramova_2020_genpath</x:v>
      </x:c>
      <x:c r="C160" s="43" t="str">
        <x:v>es159</x:v>
      </x:c>
      <x:c r="D160" s="43" t="str">
        <x:v>female</x:v>
      </x:c>
      <x:c r="E160" s="43" t="str">
        <x:v>Grooming frequency</x:v>
      </x:c>
      <x:c r="F160" s="43" t="str">
        <x:v>Corrected derived value</x:v>
      </x:c>
      <x:c r="G160" s="43" t="str">
        <x:v>5 – Abramova 2020 derived SEs</x:v>
      </x:c>
      <x:c r="H160" s="43" t="str">
        <x:v>The analysis SE is recalculated as SD/sqrt(n); no author-reported statistic is overwritten.</x:v>
      </x:c>
      <x:c r="I160" s="43" t="str"/>
      <x:c r="J160" s="43" t="str">
        <x:v>0.53099</x:v>
      </x:c>
      <x:c r="K160" s="43" t="str">
        <x:v>SD / sqrt(n), using descriptive statistics calculated from author raw data</x:v>
      </x:c>
      <x:c r="L160" s="43" t="str">
        <x:v>included_studies/abramova_2020_genpath/abramova2020_descriptives.xlsx, tidy_all</x:v>
      </x:c>
      <x:c r="M160" s="43" t="str"/>
      <x:c r="N160" s="43" t="str">
        <x:v>0.4652</x:v>
      </x:c>
      <x:c r="O160" s="43" t="str">
        <x:v>SD / sqrt(n), using descriptive statistics calculated from author raw data</x:v>
      </x:c>
      <x:c r="P160" s="43" t="str">
        <x:v>included_studies/abramova_2020_genpath/abramova2020_descriptives.xlsx, tidy_all</x:v>
      </x:c>
    </x:row>
    <x:row r="161">
      <x:c r="A161" s="43" t="str">
        <x:v>161</x:v>
      </x:c>
      <x:c r="B161" s="43" t="str">
        <x:v>abramova_2020_genpath</x:v>
      </x:c>
      <x:c r="C161" s="43" t="str">
        <x:v>es160</x:v>
      </x:c>
      <x:c r="D161" s="43" t="str">
        <x:v>male</x:v>
      </x:c>
      <x:c r="E161" s="43" t="str">
        <x:v>Total immobility time</x:v>
      </x:c>
      <x:c r="F161" s="43" t="str">
        <x:v>Corrected derived value</x:v>
      </x:c>
      <x:c r="G161" s="43" t="str">
        <x:v>5 – Abramova 2020 derived SEs</x:v>
      </x:c>
      <x:c r="H161" s="43" t="str">
        <x:v>The analysis SE is recalculated as SD/sqrt(n); no author-reported statistic is overwritten.</x:v>
      </x:c>
      <x:c r="I161" s="43" t="str"/>
      <x:c r="J161" s="43" t="str">
        <x:v>13.930026</x:v>
      </x:c>
      <x:c r="K161" s="43" t="str">
        <x:v>SD / sqrt(n), using descriptive statistics calculated from author raw data</x:v>
      </x:c>
      <x:c r="L161" s="43" t="str">
        <x:v>included_studies/abramova_2020_genpath/abramova2020_descriptives.xlsx, tidy_all</x:v>
      </x:c>
      <x:c r="M161" s="43" t="str"/>
      <x:c r="N161" s="43" t="str">
        <x:v>16.378815</x:v>
      </x:c>
      <x:c r="O161" s="43" t="str">
        <x:v>SD / sqrt(n), using descriptive statistics calculated from author raw data</x:v>
      </x:c>
      <x:c r="P161" s="43" t="str">
        <x:v>included_studies/abramova_2020_genpath/abramova2020_descriptives.xlsx, tidy_all</x:v>
      </x:c>
    </x:row>
    <x:row r="162">
      <x:c r="A162" s="43" t="str">
        <x:v>162</x:v>
      </x:c>
      <x:c r="B162" s="43" t="str">
        <x:v>abramova_2020_genpath</x:v>
      </x:c>
      <x:c r="C162" s="43" t="str">
        <x:v>es161</x:v>
      </x:c>
      <x:c r="D162" s="43" t="str">
        <x:v>female</x:v>
      </x:c>
      <x:c r="E162" s="43" t="str">
        <x:v>Total immobility time</x:v>
      </x:c>
      <x:c r="F162" s="43" t="str">
        <x:v>Corrected derived value</x:v>
      </x:c>
      <x:c r="G162" s="43" t="str">
        <x:v>5 – Abramova 2020 derived SEs</x:v>
      </x:c>
      <x:c r="H162" s="43" t="str">
        <x:v>The analysis SE is recalculated as SD/sqrt(n); no author-reported statistic is overwritten.</x:v>
      </x:c>
      <x:c r="I162" s="43" t="str"/>
      <x:c r="J162" s="43" t="str">
        <x:v>13.264451</x:v>
      </x:c>
      <x:c r="K162" s="43" t="str">
        <x:v>SD / sqrt(n), using descriptive statistics calculated from author raw data</x:v>
      </x:c>
      <x:c r="L162" s="43" t="str">
        <x:v>included_studies/abramova_2020_genpath/abramova2020_descriptives.xlsx, tidy_all</x:v>
      </x:c>
      <x:c r="M162" s="43" t="str"/>
      <x:c r="N162" s="43" t="str">
        <x:v>18.9553</x:v>
      </x:c>
      <x:c r="O162" s="43" t="str">
        <x:v>SD / sqrt(n), using descriptive statistics calculated from author raw data</x:v>
      </x:c>
      <x:c r="P162" s="43" t="str">
        <x:v>included_studies/abramova_2020_genpath/abramova2020_descriptives.xlsx, tidy_all</x:v>
      </x:c>
    </x:row>
    <x:row r="163">
      <x:c r="A163" s="43" t="str">
        <x:v>163</x:v>
      </x:c>
      <x:c r="B163" s="43" t="str">
        <x:v>abramova_2020_genpath</x:v>
      </x:c>
      <x:c r="C163" s="43" t="str">
        <x:v>es162</x:v>
      </x:c>
      <x:c r="D163" s="43" t="str">
        <x:v>male</x:v>
      </x:c>
      <x:c r="E163" s="43" t="str">
        <x:v>Sucrose preference index</x:v>
      </x:c>
      <x:c r="F163" s="43" t="str">
        <x:v>Corrected transcription</x:v>
      </x:c>
      <x:c r="G163" s="43" t="str">
        <x:v>5 – Abramova 2020 derived SEs</x:v>
      </x:c>
      <x:c r="H163" s="43" t="str">
        <x:v>Use the SD in the matching author-data descriptive row before deriving SE. | The analysis SE is recalculated as SD/sqrt(n); no author-reported statistic is overwritten.</x:v>
      </x:c>
      <x:c r="I163" s="43" t="str"/>
      <x:c r="J163" s="43" t="str">
        <x:v>12.045387</x:v>
      </x:c>
      <x:c r="K163" s="43" t="str">
        <x:v>SD / sqrt(n), using descriptive statistics calculated from author raw data</x:v>
      </x:c>
      <x:c r="L163" s="43" t="str">
        <x:v>included_studies/abramova_2020_genpath/abramova2020_descriptives.xlsx, tidy_all</x:v>
      </x:c>
      <x:c r="M163" s="43" t="str"/>
      <x:c r="N163" s="43" t="str">
        <x:v>6.63828</x:v>
      </x:c>
      <x:c r="O163" s="43" t="str">
        <x:v>SD / sqrt(n), using descriptive statistics calculated from author raw data</x:v>
      </x:c>
      <x:c r="P163" s="43" t="str">
        <x:v>included_studies/abramova_2020_genpath/abramova2020_descriptives.xlsx, tidy_all</x:v>
      </x:c>
    </x:row>
    <x:row r="164">
      <x:c r="A164" s="43" t="str">
        <x:v>164</x:v>
      </x:c>
      <x:c r="B164" s="43" t="str">
        <x:v>abramova_2020_genpath</x:v>
      </x:c>
      <x:c r="C164" s="43" t="str">
        <x:v>es163</x:v>
      </x:c>
      <x:c r="D164" s="43" t="str">
        <x:v>female</x:v>
      </x:c>
      <x:c r="E164" s="43" t="str">
        <x:v>Sucrose preference index</x:v>
      </x:c>
      <x:c r="F164" s="43" t="str">
        <x:v>Corrected derived value</x:v>
      </x:c>
      <x:c r="G164" s="43" t="str">
        <x:v>5 – Abramova 2020 derived SEs</x:v>
      </x:c>
      <x:c r="H164" s="43" t="str">
        <x:v>The analysis SE is recalculated as SD/sqrt(n); no author-reported statistic is overwritten.</x:v>
      </x:c>
      <x:c r="I164" s="43" t="str"/>
      <x:c r="J164" s="43" t="str">
        <x:v>6.411963</x:v>
      </x:c>
      <x:c r="K164" s="43" t="str">
        <x:v>SD / sqrt(n), using descriptive statistics calculated from author raw data</x:v>
      </x:c>
      <x:c r="L164" s="43" t="str">
        <x:v>included_studies/abramova_2020_genpath/abramova2020_descriptives.xlsx, tidy_all</x:v>
      </x:c>
      <x:c r="M164" s="43" t="str"/>
      <x:c r="N164" s="43" t="str">
        <x:v>8.4909</x:v>
      </x:c>
      <x:c r="O164" s="43" t="str">
        <x:v>SD / sqrt(n), using descriptive statistics calculated from author raw data</x:v>
      </x:c>
      <x:c r="P164" s="43" t="str">
        <x:v>included_studies/abramova_2020_genpath/abramova2020_descriptives.xlsx, tidy_all</x:v>
      </x:c>
    </x:row>
    <x:row r="165">
      <x:c r="A165" s="43" t="str">
        <x:v>165</x:v>
      </x:c>
      <x:c r="B165" s="43" t="str">
        <x:v>abramova_2023_biopsy</x:v>
      </x:c>
      <x:c r="C165" s="43" t="str">
        <x:v>es164</x:v>
      </x:c>
      <x:c r="D165" s="43" t="str">
        <x:v>male</x:v>
      </x:c>
      <x:c r="E165" s="43" t="str">
        <x:v>Sections crossed</x:v>
      </x:c>
      <x:c r="F165" s="43" t="str">
        <x:v>Corrected transcription</x:v>
      </x:c>
      <x:c r="G165" s="43" t="str">
        <x:v>7 – Abramova 2023 identifiers and units</x:v>
      </x:c>
      <x:c r="H165" s="43" t="str">
        <x:v>Use the stable path to the saved extraction/calculation workbook.</x:v>
      </x:c>
      <x:c r="I165" s="43" t="str">
        <x:v>2.7</x:v>
      </x:c>
      <x:c r="J165" s="43" t="str">
        <x:v>2.7</x:v>
      </x:c>
      <x:c r="K165" s="43" t="str">
        <x:v>Reported SEM; used unchanged for analysis</x:v>
      </x:c>
      <x:c r="L165" s="43" t="str">
        <x:v>included_studies/abramova_2023_biopsy/abramova_2023_biopsy_data_calculations.xlsx, Table1_Extract, source row 2</x:v>
      </x:c>
      <x:c r="M165" s="43" t="str">
        <x:v>3.3</x:v>
      </x:c>
      <x:c r="N165" s="43" t="str">
        <x:v>3.3</x:v>
      </x:c>
      <x:c r="O165" s="43" t="str">
        <x:v>Reported SEM; used unchanged for analysis</x:v>
      </x:c>
      <x:c r="P165" s="43" t="str">
        <x:v>included_studies/abramova_2023_biopsy/abramova_2023_biopsy_data_calculations.xlsx, Table1_Extract, source row 2</x:v>
      </x:c>
    </x:row>
    <x:row r="166">
      <x:c r="A166" s="43" t="str">
        <x:v>166</x:v>
      </x:c>
      <x:c r="B166" s="43" t="str">
        <x:v>abramova_2023_biopsy</x:v>
      </x:c>
      <x:c r="C166" s="43" t="str">
        <x:v>es165</x:v>
      </x:c>
      <x:c r="D166" s="43" t="str">
        <x:v>female</x:v>
      </x:c>
      <x:c r="E166" s="43" t="str">
        <x:v>Sections crossed</x:v>
      </x:c>
      <x:c r="F166" s="43" t="str">
        <x:v>Corrected transcription</x:v>
      </x:c>
      <x:c r="G166" s="43" t="str">
        <x:v>7 – Abramova 2023 identifiers and units</x:v>
      </x:c>
      <x:c r="H166" s="43" t="str">
        <x:v>Use the stable path to the saved extraction/calculation workbook.</x:v>
      </x:c>
      <x:c r="I166" s="43" t="str">
        <x:v>3.5</x:v>
      </x:c>
      <x:c r="J166" s="43" t="str">
        <x:v>3.5</x:v>
      </x:c>
      <x:c r="K166" s="43" t="str">
        <x:v>Reported SEM; used unchanged for analysis</x:v>
      </x:c>
      <x:c r="L166" s="43" t="str">
        <x:v>included_studies/abramova_2023_biopsy/abramova_2023_biopsy_data_calculations.xlsx, Table1_Extract, source row 3</x:v>
      </x:c>
      <x:c r="M166" s="43" t="str">
        <x:v>5.1</x:v>
      </x:c>
      <x:c r="N166" s="43" t="str">
        <x:v>5.1</x:v>
      </x:c>
      <x:c r="O166" s="43" t="str">
        <x:v>Reported SEM; used unchanged for analysis</x:v>
      </x:c>
      <x:c r="P166" s="43" t="str">
        <x:v>included_studies/abramova_2023_biopsy/abramova_2023_biopsy_data_calculations.xlsx, Table1_Extract, source row 3</x:v>
      </x:c>
    </x:row>
    <x:row r="167">
      <x:c r="A167" s="43" t="str">
        <x:v>167</x:v>
      </x:c>
      <x:c r="B167" s="43" t="str">
        <x:v>abramova_2023_biopsy</x:v>
      </x:c>
      <x:c r="C167" s="43" t="str">
        <x:v>es166</x:v>
      </x:c>
      <x:c r="D167" s="43" t="str">
        <x:v>male</x:v>
      </x:c>
      <x:c r="E167" s="43" t="str">
        <x:v>Rearing frequency</x:v>
      </x:c>
      <x:c r="F167" s="43" t="str">
        <x:v>Corrected transcription</x:v>
      </x:c>
      <x:c r="G167" s="43" t="str">
        <x:v>7 – Abramova 2023 identifiers and units</x:v>
      </x:c>
      <x:c r="H167" s="43" t="str">
        <x:v>Use the stable path to the saved extraction/calculation workbook.</x:v>
      </x:c>
      <x:c r="I167" s="43" t="str">
        <x:v>1.7</x:v>
      </x:c>
      <x:c r="J167" s="43" t="str">
        <x:v>1.7</x:v>
      </x:c>
      <x:c r="K167" s="43" t="str">
        <x:v>Reported SEM; used unchanged for analysis</x:v>
      </x:c>
      <x:c r="L167" s="43" t="str">
        <x:v>included_studies/abramova_2023_biopsy/abramova_2023_biopsy_data_calculations.xlsx, Table1_Extract, source row 4</x:v>
      </x:c>
      <x:c r="M167" s="43" t="str">
        <x:v>1.2</x:v>
      </x:c>
      <x:c r="N167" s="43" t="str">
        <x:v>1.2</x:v>
      </x:c>
      <x:c r="O167" s="43" t="str">
        <x:v>Reported SEM; used unchanged for analysis</x:v>
      </x:c>
      <x:c r="P167" s="43" t="str">
        <x:v>included_studies/abramova_2023_biopsy/abramova_2023_biopsy_data_calculations.xlsx, Table1_Extract, source row 4</x:v>
      </x:c>
    </x:row>
    <x:row r="168">
      <x:c r="A168" s="43" t="str">
        <x:v>168</x:v>
      </x:c>
      <x:c r="B168" s="43" t="str">
        <x:v>abramova_2023_biopsy</x:v>
      </x:c>
      <x:c r="C168" s="43" t="str">
        <x:v>es167</x:v>
      </x:c>
      <x:c r="D168" s="43" t="str">
        <x:v>female</x:v>
      </x:c>
      <x:c r="E168" s="43" t="str">
        <x:v>Rearing frequency</x:v>
      </x:c>
      <x:c r="F168" s="43" t="str">
        <x:v>Corrected transcription</x:v>
      </x:c>
      <x:c r="G168" s="43" t="str">
        <x:v>7 – Abramova 2023 identifiers and units</x:v>
      </x:c>
      <x:c r="H168" s="43" t="str">
        <x:v>Use the stable path to the saved extraction/calculation workbook.</x:v>
      </x:c>
      <x:c r="I168" s="43" t="str">
        <x:v>2.5</x:v>
      </x:c>
      <x:c r="J168" s="43" t="str">
        <x:v>2.5</x:v>
      </x:c>
      <x:c r="K168" s="43" t="str">
        <x:v>Reported SEM; used unchanged for analysis</x:v>
      </x:c>
      <x:c r="L168" s="43" t="str">
        <x:v>included_studies/abramova_2023_biopsy/abramova_2023_biopsy_data_calculations.xlsx, Table1_Extract, source row 5</x:v>
      </x:c>
      <x:c r="M168" s="43" t="str">
        <x:v>1.7</x:v>
      </x:c>
      <x:c r="N168" s="43" t="str">
        <x:v>1.7</x:v>
      </x:c>
      <x:c r="O168" s="43" t="str">
        <x:v>Reported SEM; used unchanged for analysis</x:v>
      </x:c>
      <x:c r="P168" s="43" t="str">
        <x:v>included_studies/abramova_2023_biopsy/abramova_2023_biopsy_data_calculations.xlsx, Table1_Extract, source row 5</x:v>
      </x:c>
    </x:row>
    <x:row r="169">
      <x:c r="A169" s="43" t="str">
        <x:v>169</x:v>
      </x:c>
      <x:c r="B169" s="43" t="str">
        <x:v>abramova_2023_biopsy</x:v>
      </x:c>
      <x:c r="C169" s="43" t="str">
        <x:v>es168</x:v>
      </x:c>
      <x:c r="D169" s="43" t="str">
        <x:v>male</x:v>
      </x:c>
      <x:c r="E169" s="43" t="str">
        <x:v>Center entries (crossing)</x:v>
      </x:c>
      <x:c r="F169" s="43" t="str">
        <x:v>Analysis decision required</x:v>
      </x:c>
      <x:c r="G169" s="43" t="str">
        <x:v>7 – Abramova 2023 identifiers and units</x:v>
      </x:c>
      <x:c r="H169" s="43" t="str">
        <x:v>Use the stable path to the saved extraction/calculation workbook. | Choose and implement the central-tendency/dispersion conversion in the R data-wrangling workflow.</x:v>
      </x:c>
      <x:c r="I169" s="43" t="str"/>
      <x:c r="J169" s="43" t="str"/>
      <x:c r="K169" s="43" t="str">
        <x:v>Not calculated here: median (Q1; Q3) reported; estimation is deferred to reproducible R data wrangling</x:v>
      </x:c>
      <x:c r="L169" s="43" t="str">
        <x:v>included_studies/abramova_2023_biopsy/abramova_2023_biopsy_data_calculations.xlsx, Table1_Extract, source row 6</x:v>
      </x:c>
      <x:c r="M169" s="43" t="str"/>
      <x:c r="N169" s="43" t="str"/>
      <x:c r="O169" s="43" t="str">
        <x:v>Not calculated here: median (Q1; Q3) reported; estimation is deferred to reproducible R data wrangling</x:v>
      </x:c>
      <x:c r="P169" s="43" t="str">
        <x:v>included_studies/abramova_2023_biopsy/abramova_2023_biopsy_data_calculations.xlsx, Table1_Extract, source row 6</x:v>
      </x:c>
    </x:row>
    <x:row r="170">
      <x:c r="A170" s="43" t="str">
        <x:v>170</x:v>
      </x:c>
      <x:c r="B170" s="43" t="str">
        <x:v>abramova_2023_biopsy</x:v>
      </x:c>
      <x:c r="C170" s="43" t="str">
        <x:v>es169</x:v>
      </x:c>
      <x:c r="D170" s="43" t="str">
        <x:v>female</x:v>
      </x:c>
      <x:c r="E170" s="43" t="str">
        <x:v>Center entries (crossing)</x:v>
      </x:c>
      <x:c r="F170" s="43" t="str">
        <x:v>Analysis decision required</x:v>
      </x:c>
      <x:c r="G170" s="43" t="str">
        <x:v>7 – Abramova 2023 identifiers and units</x:v>
      </x:c>
      <x:c r="H17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0" s="43" t="str"/>
      <x:c r="J170" s="43" t="str"/>
      <x:c r="K170" s="43" t="str">
        <x:v>Not calculated here: median (Q1; Q3) reported; estimation is deferred to reproducible R data wrangling</x:v>
      </x:c>
      <x:c r="L170" s="43" t="str">
        <x:v>included_studies/abramova_2023_biopsy/abramova_2023_biopsy_data_calculations.xlsx, Table1_Extract, source row 7</x:v>
      </x:c>
      <x:c r="M170" s="43" t="str"/>
      <x:c r="N170" s="43" t="str"/>
      <x:c r="O170" s="43" t="str">
        <x:v>Not calculated here: median (Q1; Q3) reported; estimation is deferred to reproducible R data wrangling</x:v>
      </x:c>
      <x:c r="P170" s="43" t="str">
        <x:v>included_studies/abramova_2023_biopsy/abramova_2023_biopsy_data_calculations.xlsx, Table1_Extract, source row 7</x:v>
      </x:c>
    </x:row>
    <x:row r="171">
      <x:c r="A171" s="43" t="str">
        <x:v>171</x:v>
      </x:c>
      <x:c r="B171" s="43" t="str">
        <x:v>abramova_2023_biopsy</x:v>
      </x:c>
      <x:c r="C171" s="43" t="str">
        <x:v>es170</x:v>
      </x:c>
      <x:c r="D171" s="43" t="str">
        <x:v>male</x:v>
      </x:c>
      <x:c r="E171" s="43" t="str">
        <x:v>Total freezing time</x:v>
      </x:c>
      <x:c r="F171" s="43" t="str">
        <x:v>Corrected transcription</x:v>
      </x:c>
      <x:c r="G171" s="43" t="str">
        <x:v>7 – Abramova 2023 identifiers and units</x:v>
      </x:c>
      <x:c r="H17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1" s="43" t="str">
        <x:v>4.9</x:v>
      </x:c>
      <x:c r="J171" s="43" t="str">
        <x:v>4.9</x:v>
      </x:c>
      <x:c r="K171" s="43" t="str">
        <x:v>Reported SEM; used unchanged for analysis</x:v>
      </x:c>
      <x:c r="L171" s="43" t="str">
        <x:v>included_studies/abramova_2023_biopsy/abramova_2023_biopsy_data_calculations.xlsx, Table1_Extract, source row 8</x:v>
      </x:c>
      <x:c r="M171" s="43" t="str">
        <x:v>19.4</x:v>
      </x:c>
      <x:c r="N171" s="43" t="str">
        <x:v>19.4</x:v>
      </x:c>
      <x:c r="O171" s="43" t="str">
        <x:v>Reported SEM; used unchanged for analysis</x:v>
      </x:c>
      <x:c r="P171" s="43" t="str">
        <x:v>included_studies/abramova_2023_biopsy/abramova_2023_biopsy_data_calculations.xlsx, Table1_Extract, source row 8</x:v>
      </x:c>
    </x:row>
    <x:row r="172">
      <x:c r="A172" s="43" t="str">
        <x:v>172</x:v>
      </x:c>
      <x:c r="B172" s="43" t="str">
        <x:v>abramova_2023_biopsy</x:v>
      </x:c>
      <x:c r="C172" s="43" t="str">
        <x:v>es171</x:v>
      </x:c>
      <x:c r="D172" s="43" t="str">
        <x:v>female</x:v>
      </x:c>
      <x:c r="E172" s="43" t="str">
        <x:v>Total freezing time</x:v>
      </x:c>
      <x:c r="F172" s="43" t="str">
        <x:v>Corrected transcription</x:v>
      </x:c>
      <x:c r="G172" s="43" t="str">
        <x:v>7 – Abramova 2023 identifiers and units</x:v>
      </x:c>
      <x:c r="H17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2" s="43" t="str">
        <x:v>3.0</x:v>
      </x:c>
      <x:c r="J172" s="43" t="str">
        <x:v>3.0</x:v>
      </x:c>
      <x:c r="K172" s="43" t="str">
        <x:v>Reported SEM; used unchanged for analysis</x:v>
      </x:c>
      <x:c r="L172" s="43" t="str">
        <x:v>included_studies/abramova_2023_biopsy/abramova_2023_biopsy_data_calculations.xlsx, Table1_Extract, source row 9</x:v>
      </x:c>
      <x:c r="M172" s="43" t="str">
        <x:v>20.1</x:v>
      </x:c>
      <x:c r="N172" s="43" t="str">
        <x:v>20.1</x:v>
      </x:c>
      <x:c r="O172" s="43" t="str">
        <x:v>Reported SEM; used unchanged for analysis</x:v>
      </x:c>
      <x:c r="P172" s="43" t="str">
        <x:v>included_studies/abramova_2023_biopsy/abramova_2023_biopsy_data_calculations.xlsx, Table1_Extract, source row 9</x:v>
      </x:c>
    </x:row>
    <x:row r="173">
      <x:c r="A173" s="43" t="str">
        <x:v>173</x:v>
      </x:c>
      <x:c r="B173" s="43" t="str">
        <x:v>abramova_2023_biopsy</x:v>
      </x:c>
      <x:c r="C173" s="43" t="str">
        <x:v>es172</x:v>
      </x:c>
      <x:c r="D173" s="43" t="str">
        <x:v>male</x:v>
      </x:c>
      <x:c r="E173" s="43" t="str">
        <x:v>Total grooming time</x:v>
      </x:c>
      <x:c r="F173" s="43" t="str">
        <x:v>Analysis decision required</x:v>
      </x:c>
      <x:c r="G173" s="43" t="str">
        <x:v>7 – Abramova 2023 identifiers and units</x:v>
      </x:c>
      <x:c r="H17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3" s="43" t="str"/>
      <x:c r="J173" s="43" t="str"/>
      <x:c r="K173" s="43" t="str">
        <x:v>Not calculated here: median (Q1; Q3) reported; estimation is deferred to reproducible R data wrangling</x:v>
      </x:c>
      <x:c r="L173" s="43" t="str">
        <x:v>included_studies/abramova_2023_biopsy/abramova_2023_biopsy_data_calculations.xlsx, Table1_Extract, source row 10</x:v>
      </x:c>
      <x:c r="M173" s="43" t="str"/>
      <x:c r="N173" s="43" t="str"/>
      <x:c r="O173" s="43" t="str">
        <x:v>Not calculated here: median (Q1; Q3) reported; estimation is deferred to reproducible R data wrangling</x:v>
      </x:c>
      <x:c r="P173" s="43" t="str">
        <x:v>included_studies/abramova_2023_biopsy/abramova_2023_biopsy_data_calculations.xlsx, Table1_Extract, source row 10</x:v>
      </x:c>
    </x:row>
    <x:row r="174">
      <x:c r="A174" s="43" t="str">
        <x:v>174</x:v>
      </x:c>
      <x:c r="B174" s="43" t="str">
        <x:v>abramova_2023_biopsy</x:v>
      </x:c>
      <x:c r="C174" s="43" t="str">
        <x:v>es173</x:v>
      </x:c>
      <x:c r="D174" s="43" t="str">
        <x:v>female</x:v>
      </x:c>
      <x:c r="E174" s="43" t="str">
        <x:v>Total grooming time</x:v>
      </x:c>
      <x:c r="F174" s="43" t="str">
        <x:v>Analysis decision required</x:v>
      </x:c>
      <x:c r="G174" s="43" t="str">
        <x:v>7 – Abramova 2023 identifiers and units</x:v>
      </x:c>
      <x:c r="H17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74" s="43" t="str"/>
      <x:c r="J174" s="43" t="str"/>
      <x:c r="K174" s="43" t="str">
        <x:v>Not calculated here: median (Q1; Q3) reported; estimation is deferred to reproducible R data wrangling</x:v>
      </x:c>
      <x:c r="L174" s="43" t="str">
        <x:v>included_studies/abramova_2023_biopsy/abramova_2023_biopsy_data_calculations.xlsx, Table1_Extract, source row 11</x:v>
      </x:c>
      <x:c r="M174" s="43" t="str"/>
      <x:c r="N174" s="43" t="str"/>
      <x:c r="O174" s="43" t="str">
        <x:v>Not calculated here: median (Q1; Q3) reported; estimation is deferred to reproducible R data wrangling</x:v>
      </x:c>
      <x:c r="P174" s="43" t="str">
        <x:v>included_studies/abramova_2023_biopsy/abramova_2023_biopsy_data_calculations.xlsx, Table1_Extract, source row 11</x:v>
      </x:c>
    </x:row>
    <x:row r="175">
      <x:c r="A175" s="43" t="str">
        <x:v>175</x:v>
      </x:c>
      <x:c r="B175" s="43" t="str">
        <x:v>abramova_2023_biopsy</x:v>
      </x:c>
      <x:c r="C175" s="43" t="str">
        <x:v>es174</x:v>
      </x:c>
      <x:c r="D175" s="43" t="str">
        <x:v>male</x:v>
      </x:c>
      <x:c r="E175" s="43" t="str">
        <x:v>Grooming frequency</x:v>
      </x:c>
      <x:c r="F175" s="43" t="str">
        <x:v>Corrected transcription</x:v>
      </x:c>
      <x:c r="G175" s="43" t="str">
        <x:v>7 – Abramova 2023 identifiers and units</x:v>
      </x:c>
      <x:c r="H17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5" s="43" t="str">
        <x:v>0.6</x:v>
      </x:c>
      <x:c r="J175" s="43" t="str">
        <x:v>0.6</x:v>
      </x:c>
      <x:c r="K175" s="43" t="str">
        <x:v>Reported SEM; used unchanged for analysis</x:v>
      </x:c>
      <x:c r="L175" s="43" t="str">
        <x:v>included_studies/abramova_2023_biopsy/abramova_2023_biopsy_data_calculations.xlsx, Table1_Extract, source row 12</x:v>
      </x:c>
      <x:c r="M175" s="43" t="str">
        <x:v>0.5</x:v>
      </x:c>
      <x:c r="N175" s="43" t="str">
        <x:v>0.5</x:v>
      </x:c>
      <x:c r="O175" s="43" t="str">
        <x:v>Reported SEM; used unchanged for analysis</x:v>
      </x:c>
      <x:c r="P175" s="43" t="str">
        <x:v>included_studies/abramova_2023_biopsy/abramova_2023_biopsy_data_calculations.xlsx, Table1_Extract, source row 12</x:v>
      </x:c>
    </x:row>
    <x:row r="176">
      <x:c r="A176" s="43" t="str">
        <x:v>176</x:v>
      </x:c>
      <x:c r="B176" s="43" t="str">
        <x:v>abramova_2023_biopsy</x:v>
      </x:c>
      <x:c r="C176" s="43" t="str">
        <x:v>es175</x:v>
      </x:c>
      <x:c r="D176" s="43" t="str">
        <x:v>female</x:v>
      </x:c>
      <x:c r="E176" s="43" t="str">
        <x:v>Grooming frequency</x:v>
      </x:c>
      <x:c r="F176" s="43" t="str">
        <x:v>Corrected transcription</x:v>
      </x:c>
      <x:c r="G176" s="43" t="str">
        <x:v>7 – Abramova 2023 identifiers and units</x:v>
      </x:c>
      <x:c r="H17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6" s="43" t="str">
        <x:v>0.6</x:v>
      </x:c>
      <x:c r="J176" s="43" t="str">
        <x:v>0.6</x:v>
      </x:c>
      <x:c r="K176" s="43" t="str">
        <x:v>Reported SEM; used unchanged for analysis</x:v>
      </x:c>
      <x:c r="L176" s="43" t="str">
        <x:v>included_studies/abramova_2023_biopsy/abramova_2023_biopsy_data_calculations.xlsx, Table1_Extract, source row 13</x:v>
      </x:c>
      <x:c r="M176" s="43" t="str">
        <x:v>0.6</x:v>
      </x:c>
      <x:c r="N176" s="43" t="str">
        <x:v>0.6</x:v>
      </x:c>
      <x:c r="O176" s="43" t="str">
        <x:v>Reported SEM; used unchanged for analysis</x:v>
      </x:c>
      <x:c r="P176" s="43" t="str">
        <x:v>included_studies/abramova_2023_biopsy/abramova_2023_biopsy_data_calculations.xlsx, Table1_Extract, source row 13</x:v>
      </x:c>
    </x:row>
    <x:row r="177">
      <x:c r="A177" s="43" t="str">
        <x:v>177</x:v>
      </x:c>
      <x:c r="B177" s="43" t="str">
        <x:v>abramova_2023_biopsy</x:v>
      </x:c>
      <x:c r="C177" s="43" t="str">
        <x:v>es176</x:v>
      </x:c>
      <x:c r="D177" s="43" t="str">
        <x:v>male</x:v>
      </x:c>
      <x:c r="E177" s="43" t="str">
        <x:v>Mean grooming duration</x:v>
      </x:c>
      <x:c r="F177" s="43" t="str">
        <x:v>Analysis decision required</x:v>
      </x:c>
      <x:c r="G177" s="43" t="str">
        <x:v>7 – Abramova 2023 identifiers and units</x:v>
      </x:c>
      <x:c r="H17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c r="I177" s="43" t="str"/>
      <x:c r="J177" s="43" t="str"/>
      <x:c r="K177" s="43" t="str">
        <x:v>Not calculated here: median (Q1; Q3) reported; estimation is deferred to reproducible R data wrangling</x:v>
      </x:c>
      <x:c r="L177" s="43" t="str">
        <x:v>included_studies/abramova_2023_biopsy/abramova_2023_biopsy_data_calculations.xlsx, Table1_Extract, source row 14</x:v>
      </x:c>
      <x:c r="M177" s="43" t="str"/>
      <x:c r="N177" s="43" t="str"/>
      <x:c r="O177" s="43" t="str">
        <x:v>Not calculated here: median (Q1; Q3) reported; estimation is deferred to reproducible R data wrangling</x:v>
      </x:c>
      <x:c r="P177" s="43" t="str">
        <x:v>included_studies/abramova_2023_biopsy/abramova_2023_biopsy_data_calculations.xlsx, Table1_Extract, source row 14</x:v>
      </x:c>
    </x:row>
    <x:row r="178">
      <x:c r="A178" s="43" t="str">
        <x:v>178</x:v>
      </x:c>
      <x:c r="B178" s="43" t="str">
        <x:v>abramova_2023_biopsy</x:v>
      </x:c>
      <x:c r="C178" s="43" t="str">
        <x:v>es177</x:v>
      </x:c>
      <x:c r="D178" s="43" t="str">
        <x:v>female</x:v>
      </x:c>
      <x:c r="E178" s="43" t="str">
        <x:v>Mean grooming duration</x:v>
      </x:c>
      <x:c r="F178" s="43" t="str">
        <x:v>Analysis decision required</x:v>
      </x:c>
      <x:c r="G178" s="43" t="str">
        <x:v>7 – Abramova 2023 identifiers and units</x:v>
      </x:c>
      <x:c r="H17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c r="I178" s="43" t="str"/>
      <x:c r="J178" s="43" t="str"/>
      <x:c r="K178" s="43" t="str">
        <x:v>Not calculated here: median (Q1; Q3) reported; estimation is deferred to reproducible R data wrangling</x:v>
      </x:c>
      <x:c r="L178" s="43" t="str">
        <x:v>included_studies/abramova_2023_biopsy/abramova_2023_biopsy_data_calculations.xlsx, Table1_Extract, source row 15</x:v>
      </x:c>
      <x:c r="M178" s="43" t="str"/>
      <x:c r="N178" s="43" t="str"/>
      <x:c r="O178" s="43" t="str">
        <x:v>Not calculated here: median (Q1; Q3) reported; estimation is deferred to reproducible R data wrangling</x:v>
      </x:c>
      <x:c r="P178" s="43" t="str">
        <x:v>included_studies/abramova_2023_biopsy/abramova_2023_biopsy_data_calculations.xlsx, Table1_Extract, source row 15</x:v>
      </x:c>
    </x:row>
    <x:row r="179">
      <x:c r="A179" s="43" t="str">
        <x:v>179</x:v>
      </x:c>
      <x:c r="B179" s="43" t="str">
        <x:v>abramova_2023_biopsy</x:v>
      </x:c>
      <x:c r="C179" s="43" t="str">
        <x:v>es178</x:v>
      </x:c>
      <x:c r="D179" s="43" t="str">
        <x:v>male</x:v>
      </x:c>
      <x:c r="E179" s="43" t="str">
        <x:v>Total time in dark</x:v>
      </x:c>
      <x:c r="F179" s="43" t="str">
        <x:v>Corrected transcription</x:v>
      </x:c>
      <x:c r="G179" s="43" t="str">
        <x:v>7 – Abramova 2023 identifiers and units</x:v>
      </x:c>
      <x:c r="H17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79" s="43" t="str">
        <x:v>7.0</x:v>
      </x:c>
      <x:c r="J179" s="43" t="str">
        <x:v>7.0</x:v>
      </x:c>
      <x:c r="K179" s="43" t="str">
        <x:v>Reported SEM; used unchanged for analysis</x:v>
      </x:c>
      <x:c r="L179" s="43" t="str">
        <x:v>included_studies/abramova_2023_biopsy/abramova_2023_biopsy_data_calculations.xlsx, Table1_Extract, source row 16</x:v>
      </x:c>
      <x:c r="M179" s="43" t="str">
        <x:v>13.0</x:v>
      </x:c>
      <x:c r="N179" s="43" t="str">
        <x:v>13.0</x:v>
      </x:c>
      <x:c r="O179" s="43" t="str">
        <x:v>Reported SEM; used unchanged for analysis</x:v>
      </x:c>
      <x:c r="P179" s="43" t="str">
        <x:v>included_studies/abramova_2023_biopsy/abramova_2023_biopsy_data_calculations.xlsx, Table1_Extract, source row 16</x:v>
      </x:c>
    </x:row>
    <x:row r="180">
      <x:c r="A180" s="43" t="str">
        <x:v>180</x:v>
      </x:c>
      <x:c r="B180" s="43" t="str">
        <x:v>abramova_2023_biopsy</x:v>
      </x:c>
      <x:c r="C180" s="43" t="str">
        <x:v>es179</x:v>
      </x:c>
      <x:c r="D180" s="43" t="str">
        <x:v>female</x:v>
      </x:c>
      <x:c r="E180" s="43" t="str">
        <x:v>Total time in dark</x:v>
      </x:c>
      <x:c r="F180" s="43" t="str">
        <x:v>Corrected transcription</x:v>
      </x:c>
      <x:c r="G180" s="43" t="str">
        <x:v>7 – Abramova 2023 identifiers and units</x:v>
      </x:c>
      <x:c r="H18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0" s="43" t="str">
        <x:v>5.0</x:v>
      </x:c>
      <x:c r="J180" s="43" t="str">
        <x:v>5.0</x:v>
      </x:c>
      <x:c r="K180" s="43" t="str">
        <x:v>Reported SEM; used unchanged for analysis</x:v>
      </x:c>
      <x:c r="L180" s="43" t="str">
        <x:v>included_studies/abramova_2023_biopsy/abramova_2023_biopsy_data_calculations.xlsx, Table1_Extract, source row 17</x:v>
      </x:c>
      <x:c r="M180" s="43" t="str">
        <x:v>11.0</x:v>
      </x:c>
      <x:c r="N180" s="43" t="str">
        <x:v>11.0</x:v>
      </x:c>
      <x:c r="O180" s="43" t="str">
        <x:v>Reported SEM; used unchanged for analysis</x:v>
      </x:c>
      <x:c r="P180" s="43" t="str">
        <x:v>included_studies/abramova_2023_biopsy/abramova_2023_biopsy_data_calculations.xlsx, Table1_Extract, source row 17</x:v>
      </x:c>
    </x:row>
    <x:row r="181">
      <x:c r="A181" s="43" t="str">
        <x:v>181</x:v>
      </x:c>
      <x:c r="B181" s="43" t="str">
        <x:v>abramova_2023_biopsy</x:v>
      </x:c>
      <x:c r="C181" s="43" t="str">
        <x:v>es180</x:v>
      </x:c>
      <x:c r="D181" s="43" t="str">
        <x:v>male</x:v>
      </x:c>
      <x:c r="E181" s="43" t="str">
        <x:v>Total time in light</x:v>
      </x:c>
      <x:c r="F181" s="43" t="str">
        <x:v>Analysis decision required</x:v>
      </x:c>
      <x:c r="G181" s="43" t="str">
        <x:v>7 – Abramova 2023 identifiers and units</x:v>
      </x:c>
      <x:c r="H18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1" s="43" t="str"/>
      <x:c r="J181" s="43" t="str"/>
      <x:c r="K181" s="43" t="str">
        <x:v>Not calculated here: median (Q1; Q3) reported; estimation is deferred to reproducible R data wrangling</x:v>
      </x:c>
      <x:c r="L181" s="43" t="str">
        <x:v>included_studies/abramova_2023_biopsy/abramova_2023_biopsy_data_calculations.xlsx, Table1_Extract, source row 18</x:v>
      </x:c>
      <x:c r="M181" s="43" t="str"/>
      <x:c r="N181" s="43" t="str"/>
      <x:c r="O181" s="43" t="str">
        <x:v>Not calculated here: median (Q1; Q3) reported; estimation is deferred to reproducible R data wrangling</x:v>
      </x:c>
      <x:c r="P181" s="43" t="str">
        <x:v>included_studies/abramova_2023_biopsy/abramova_2023_biopsy_data_calculations.xlsx, Table1_Extract, source row 18</x:v>
      </x:c>
    </x:row>
    <x:row r="182">
      <x:c r="A182" s="43" t="str">
        <x:v>182</x:v>
      </x:c>
      <x:c r="B182" s="43" t="str">
        <x:v>abramova_2023_biopsy</x:v>
      </x:c>
      <x:c r="C182" s="43" t="str">
        <x:v>es181</x:v>
      </x:c>
      <x:c r="D182" s="43" t="str">
        <x:v>female</x:v>
      </x:c>
      <x:c r="E182" s="43" t="str">
        <x:v>Total time in light</x:v>
      </x:c>
      <x:c r="F182" s="43" t="str">
        <x:v>Analysis decision required</x:v>
      </x:c>
      <x:c r="G182" s="43" t="str">
        <x:v>7 – Abramova 2023 identifiers and units</x:v>
      </x:c>
      <x:c r="H18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2" s="43" t="str"/>
      <x:c r="J182" s="43" t="str"/>
      <x:c r="K182" s="43" t="str">
        <x:v>Not calculated here: median (Q1; Q3) reported; estimation is deferred to reproducible R data wrangling</x:v>
      </x:c>
      <x:c r="L182" s="43" t="str">
        <x:v>included_studies/abramova_2023_biopsy/abramova_2023_biopsy_data_calculations.xlsx, Table1_Extract, source row 19</x:v>
      </x:c>
      <x:c r="M182" s="43" t="str"/>
      <x:c r="N182" s="43" t="str"/>
      <x:c r="O182" s="43" t="str">
        <x:v>Not calculated here: median (Q1; Q3) reported; estimation is deferred to reproducible R data wrangling</x:v>
      </x:c>
      <x:c r="P182" s="43" t="str">
        <x:v>included_studies/abramova_2023_biopsy/abramova_2023_biopsy_data_calculations.xlsx, Table1_Extract, source row 19</x:v>
      </x:c>
    </x:row>
    <x:row r="183">
      <x:c r="A183" s="43" t="str">
        <x:v>183</x:v>
      </x:c>
      <x:c r="B183" s="43" t="str">
        <x:v>abramova_2023_biopsy</x:v>
      </x:c>
      <x:c r="C183" s="43" t="str">
        <x:v>es182</x:v>
      </x:c>
      <x:c r="D183" s="43" t="str">
        <x:v>male</x:v>
      </x:c>
      <x:c r="E183" s="43" t="str">
        <x:v>Center entries (crossing)</x:v>
      </x:c>
      <x:c r="F183" s="43" t="str">
        <x:v>Corrected transcription</x:v>
      </x:c>
      <x:c r="G183" s="43" t="str">
        <x:v>7 – Abramova 2023 identifiers and units</x:v>
      </x:c>
      <x:c r="H18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3" s="43" t="str">
        <x:v>1.0</x:v>
      </x:c>
      <x:c r="J183" s="43" t="str">
        <x:v>1.0</x:v>
      </x:c>
      <x:c r="K183" s="43" t="str">
        <x:v>Reported SEM; used unchanged for analysis</x:v>
      </x:c>
      <x:c r="L183" s="43" t="str">
        <x:v>included_studies/abramova_2023_biopsy/abramova_2023_biopsy_data_calculations.xlsx, Table1_Extract, source row 20</x:v>
      </x:c>
      <x:c r="M183" s="43" t="str">
        <x:v>0.8</x:v>
      </x:c>
      <x:c r="N183" s="43" t="str">
        <x:v>0.8</x:v>
      </x:c>
      <x:c r="O183" s="43" t="str">
        <x:v>Reported SEM; used unchanged for analysis</x:v>
      </x:c>
      <x:c r="P183" s="43" t="str">
        <x:v>included_studies/abramova_2023_biopsy/abramova_2023_biopsy_data_calculations.xlsx, Table1_Extract, source row 20</x:v>
      </x:c>
    </x:row>
    <x:row r="184">
      <x:c r="A184" s="43" t="str">
        <x:v>184</x:v>
      </x:c>
      <x:c r="B184" s="43" t="str">
        <x:v>abramova_2023_biopsy</x:v>
      </x:c>
      <x:c r="C184" s="43" t="str">
        <x:v>es183</x:v>
      </x:c>
      <x:c r="D184" s="43" t="str">
        <x:v>female</x:v>
      </x:c>
      <x:c r="E184" s="43" t="str">
        <x:v>Center entries (crossing)</x:v>
      </x:c>
      <x:c r="F184" s="43" t="str">
        <x:v>Corrected transcription</x:v>
      </x:c>
      <x:c r="G184" s="43" t="str">
        <x:v>7 – Abramova 2023 identifiers and units</x:v>
      </x:c>
      <x:c r="H18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4" s="43" t="str">
        <x:v>0.62</x:v>
      </x:c>
      <x:c r="J184" s="43" t="str">
        <x:v>0.62</x:v>
      </x:c>
      <x:c r="K184" s="43" t="str">
        <x:v>Reported SEM; used unchanged for analysis</x:v>
      </x:c>
      <x:c r="L184" s="43" t="str">
        <x:v>included_studies/abramova_2023_biopsy/abramova_2023_biopsy_data_calculations.xlsx, Table1_Extract, source row 21</x:v>
      </x:c>
      <x:c r="M184" s="43" t="str">
        <x:v>0.7</x:v>
      </x:c>
      <x:c r="N184" s="43" t="str">
        <x:v>0.7</x:v>
      </x:c>
      <x:c r="O184" s="43" t="str">
        <x:v>Reported SEM; used unchanged for analysis</x:v>
      </x:c>
      <x:c r="P184" s="43" t="str">
        <x:v>included_studies/abramova_2023_biopsy/abramova_2023_biopsy_data_calculations.xlsx, Table1_Extract, source row 21</x:v>
      </x:c>
    </x:row>
    <x:row r="185">
      <x:c r="A185" s="43" t="str">
        <x:v>185</x:v>
      </x:c>
      <x:c r="B185" s="43" t="str">
        <x:v>abramova_2023_biopsy</x:v>
      </x:c>
      <x:c r="C185" s="43" t="str">
        <x:v>es184</x:v>
      </x:c>
      <x:c r="D185" s="43" t="str">
        <x:v>male</x:v>
      </x:c>
      <x:c r="E185" s="43" t="str">
        <x:v>Head-out inspections</x:v>
      </x:c>
      <x:c r="F185" s="43" t="str">
        <x:v>Analysis decision required</x:v>
      </x:c>
      <x:c r="G185" s="43" t="str">
        <x:v>7 – Abramova 2023 identifiers and units</x:v>
      </x:c>
      <x:c r="H18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5" s="43" t="str"/>
      <x:c r="J185" s="43" t="str"/>
      <x:c r="K185" s="43" t="str">
        <x:v>Not calculated here: median (Q1; Q3) reported; estimation is deferred to reproducible R data wrangling</x:v>
      </x:c>
      <x:c r="L185" s="43" t="str">
        <x:v>included_studies/abramova_2023_biopsy/abramova_2023_biopsy_data_calculations.xlsx, Table1_Extract, source row 22</x:v>
      </x:c>
      <x:c r="M185" s="43" t="str"/>
      <x:c r="N185" s="43" t="str"/>
      <x:c r="O185" s="43" t="str">
        <x:v>Not calculated here: median (Q1; Q3) reported; estimation is deferred to reproducible R data wrangling</x:v>
      </x:c>
      <x:c r="P185" s="43" t="str">
        <x:v>included_studies/abramova_2023_biopsy/abramova_2023_biopsy_data_calculations.xlsx, Table1_Extract, source row 22</x:v>
      </x:c>
    </x:row>
    <x:row r="186">
      <x:c r="A186" s="43" t="str">
        <x:v>186</x:v>
      </x:c>
      <x:c r="B186" s="43" t="str">
        <x:v>abramova_2023_biopsy</x:v>
      </x:c>
      <x:c r="C186" s="43" t="str">
        <x:v>es185</x:v>
      </x:c>
      <x:c r="D186" s="43" t="str">
        <x:v>female</x:v>
      </x:c>
      <x:c r="E186" s="43" t="str">
        <x:v>Head-out inspections</x:v>
      </x:c>
      <x:c r="F186" s="43" t="str">
        <x:v>Analysis decision required</x:v>
      </x:c>
      <x:c r="G186" s="43" t="str">
        <x:v>7 – Abramova 2023 identifiers and units</x:v>
      </x:c>
      <x:c r="H18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86" s="43" t="str"/>
      <x:c r="J186" s="43" t="str"/>
      <x:c r="K186" s="43" t="str">
        <x:v>Not calculated here: median (Q1; Q3) reported; estimation is deferred to reproducible R data wrangling</x:v>
      </x:c>
      <x:c r="L186" s="43" t="str">
        <x:v>included_studies/abramova_2023_biopsy/abramova_2023_biopsy_data_calculations.xlsx, Table1_Extract, source row 23</x:v>
      </x:c>
      <x:c r="M186" s="43" t="str"/>
      <x:c r="N186" s="43" t="str"/>
      <x:c r="O186" s="43" t="str">
        <x:v>Not calculated here: median (Q1; Q3) reported; estimation is deferred to reproducible R data wrangling</x:v>
      </x:c>
      <x:c r="P186" s="43" t="str">
        <x:v>included_studies/abramova_2023_biopsy/abramova_2023_biopsy_data_calculations.xlsx, Table1_Extract, source row 23</x:v>
      </x:c>
    </x:row>
    <x:row r="187">
      <x:c r="A187" s="43" t="str">
        <x:v>187</x:v>
      </x:c>
      <x:c r="B187" s="43" t="str">
        <x:v>abramova_2023_biopsy</x:v>
      </x:c>
      <x:c r="C187" s="43" t="str">
        <x:v>es186</x:v>
      </x:c>
      <x:c r="D187" s="43" t="str">
        <x:v>male</x:v>
      </x:c>
      <x:c r="E187" s="43" t="str">
        <x:v>Overhangs</x:v>
      </x:c>
      <x:c r="F187" s="43" t="str">
        <x:v>Corrected transcription</x:v>
      </x:c>
      <x:c r="G187" s="43" t="str">
        <x:v>7 – Abramova 2023 identifiers and units</x:v>
      </x:c>
      <x:c r="H18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7" s="43" t="str">
        <x:v>1.5</x:v>
      </x:c>
      <x:c r="J187" s="43" t="str">
        <x:v>1.5</x:v>
      </x:c>
      <x:c r="K187" s="43" t="str">
        <x:v>Reported SEM; used unchanged for analysis</x:v>
      </x:c>
      <x:c r="L187" s="43" t="str">
        <x:v>included_studies/abramova_2023_biopsy/abramova_2023_biopsy_data_calculations.xlsx, Table1_Extract, source row 24</x:v>
      </x:c>
      <x:c r="M187" s="43" t="str">
        <x:v>2.3</x:v>
      </x:c>
      <x:c r="N187" s="43" t="str">
        <x:v>2.3</x:v>
      </x:c>
      <x:c r="O187" s="43" t="str">
        <x:v>Reported SEM; used unchanged for analysis</x:v>
      </x:c>
      <x:c r="P187" s="43" t="str">
        <x:v>included_studies/abramova_2023_biopsy/abramova_2023_biopsy_data_calculations.xlsx, Table1_Extract, source row 24</x:v>
      </x:c>
    </x:row>
    <x:row r="188">
      <x:c r="A188" s="43" t="str">
        <x:v>188</x:v>
      </x:c>
      <x:c r="B188" s="43" t="str">
        <x:v>abramova_2023_biopsy</x:v>
      </x:c>
      <x:c r="C188" s="43" t="str">
        <x:v>es187</x:v>
      </x:c>
      <x:c r="D188" s="43" t="str">
        <x:v>female</x:v>
      </x:c>
      <x:c r="E188" s="43" t="str">
        <x:v>Overhangs</x:v>
      </x:c>
      <x:c r="F188" s="43" t="str">
        <x:v>Corrected transcription</x:v>
      </x:c>
      <x:c r="G188" s="43" t="str">
        <x:v>7 – Abramova 2023 identifiers and units</x:v>
      </x:c>
      <x:c r="H18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8" s="43" t="str">
        <x:v>1.2</x:v>
      </x:c>
      <x:c r="J188" s="43" t="str">
        <x:v>1.2</x:v>
      </x:c>
      <x:c r="K188" s="43" t="str">
        <x:v>Reported SEM; used unchanged for analysis</x:v>
      </x:c>
      <x:c r="L188" s="43" t="str">
        <x:v>included_studies/abramova_2023_biopsy/abramova_2023_biopsy_data_calculations.xlsx, Table1_Extract, source row 25</x:v>
      </x:c>
      <x:c r="M188" s="43" t="str">
        <x:v>1.7</x:v>
      </x:c>
      <x:c r="N188" s="43" t="str">
        <x:v>1.7</x:v>
      </x:c>
      <x:c r="O188" s="43" t="str">
        <x:v>Reported SEM; used unchanged for analysis</x:v>
      </x:c>
      <x:c r="P188" s="43" t="str">
        <x:v>included_studies/abramova_2023_biopsy/abramova_2023_biopsy_data_calculations.xlsx, Table1_Extract, source row 25</x:v>
      </x:c>
    </x:row>
    <x:row r="189">
      <x:c r="A189" s="43" t="str">
        <x:v>189</x:v>
      </x:c>
      <x:c r="B189" s="43" t="str">
        <x:v>abramova_2023_biopsy</x:v>
      </x:c>
      <x:c r="C189" s="43" t="str">
        <x:v>es188</x:v>
      </x:c>
      <x:c r="D189" s="43" t="str">
        <x:v>male</x:v>
      </x:c>
      <x:c r="E189" s="43" t="str">
        <x:v>Rearing frequency</x:v>
      </x:c>
      <x:c r="F189" s="43" t="str">
        <x:v>Corrected transcription</x:v>
      </x:c>
      <x:c r="G189" s="43" t="str">
        <x:v>7 – Abramova 2023 identifiers and units</x:v>
      </x:c>
      <x:c r="H18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89" s="43" t="str">
        <x:v>1.8</x:v>
      </x:c>
      <x:c r="J189" s="43" t="str">
        <x:v>1.8</x:v>
      </x:c>
      <x:c r="K189" s="43" t="str">
        <x:v>Reported SEM; used unchanged for analysis</x:v>
      </x:c>
      <x:c r="L189" s="43" t="str">
        <x:v>included_studies/abramova_2023_biopsy/abramova_2023_biopsy_data_calculations.xlsx, Table1_Extract, source row 26</x:v>
      </x:c>
      <x:c r="M189" s="43" t="str">
        <x:v>1.3</x:v>
      </x:c>
      <x:c r="N189" s="43" t="str">
        <x:v>1.3</x:v>
      </x:c>
      <x:c r="O189" s="43" t="str">
        <x:v>Reported SEM; used unchanged for analysis</x:v>
      </x:c>
      <x:c r="P189" s="43" t="str">
        <x:v>included_studies/abramova_2023_biopsy/abramova_2023_biopsy_data_calculations.xlsx, Table1_Extract, source row 26</x:v>
      </x:c>
    </x:row>
    <x:row r="190">
      <x:c r="A190" s="43" t="str">
        <x:v>190</x:v>
      </x:c>
      <x:c r="B190" s="43" t="str">
        <x:v>abramova_2023_biopsy</x:v>
      </x:c>
      <x:c r="C190" s="43" t="str">
        <x:v>es189</x:v>
      </x:c>
      <x:c r="D190" s="43" t="str">
        <x:v>female</x:v>
      </x:c>
      <x:c r="E190" s="43" t="str">
        <x:v>Rearing frequency</x:v>
      </x:c>
      <x:c r="F190" s="43" t="str">
        <x:v>Corrected transcription</x:v>
      </x:c>
      <x:c r="G190" s="43" t="str">
        <x:v>7 – Abramova 2023 identifiers and units</x:v>
      </x:c>
      <x:c r="H19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0" s="43" t="str">
        <x:v>1.3</x:v>
      </x:c>
      <x:c r="J190" s="43" t="str">
        <x:v>1.3</x:v>
      </x:c>
      <x:c r="K190" s="43" t="str">
        <x:v>Reported SEM; used unchanged for analysis</x:v>
      </x:c>
      <x:c r="L190" s="43" t="str">
        <x:v>included_studies/abramova_2023_biopsy/abramova_2023_biopsy_data_calculations.xlsx, Table1_Extract, source row 27</x:v>
      </x:c>
      <x:c r="M190" s="43" t="str">
        <x:v>1.4</x:v>
      </x:c>
      <x:c r="N190" s="43" t="str">
        <x:v>1.4</x:v>
      </x:c>
      <x:c r="O190" s="43" t="str">
        <x:v>Reported SEM; used unchanged for analysis</x:v>
      </x:c>
      <x:c r="P190" s="43" t="str">
        <x:v>included_studies/abramova_2023_biopsy/abramova_2023_biopsy_data_calculations.xlsx, Table1_Extract, source row 27</x:v>
      </x:c>
    </x:row>
    <x:row r="191">
      <x:c r="A191" s="43" t="str">
        <x:v>191</x:v>
      </x:c>
      <x:c r="B191" s="43" t="str">
        <x:v>abramova_2023_biopsy</x:v>
      </x:c>
      <x:c r="C191" s="43" t="str">
        <x:v>es190</x:v>
      </x:c>
      <x:c r="D191" s="43" t="str">
        <x:v>male</x:v>
      </x:c>
      <x:c r="E191" s="43" t="str">
        <x:v>Total freezing time</x:v>
      </x:c>
      <x:c r="F191" s="43" t="str">
        <x:v>Analysis decision required</x:v>
      </x:c>
      <x:c r="G191" s="43" t="str">
        <x:v>7 – Abramova 2023 identifiers and units</x:v>
      </x:c>
      <x:c r="H19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1" s="43" t="str"/>
      <x:c r="J191" s="43" t="str"/>
      <x:c r="K191" s="43" t="str">
        <x:v>Not calculated here: median (Q1; Q3) reported; estimation is deferred to reproducible R data wrangling</x:v>
      </x:c>
      <x:c r="L191" s="43" t="str">
        <x:v>included_studies/abramova_2023_biopsy/abramova_2023_biopsy_data_calculations.xlsx, Table1_Extract, source row 28</x:v>
      </x:c>
      <x:c r="M191" s="43" t="str"/>
      <x:c r="N191" s="43" t="str"/>
      <x:c r="O191" s="43" t="str">
        <x:v>Not calculated here: median (Q1; Q3) reported; estimation is deferred to reproducible R data wrangling</x:v>
      </x:c>
      <x:c r="P191" s="43" t="str">
        <x:v>included_studies/abramova_2023_biopsy/abramova_2023_biopsy_data_calculations.xlsx, Table1_Extract, source row 28</x:v>
      </x:c>
    </x:row>
    <x:row r="192">
      <x:c r="A192" s="43" t="str">
        <x:v>192</x:v>
      </x:c>
      <x:c r="B192" s="43" t="str">
        <x:v>abramova_2023_biopsy</x:v>
      </x:c>
      <x:c r="C192" s="43" t="str">
        <x:v>es191</x:v>
      </x:c>
      <x:c r="D192" s="43" t="str">
        <x:v>female</x:v>
      </x:c>
      <x:c r="E192" s="43" t="str">
        <x:v>Total freezing time</x:v>
      </x:c>
      <x:c r="F192" s="43" t="str">
        <x:v>Analysis decision required</x:v>
      </x:c>
      <x:c r="G192" s="43" t="str">
        <x:v>7 – Abramova 2023 identifiers and units</x:v>
      </x:c>
      <x:c r="H19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2" s="43" t="str"/>
      <x:c r="J192" s="43" t="str"/>
      <x:c r="K192" s="43" t="str">
        <x:v>Not calculated here: median (Q1; Q3) reported; estimation is deferred to reproducible R data wrangling</x:v>
      </x:c>
      <x:c r="L192" s="43" t="str">
        <x:v>included_studies/abramova_2023_biopsy/abramova_2023_biopsy_data_calculations.xlsx, Table1_Extract, source row 29</x:v>
      </x:c>
      <x:c r="M192" s="43" t="str"/>
      <x:c r="N192" s="43" t="str"/>
      <x:c r="O192" s="43" t="str">
        <x:v>Not calculated here: median (Q1; Q3) reported; estimation is deferred to reproducible R data wrangling</x:v>
      </x:c>
      <x:c r="P192" s="43" t="str">
        <x:v>included_studies/abramova_2023_biopsy/abramova_2023_biopsy_data_calculations.xlsx, Table1_Extract, source row 29</x:v>
      </x:c>
    </x:row>
    <x:row r="193">
      <x:c r="A193" s="43" t="str">
        <x:v>193</x:v>
      </x:c>
      <x:c r="B193" s="43" t="str">
        <x:v>abramova_2023_biopsy</x:v>
      </x:c>
      <x:c r="C193" s="43" t="str">
        <x:v>es192</x:v>
      </x:c>
      <x:c r="D193" s="43" t="str">
        <x:v>male</x:v>
      </x:c>
      <x:c r="E193" s="43" t="str">
        <x:v>Total grooming time</x:v>
      </x:c>
      <x:c r="F193" s="43" t="str">
        <x:v>Corrected transcription</x:v>
      </x:c>
      <x:c r="G193" s="43" t="str">
        <x:v>7 – Abramova 2023 identifiers and units</x:v>
      </x:c>
      <x:c r="H19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3" s="43" t="str">
        <x:v>6.9</x:v>
      </x:c>
      <x:c r="J193" s="43" t="str">
        <x:v>6.9</x:v>
      </x:c>
      <x:c r="K193" s="43" t="str">
        <x:v>Reported SEM; used unchanged for analysis</x:v>
      </x:c>
      <x:c r="L193" s="43" t="str">
        <x:v>included_studies/abramova_2023_biopsy/abramova_2023_biopsy_data_calculations.xlsx, Table1_Extract, source row 30</x:v>
      </x:c>
      <x:c r="M193" s="43" t="str">
        <x:v>6.6</x:v>
      </x:c>
      <x:c r="N193" s="43" t="str">
        <x:v>6.6</x:v>
      </x:c>
      <x:c r="O193" s="43" t="str">
        <x:v>Reported SEM; used unchanged for analysis</x:v>
      </x:c>
      <x:c r="P193" s="43" t="str">
        <x:v>included_studies/abramova_2023_biopsy/abramova_2023_biopsy_data_calculations.xlsx, Table1_Extract, source row 30</x:v>
      </x:c>
    </x:row>
    <x:row r="194">
      <x:c r="A194" s="43" t="str">
        <x:v>194</x:v>
      </x:c>
      <x:c r="B194" s="43" t="str">
        <x:v>abramova_2023_biopsy</x:v>
      </x:c>
      <x:c r="C194" s="43" t="str">
        <x:v>es193</x:v>
      </x:c>
      <x:c r="D194" s="43" t="str">
        <x:v>female</x:v>
      </x:c>
      <x:c r="E194" s="43" t="str">
        <x:v>Total grooming time</x:v>
      </x:c>
      <x:c r="F194" s="43" t="str">
        <x:v>Corrected transcription</x:v>
      </x:c>
      <x:c r="G194" s="43" t="str">
        <x:v>7 – Abramova 2023 identifiers and units</x:v>
      </x:c>
      <x:c r="H19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4" s="43" t="str">
        <x:v>4.7</x:v>
      </x:c>
      <x:c r="J194" s="43" t="str">
        <x:v>4.7</x:v>
      </x:c>
      <x:c r="K194" s="43" t="str">
        <x:v>Reported SEM; used unchanged for analysis</x:v>
      </x:c>
      <x:c r="L194" s="43" t="str">
        <x:v>included_studies/abramova_2023_biopsy/abramova_2023_biopsy_data_calculations.xlsx, Table1_Extract, source row 31</x:v>
      </x:c>
      <x:c r="M194" s="43" t="str">
        <x:v>10.1</x:v>
      </x:c>
      <x:c r="N194" s="43" t="str">
        <x:v>10.1</x:v>
      </x:c>
      <x:c r="O194" s="43" t="str">
        <x:v>Reported SEM; used unchanged for analysis</x:v>
      </x:c>
      <x:c r="P194" s="43" t="str">
        <x:v>included_studies/abramova_2023_biopsy/abramova_2023_biopsy_data_calculations.xlsx, Table1_Extract, source row 31</x:v>
      </x:c>
    </x:row>
    <x:row r="195">
      <x:c r="A195" s="43" t="str">
        <x:v>195</x:v>
      </x:c>
      <x:c r="B195" s="43" t="str">
        <x:v>abramova_2023_biopsy</x:v>
      </x:c>
      <x:c r="C195" s="43" t="str">
        <x:v>es194</x:v>
      </x:c>
      <x:c r="D195" s="43" t="str">
        <x:v>male</x:v>
      </x:c>
      <x:c r="E195" s="43" t="str">
        <x:v>Grooming frequency</x:v>
      </x:c>
      <x:c r="F195" s="43" t="str">
        <x:v>Analysis decision required</x:v>
      </x:c>
      <x:c r="G195" s="43" t="str">
        <x:v>7 – Abramova 2023 identifiers and units</x:v>
      </x:c>
      <x:c r="H19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5" s="43" t="str"/>
      <x:c r="J195" s="43" t="str"/>
      <x:c r="K195" s="43" t="str">
        <x:v>Not calculated here: median (Q1; Q3) reported; estimation is deferred to reproducible R data wrangling</x:v>
      </x:c>
      <x:c r="L195" s="43" t="str">
        <x:v>included_studies/abramova_2023_biopsy/abramova_2023_biopsy_data_calculations.xlsx, Table1_Extract, source row 32</x:v>
      </x:c>
      <x:c r="M195" s="43" t="str"/>
      <x:c r="N195" s="43" t="str"/>
      <x:c r="O195" s="43" t="str">
        <x:v>Not calculated here: median (Q1; Q3) reported; estimation is deferred to reproducible R data wrangling</x:v>
      </x:c>
      <x:c r="P195" s="43" t="str">
        <x:v>included_studies/abramova_2023_biopsy/abramova_2023_biopsy_data_calculations.xlsx, Table1_Extract, source row 32</x:v>
      </x:c>
    </x:row>
    <x:row r="196">
      <x:c r="A196" s="43" t="str">
        <x:v>196</x:v>
      </x:c>
      <x:c r="B196" s="43" t="str">
        <x:v>abramova_2023_biopsy</x:v>
      </x:c>
      <x:c r="C196" s="43" t="str">
        <x:v>es195</x:v>
      </x:c>
      <x:c r="D196" s="43" t="str">
        <x:v>female</x:v>
      </x:c>
      <x:c r="E196" s="43" t="str">
        <x:v>Grooming frequency</x:v>
      </x:c>
      <x:c r="F196" s="43" t="str">
        <x:v>Analysis decision required</x:v>
      </x:c>
      <x:c r="G196" s="43" t="str">
        <x:v>7 – Abramova 2023 identifiers and units</x:v>
      </x:c>
      <x:c r="H19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196" s="43" t="str"/>
      <x:c r="J196" s="43" t="str"/>
      <x:c r="K196" s="43" t="str">
        <x:v>Not calculated here: median (Q1; Q3) reported; estimation is deferred to reproducible R data wrangling</x:v>
      </x:c>
      <x:c r="L196" s="43" t="str">
        <x:v>included_studies/abramova_2023_biopsy/abramova_2023_biopsy_data_calculations.xlsx, Table1_Extract, source row 33</x:v>
      </x:c>
      <x:c r="M196" s="43" t="str"/>
      <x:c r="N196" s="43" t="str"/>
      <x:c r="O196" s="43" t="str">
        <x:v>Not calculated here: median (Q1; Q3) reported; estimation is deferred to reproducible R data wrangling</x:v>
      </x:c>
      <x:c r="P196" s="43" t="str">
        <x:v>included_studies/abramova_2023_biopsy/abramova_2023_biopsy_data_calculations.xlsx, Table1_Extract, source row 33</x:v>
      </x:c>
    </x:row>
    <x:row r="197">
      <x:c r="A197" s="43" t="str">
        <x:v>197</x:v>
      </x:c>
      <x:c r="B197" s="43" t="str">
        <x:v>abramova_2023_biopsy</x:v>
      </x:c>
      <x:c r="C197" s="43" t="str">
        <x:v>es196</x:v>
      </x:c>
      <x:c r="D197" s="43" t="str">
        <x:v>male</x:v>
      </x:c>
      <x:c r="E197" s="43" t="str">
        <x:v>Mean grooming duration</x:v>
      </x:c>
      <x:c r="F197" s="43" t="str">
        <x:v>Corrected transcription</x:v>
      </x:c>
      <x:c r="G197" s="43" t="str">
        <x:v>7 – Abramova 2023 identifiers and units</x:v>
      </x:c>
      <x:c r="H19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c r="I197" s="43" t="str">
        <x:v>1.8</x:v>
      </x:c>
      <x:c r="J197" s="43" t="str">
        <x:v>1.8</x:v>
      </x:c>
      <x:c r="K197" s="43" t="str">
        <x:v>Reported SEM; used unchanged for analysis</x:v>
      </x:c>
      <x:c r="L197" s="43" t="str">
        <x:v>included_studies/abramova_2023_biopsy/abramova_2023_biopsy_data_calculations.xlsx, Table1_Extract, source row 34</x:v>
      </x:c>
      <x:c r="M197" s="43" t="str">
        <x:v>4.8</x:v>
      </x:c>
      <x:c r="N197" s="43" t="str">
        <x:v>4.8</x:v>
      </x:c>
      <x:c r="O197" s="43" t="str">
        <x:v>Reported SEM; used unchanged for analysis</x:v>
      </x:c>
      <x:c r="P197" s="43" t="str">
        <x:v>included_studies/abramova_2023_biopsy/abramova_2023_biopsy_data_calculations.xlsx, Table1_Extract, source row 34</x:v>
      </x:c>
    </x:row>
    <x:row r="198">
      <x:c r="A198" s="43" t="str">
        <x:v>198</x:v>
      </x:c>
      <x:c r="B198" s="43" t="str">
        <x:v>abramova_2023_biopsy</x:v>
      </x:c>
      <x:c r="C198" s="43" t="str">
        <x:v>es197</x:v>
      </x:c>
      <x:c r="D198" s="43" t="str">
        <x:v>female</x:v>
      </x:c>
      <x:c r="E198" s="43" t="str">
        <x:v>Mean grooming duration</x:v>
      </x:c>
      <x:c r="F198" s="43" t="str">
        <x:v>Corrected transcription</x:v>
      </x:c>
      <x:c r="G198" s="43" t="str">
        <x:v>7 – Abramova 2023 identifiers and units</x:v>
      </x:c>
      <x:c r="H19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c r="I198" s="43" t="str">
        <x:v>0.9</x:v>
      </x:c>
      <x:c r="J198" s="43" t="str">
        <x:v>0.9</x:v>
      </x:c>
      <x:c r="K198" s="43" t="str">
        <x:v>Reported SEM; used unchanged for analysis</x:v>
      </x:c>
      <x:c r="L198" s="43" t="str">
        <x:v>included_studies/abramova_2023_biopsy/abramova_2023_biopsy_data_calculations.xlsx, Table1_Extract, source row 35</x:v>
      </x:c>
      <x:c r="M198" s="43" t="str">
        <x:v>2.9</x:v>
      </x:c>
      <x:c r="N198" s="43" t="str">
        <x:v>2.9</x:v>
      </x:c>
      <x:c r="O198" s="43" t="str">
        <x:v>Reported SEM; used unchanged for analysis</x:v>
      </x:c>
      <x:c r="P198" s="43" t="str">
        <x:v>included_studies/abramova_2023_biopsy/abramova_2023_biopsy_data_calculations.xlsx, Table1_Extract, source row 35</x:v>
      </x:c>
    </x:row>
    <x:row r="199">
      <x:c r="A199" s="43" t="str">
        <x:v>199</x:v>
      </x:c>
      <x:c r="B199" s="43" t="str">
        <x:v>abramova_2023_biopsy</x:v>
      </x:c>
      <x:c r="C199" s="43" t="str">
        <x:v>es198</x:v>
      </x:c>
      <x:c r="D199" s="43" t="str">
        <x:v>male</x:v>
      </x:c>
      <x:c r="E199" s="43" t="str">
        <x:v>Sucrose preference index</x:v>
      </x:c>
      <x:c r="F199" s="43" t="str">
        <x:v>Corrected transcription</x:v>
      </x:c>
      <x:c r="G199" s="43" t="str">
        <x:v>7 – Abramova 2023 identifiers and units</x:v>
      </x:c>
      <x:c r="H19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199" s="43" t="str">
        <x:v>5.8</x:v>
      </x:c>
      <x:c r="J199" s="43" t="str">
        <x:v>5.8</x:v>
      </x:c>
      <x:c r="K199" s="43" t="str">
        <x:v>Reported SEM; used unchanged for analysis</x:v>
      </x:c>
      <x:c r="L199" s="43" t="str">
        <x:v>included_studies/abramova_2023_biopsy/abramova_2023_biopsy_data_calculations.xlsx, Table1_Extract, source row 36</x:v>
      </x:c>
      <x:c r="M199" s="43" t="str">
        <x:v>4.4</x:v>
      </x:c>
      <x:c r="N199" s="43" t="str">
        <x:v>4.4</x:v>
      </x:c>
      <x:c r="O199" s="43" t="str">
        <x:v>Reported SEM; used unchanged for analysis</x:v>
      </x:c>
      <x:c r="P199" s="43" t="str">
        <x:v>included_studies/abramova_2023_biopsy/abramova_2023_biopsy_data_calculations.xlsx, Table1_Extract, source row 36</x:v>
      </x:c>
    </x:row>
    <x:row r="200">
      <x:c r="A200" s="43" t="str">
        <x:v>200</x:v>
      </x:c>
      <x:c r="B200" s="43" t="str">
        <x:v>abramova_2023_biopsy</x:v>
      </x:c>
      <x:c r="C200" s="43" t="str">
        <x:v>es199</x:v>
      </x:c>
      <x:c r="D200" s="43" t="str">
        <x:v>female</x:v>
      </x:c>
      <x:c r="E200" s="43" t="str">
        <x:v>Sucrose preference index</x:v>
      </x:c>
      <x:c r="F200" s="43" t="str">
        <x:v>Corrected transcription</x:v>
      </x:c>
      <x:c r="G200" s="43" t="str">
        <x:v>7 – Abramova 2023 identifiers and units</x:v>
      </x:c>
      <x:c r="H20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0" s="43" t="str">
        <x:v>6.7</x:v>
      </x:c>
      <x:c r="J200" s="43" t="str">
        <x:v>6.7</x:v>
      </x:c>
      <x:c r="K200" s="43" t="str">
        <x:v>Reported SEM; used unchanged for analysis</x:v>
      </x:c>
      <x:c r="L200" s="43" t="str">
        <x:v>included_studies/abramova_2023_biopsy/abramova_2023_biopsy_data_calculations.xlsx, Table1_Extract, source row 37</x:v>
      </x:c>
      <x:c r="M200" s="43" t="str">
        <x:v>4.0</x:v>
      </x:c>
      <x:c r="N200" s="43" t="str">
        <x:v>4.0</x:v>
      </x:c>
      <x:c r="O200" s="43" t="str">
        <x:v>Reported SEM; used unchanged for analysis</x:v>
      </x:c>
      <x:c r="P200" s="43" t="str">
        <x:v>included_studies/abramova_2023_biopsy/abramova_2023_biopsy_data_calculations.xlsx, Table1_Extract, source row 37</x:v>
      </x:c>
    </x:row>
    <x:row r="201">
      <x:c r="A201" s="43" t="str">
        <x:v>201</x:v>
      </x:c>
      <x:c r="B201" s="43" t="str">
        <x:v>abramova_2023_biopsy</x:v>
      </x:c>
      <x:c r="C201" s="43" t="str">
        <x:v>es200</x:v>
      </x:c>
      <x:c r="D201" s="43" t="str">
        <x:v>male</x:v>
      </x:c>
      <x:c r="E201" s="43" t="str">
        <x:v>Total immobility time</x:v>
      </x:c>
      <x:c r="F201" s="43" t="str">
        <x:v>Analysis decision required</x:v>
      </x:c>
      <x:c r="G201" s="43" t="str">
        <x:v>7 – Abramova 2023 identifiers and units</x:v>
      </x:c>
      <x:c r="H20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1" s="43" t="str"/>
      <x:c r="J201" s="43" t="str"/>
      <x:c r="K201" s="43" t="str">
        <x:v>Not calculated here: median (Q1; Q3) reported; estimation is deferred to reproducible R data wrangling</x:v>
      </x:c>
      <x:c r="L201" s="43" t="str">
        <x:v>included_studies/abramova_2023_biopsy/abramova_2023_biopsy_data_calculations.xlsx, Table1_Extract, source row 38</x:v>
      </x:c>
      <x:c r="M201" s="43" t="str"/>
      <x:c r="N201" s="43" t="str"/>
      <x:c r="O201" s="43" t="str">
        <x:v>Not calculated here: median (Q1; Q3) reported; estimation is deferred to reproducible R data wrangling</x:v>
      </x:c>
      <x:c r="P201" s="43" t="str">
        <x:v>included_studies/abramova_2023_biopsy/abramova_2023_biopsy_data_calculations.xlsx, Table1_Extract, source row 38</x:v>
      </x:c>
    </x:row>
    <x:row r="202">
      <x:c r="A202" s="43" t="str">
        <x:v>202</x:v>
      </x:c>
      <x:c r="B202" s="43" t="str">
        <x:v>abramova_2023_biopsy</x:v>
      </x:c>
      <x:c r="C202" s="43" t="str">
        <x:v>es201</x:v>
      </x:c>
      <x:c r="D202" s="43" t="str">
        <x:v>female</x:v>
      </x:c>
      <x:c r="E202" s="43" t="str">
        <x:v>Total immobility time</x:v>
      </x:c>
      <x:c r="F202" s="43" t="str">
        <x:v>Analysis decision required</x:v>
      </x:c>
      <x:c r="G202" s="43" t="str">
        <x:v>7 – Abramova 2023 identifiers and units</x:v>
      </x:c>
      <x:c r="H20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2" s="43" t="str"/>
      <x:c r="J202" s="43" t="str"/>
      <x:c r="K202" s="43" t="str">
        <x:v>Not calculated here: median (Q1; Q3) reported; estimation is deferred to reproducible R data wrangling</x:v>
      </x:c>
      <x:c r="L202" s="43" t="str">
        <x:v>included_studies/abramova_2023_biopsy/abramova_2023_biopsy_data_calculations.xlsx, Table1_Extract, source row 39</x:v>
      </x:c>
      <x:c r="M202" s="43" t="str"/>
      <x:c r="N202" s="43" t="str"/>
      <x:c r="O202" s="43" t="str">
        <x:v>Not calculated here: median (Q1; Q3) reported; estimation is deferred to reproducible R data wrangling</x:v>
      </x:c>
      <x:c r="P202" s="43" t="str">
        <x:v>included_studies/abramova_2023_biopsy/abramova_2023_biopsy_data_calculations.xlsx, Table1_Extract, source row 39</x:v>
      </x:c>
    </x:row>
    <x:row r="203">
      <x:c r="A203" s="43" t="str">
        <x:v>203</x:v>
      </x:c>
      <x:c r="B203" s="43" t="str">
        <x:v>abramova_2023_biopsy</x:v>
      </x:c>
      <x:c r="C203" s="43" t="str">
        <x:v>es202</x:v>
      </x:c>
      <x:c r="D203" s="43" t="str">
        <x:v>male</x:v>
      </x:c>
      <x:c r="E203" s="43" t="str">
        <x:v>Total passive swimming</x:v>
      </x:c>
      <x:c r="F203" s="43" t="str">
        <x:v>Corrected transcription</x:v>
      </x:c>
      <x:c r="G203" s="43" t="str">
        <x:v>7 – Abramova 2023 identifiers and units</x:v>
      </x:c>
      <x:c r="H20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3" s="43" t="str">
        <x:v>13.0</x:v>
      </x:c>
      <x:c r="J203" s="43" t="str">
        <x:v>13.0</x:v>
      </x:c>
      <x:c r="K203" s="43" t="str">
        <x:v>Reported SEM; used unchanged for analysis</x:v>
      </x:c>
      <x:c r="L203" s="43" t="str">
        <x:v>included_studies/abramova_2023_biopsy/abramova_2023_biopsy_data_calculations.xlsx, Table1_Extract, source row 40</x:v>
      </x:c>
      <x:c r="M203" s="43" t="str">
        <x:v>11.0</x:v>
      </x:c>
      <x:c r="N203" s="43" t="str">
        <x:v>11.0</x:v>
      </x:c>
      <x:c r="O203" s="43" t="str">
        <x:v>Reported SEM; used unchanged for analysis</x:v>
      </x:c>
      <x:c r="P203" s="43" t="str">
        <x:v>included_studies/abramova_2023_biopsy/abramova_2023_biopsy_data_calculations.xlsx, Table1_Extract, source row 40</x:v>
      </x:c>
    </x:row>
    <x:row r="204">
      <x:c r="A204" s="43" t="str">
        <x:v>204</x:v>
      </x:c>
      <x:c r="B204" s="43" t="str">
        <x:v>abramova_2023_biopsy</x:v>
      </x:c>
      <x:c r="C204" s="43" t="str">
        <x:v>es203</x:v>
      </x:c>
      <x:c r="D204" s="43" t="str">
        <x:v>female</x:v>
      </x:c>
      <x:c r="E204" s="43" t="str">
        <x:v>Total passive swimming</x:v>
      </x:c>
      <x:c r="F204" s="43" t="str">
        <x:v>Corrected transcription</x:v>
      </x:c>
      <x:c r="G204" s="43" t="str">
        <x:v>7 – Abramova 2023 identifiers and units</x:v>
      </x:c>
      <x:c r="H20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4" s="43" t="str">
        <x:v>26.0</x:v>
      </x:c>
      <x:c r="J204" s="43" t="str">
        <x:v>26.0</x:v>
      </x:c>
      <x:c r="K204" s="43" t="str">
        <x:v>Reported SEM; used unchanged for analysis</x:v>
      </x:c>
      <x:c r="L204" s="43" t="str">
        <x:v>included_studies/abramova_2023_biopsy/abramova_2023_biopsy_data_calculations.xlsx, Table1_Extract, source row 41</x:v>
      </x:c>
      <x:c r="M204" s="43" t="str">
        <x:v>8.0</x:v>
      </x:c>
      <x:c r="N204" s="43" t="str">
        <x:v>8.0</x:v>
      </x:c>
      <x:c r="O204" s="43" t="str">
        <x:v>Reported SEM; used unchanged for analysis</x:v>
      </x:c>
      <x:c r="P204" s="43" t="str">
        <x:v>included_studies/abramova_2023_biopsy/abramova_2023_biopsy_data_calculations.xlsx, Table1_Extract, source row 41</x:v>
      </x:c>
    </x:row>
    <x:row r="205">
      <x:c r="A205" s="43" t="str">
        <x:v>205</x:v>
      </x:c>
      <x:c r="B205" s="43" t="str">
        <x:v>abramova_2023_biopsy</x:v>
      </x:c>
      <x:c r="C205" s="43" t="str">
        <x:v>es204</x:v>
      </x:c>
      <x:c r="D205" s="43" t="str">
        <x:v>male</x:v>
      </x:c>
      <x:c r="E205" s="43" t="str">
        <x:v>Total active swimming</x:v>
      </x:c>
      <x:c r="F205" s="43" t="str">
        <x:v>Corrected transcription</x:v>
      </x:c>
      <x:c r="G205" s="43" t="str">
        <x:v>7 – Abramova 2023 identifiers and units</x:v>
      </x:c>
      <x:c r="H20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5" s="43" t="str">
        <x:v>7.0</x:v>
      </x:c>
      <x:c r="J205" s="43" t="str">
        <x:v>7.0</x:v>
      </x:c>
      <x:c r="K205" s="43" t="str">
        <x:v>Reported SEM; used unchanged for analysis</x:v>
      </x:c>
      <x:c r="L205" s="43" t="str">
        <x:v>included_studies/abramova_2023_biopsy/abramova_2023_biopsy_data_calculations.xlsx, Table1_Extract, source row 42</x:v>
      </x:c>
      <x:c r="M205" s="43" t="str">
        <x:v>5.0</x:v>
      </x:c>
      <x:c r="N205" s="43" t="str">
        <x:v>5.0</x:v>
      </x:c>
      <x:c r="O205" s="43" t="str">
        <x:v>Reported SEM; used unchanged for analysis</x:v>
      </x:c>
      <x:c r="P205" s="43" t="str">
        <x:v>included_studies/abramova_2023_biopsy/abramova_2023_biopsy_data_calculations.xlsx, Table1_Extract, source row 42</x:v>
      </x:c>
    </x:row>
    <x:row r="206">
      <x:c r="A206" s="43" t="str">
        <x:v>206</x:v>
      </x:c>
      <x:c r="B206" s="43" t="str">
        <x:v>abramova_2023_biopsy</x:v>
      </x:c>
      <x:c r="C206" s="43" t="str">
        <x:v>es205</x:v>
      </x:c>
      <x:c r="D206" s="43" t="str">
        <x:v>female</x:v>
      </x:c>
      <x:c r="E206" s="43" t="str">
        <x:v>Total active swimming</x:v>
      </x:c>
      <x:c r="F206" s="43" t="str">
        <x:v>Corrected transcription</x:v>
      </x:c>
      <x:c r="G206" s="43" t="str">
        <x:v>7 – Abramova 2023 identifiers and units</x:v>
      </x:c>
      <x:c r="H20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c r="I206" s="43" t="str">
        <x:v>8.0</x:v>
      </x:c>
      <x:c r="J206" s="43" t="str">
        <x:v>8.0</x:v>
      </x:c>
      <x:c r="K206" s="43" t="str">
        <x:v>Reported SEM; used unchanged for analysis</x:v>
      </x:c>
      <x:c r="L206" s="43" t="str">
        <x:v>included_studies/abramova_2023_biopsy/abramova_2023_biopsy_data_calculations.xlsx, Table1_Extract, source row 43</x:v>
      </x:c>
      <x:c r="M206" s="43" t="str">
        <x:v>7.0</x:v>
      </x:c>
      <x:c r="N206" s="43" t="str">
        <x:v>7.0</x:v>
      </x:c>
      <x:c r="O206" s="43" t="str">
        <x:v>Reported SEM; used unchanged for analysis</x:v>
      </x:c>
      <x:c r="P206" s="43" t="str">
        <x:v>included_studies/abramova_2023_biopsy/abramova_2023_biopsy_data_calculations.xlsx, Table1_Extract, source row 43</x:v>
      </x:c>
    </x:row>
    <x:row r="207">
      <x:c r="A207" s="43" t="str">
        <x:v>207</x:v>
      </x:c>
      <x:c r="B207" s="43" t="str">
        <x:v>abramova_2023_biopsy</x:v>
      </x:c>
      <x:c r="C207" s="43" t="str">
        <x:v>es206</x:v>
      </x:c>
      <x:c r="D207" s="43" t="str">
        <x:v>male</x:v>
      </x:c>
      <x:c r="E207" s="43" t="str">
        <x:v>Number of dives</x:v>
      </x:c>
      <x:c r="F207" s="43" t="str">
        <x:v>Analysis decision required</x:v>
      </x:c>
      <x:c r="G207" s="43" t="str">
        <x:v>7 – Abramova 2023 identifiers and units</x:v>
      </x:c>
      <x:c r="H20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7" s="43" t="str"/>
      <x:c r="J207" s="43" t="str"/>
      <x:c r="K207" s="43" t="str">
        <x:v>Not calculated here: median (Q1; Q3) reported; estimation is deferred to reproducible R data wrangling</x:v>
      </x:c>
      <x:c r="L207" s="43" t="str">
        <x:v>included_studies/abramova_2023_biopsy/abramova_2023_biopsy_data_calculations.xlsx, Table1_Extract, source row 44</x:v>
      </x:c>
      <x:c r="M207" s="43" t="str"/>
      <x:c r="N207" s="43" t="str"/>
      <x:c r="O207" s="43" t="str">
        <x:v>Not calculated here: median (Q1; Q3) reported; estimation is deferred to reproducible R data wrangling</x:v>
      </x:c>
      <x:c r="P207" s="43" t="str">
        <x:v>included_studies/abramova_2023_biopsy/abramova_2023_biopsy_data_calculations.xlsx, Table1_Extract, source row 44</x:v>
      </x:c>
    </x:row>
    <x:row r="208">
      <x:c r="A208" s="44" t="str">
        <x:v>208</x:v>
      </x:c>
      <x:c r="B208" s="44" t="str">
        <x:v>abramova_2023_biopsy</x:v>
      </x:c>
      <x:c r="C208" s="44" t="str">
        <x:v>es207</x:v>
      </x:c>
      <x:c r="D208" s="44" t="str">
        <x:v>female</x:v>
      </x:c>
      <x:c r="E208" s="44" t="str">
        <x:v>Number of dives</x:v>
      </x:c>
      <x:c r="F208" s="44" t="str">
        <x:v>Analysis decision required</x:v>
      </x:c>
      <x:c r="G208" s="44" t="str">
        <x:v>7 – Abramova 2023 identifiers and units</x:v>
      </x:c>
      <x:c r="H208" s="44"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c r="I208" s="44" t="str"/>
      <x:c r="J208" s="44" t="str"/>
      <x:c r="K208" s="44" t="str">
        <x:v>Not calculated here: median (Q1; Q3) reported; estimation is deferred to reproducible R data wrangling</x:v>
      </x:c>
      <x:c r="L208" s="44" t="str">
        <x:v>included_studies/abramova_2023_biopsy/abramova_2023_biopsy_data_calculations.xlsx, Table1_Extract, source row 45</x:v>
      </x:c>
      <x:c r="M208" s="44" t="str"/>
      <x:c r="N208" s="44" t="str"/>
      <x:c r="O208" s="44" t="str">
        <x:v>Not calculated here: median (Q1; Q3) reported; estimation is deferred to reproducible R data wrangling</x:v>
      </x:c>
      <x:c r="P208" s="44" t="str">
        <x:v>included_studies/abramova_2023_biopsy/abramova_2023_biopsy_data_calculations.xlsx, Table1_Extract, source row 45</x:v>
      </x:c>
    </x:row>
  </x:sheetData>
  <x:conditionalFormatting sqref="F2:F208">
    <x:cfRule type="containsText" dxfId="10" priority="1" operator="containsText" text="Verified"/>
    <x:cfRule type="containsText" dxfId="11" priority="2" operator="containsText" text="Corrected transcription"/>
    <x:cfRule type="containsText" dxfId="12" priority="3" operator="containsText" text="Corrected derived value"/>
    <x:cfRule type="containsText" dxfId="13" priority="4" operator="containsText" text="Analysis decision required"/>
    <x:cfRule type="containsText" dxfId="14" priority="5" operator="containsText" text="Source needed"/>
  </x:conditionalFormatting>
  <x:pageMargins left="0.7" right="0.7" top="0.75" bottom="0.75" header="0.3" footer="0.3"/>
  <x:tableParts count="1">
    <x:tablePart xmlns:r="http://schemas.openxmlformats.org/officeDocument/2006/relationships" r:id="Rb1925de1ec104b2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1 – Uygur 2011 outcome units</x:v>
      </x:c>
      <x:c r="B2" s="42" t="str">
        <x:v>uygur_2011_ankarauniv</x:v>
      </x:c>
      <x:c r="C2" s="42" t="str">
        <x:v>es068</x:v>
      </x:c>
      <x:c r="D2" s="42" t="str">
        <x:v>69</x:v>
      </x:c>
      <x:c r="E2" s="42" t="str">
        <x:v>data_type</x:v>
      </x:c>
      <x:c r="F2" s="42" t="str">
        <x:v>Count</x:v>
      </x:c>
      <x:c r="G2" s="42" t="str">
        <x:v>Time</x:v>
      </x:c>
      <x:c r="H2" s="42" t="str">
        <x:v>Corrected transcription</x:v>
      </x:c>
      <x:c r="I2" s="42" t="str">
        <x:v>included_studies/uygur_2011_ankarauniv.pdf, Methods and Table 2</x:v>
      </x:c>
      <x:c r="J2" s="42" t="str">
        <x:v>The paper reports total time spent in diving or jumping, not event counts.</x:v>
      </x:c>
    </x:row>
    <x:row r="3">
      <x:c r="A3" s="43" t="str">
        <x:v>1 – Uygur 2011 outcome units</x:v>
      </x:c>
      <x:c r="B3" s="43" t="str">
        <x:v>uygur_2011_ankarauniv</x:v>
      </x:c>
      <x:c r="C3" s="43" t="str">
        <x:v>es068</x:v>
      </x:c>
      <x:c r="D3" s="43" t="str">
        <x:v>69</x:v>
      </x:c>
      <x:c r="E3" s="43" t="str">
        <x:v>data_units</x:v>
      </x:c>
      <x:c r="F3" s="43" t="str">
        <x:v>Count</x:v>
      </x:c>
      <x:c r="G3" s="43" t="str">
        <x:v>s</x:v>
      </x:c>
      <x:c r="H3" s="43" t="str">
        <x:v>Corrected transcription</x:v>
      </x:c>
      <x:c r="I3" s="43" t="str">
        <x:v>included_studies/uygur_2011_ankarauniv.pdf, Methods and Table 2</x:v>
      </x:c>
      <x:c r="J3" s="43" t="str">
        <x:v>The outcome is a duration in seconds.</x:v>
      </x:c>
    </x:row>
    <x:row r="4">
      <x:c r="A4" s="43" t="str">
        <x:v>1 – Uygur 2011 outcome units</x:v>
      </x:c>
      <x:c r="B4" s="43" t="str">
        <x:v>uygur_2011_ankarauniv</x:v>
      </x:c>
      <x:c r="C4" s="43" t="str">
        <x:v>es069</x:v>
      </x:c>
      <x:c r="D4" s="43" t="str">
        <x:v>70</x:v>
      </x:c>
      <x:c r="E4" s="43" t="str">
        <x:v>data_type</x:v>
      </x:c>
      <x:c r="F4" s="43" t="str">
        <x:v>Count</x:v>
      </x:c>
      <x:c r="G4" s="43" t="str">
        <x:v>Time</x:v>
      </x:c>
      <x:c r="H4" s="43" t="str">
        <x:v>Corrected transcription</x:v>
      </x:c>
      <x:c r="I4" s="43" t="str">
        <x:v>included_studies/uygur_2011_ankarauniv.pdf, Methods and Table 2</x:v>
      </x:c>
      <x:c r="J4" s="43" t="str">
        <x:v>The paper reports total time spent in diving or jumping, not event counts.</x:v>
      </x:c>
    </x:row>
    <x:row r="5">
      <x:c r="A5" s="43" t="str">
        <x:v>1 – Uygur 2011 outcome units</x:v>
      </x:c>
      <x:c r="B5" s="43" t="str">
        <x:v>uygur_2011_ankarauniv</x:v>
      </x:c>
      <x:c r="C5" s="43" t="str">
        <x:v>es069</x:v>
      </x:c>
      <x:c r="D5" s="43" t="str">
        <x:v>70</x:v>
      </x:c>
      <x:c r="E5" s="43" t="str">
        <x:v>data_units</x:v>
      </x:c>
      <x:c r="F5" s="43" t="str">
        <x:v>Count</x:v>
      </x:c>
      <x:c r="G5" s="43" t="str">
        <x:v>s</x:v>
      </x:c>
      <x:c r="H5" s="43" t="str">
        <x:v>Corrected transcription</x:v>
      </x:c>
      <x:c r="I5" s="43" t="str">
        <x:v>included_studies/uygur_2011_ankarauniv.pdf, Methods and Table 2</x:v>
      </x:c>
      <x:c r="J5" s="43" t="str">
        <x:v>The outcome is a duration in seconds.</x:v>
      </x:c>
    </x:row>
    <x:row r="6">
      <x:c r="A6" s="43" t="str">
        <x:v>1 – Uygur 2011 outcome units</x:v>
      </x:c>
      <x:c r="B6" s="43" t="str">
        <x:v>uygur_2011_ankarauniv</x:v>
      </x:c>
      <x:c r="C6" s="43" t="str">
        <x:v>es070</x:v>
      </x:c>
      <x:c r="D6" s="43" t="str">
        <x:v>71</x:v>
      </x:c>
      <x:c r="E6" s="43" t="str">
        <x:v>data_type</x:v>
      </x:c>
      <x:c r="F6" s="43" t="str">
        <x:v>Count</x:v>
      </x:c>
      <x:c r="G6" s="43" t="str">
        <x:v>Time</x:v>
      </x:c>
      <x:c r="H6" s="43" t="str">
        <x:v>Corrected transcription</x:v>
      </x:c>
      <x:c r="I6" s="43" t="str">
        <x:v>included_studies/uygur_2011_ankarauniv.pdf, Methods and Table 2</x:v>
      </x:c>
      <x:c r="J6" s="43" t="str">
        <x:v>The paper reports total time spent in diving or jumping, not event counts.</x:v>
      </x:c>
    </x:row>
    <x:row r="7">
      <x:c r="A7" s="43" t="str">
        <x:v>1 – Uygur 2011 outcome units</x:v>
      </x:c>
      <x:c r="B7" s="43" t="str">
        <x:v>uygur_2011_ankarauniv</x:v>
      </x:c>
      <x:c r="C7" s="43" t="str">
        <x:v>es070</x:v>
      </x:c>
      <x:c r="D7" s="43" t="str">
        <x:v>71</x:v>
      </x:c>
      <x:c r="E7" s="43" t="str">
        <x:v>data_units</x:v>
      </x:c>
      <x:c r="F7" s="43" t="str">
        <x:v>Count</x:v>
      </x:c>
      <x:c r="G7" s="43" t="str">
        <x:v>s</x:v>
      </x:c>
      <x:c r="H7" s="43" t="str">
        <x:v>Corrected transcription</x:v>
      </x:c>
      <x:c r="I7" s="43" t="str">
        <x:v>included_studies/uygur_2011_ankarauniv.pdf, Methods and Table 2</x:v>
      </x:c>
      <x:c r="J7" s="43" t="str">
        <x:v>The outcome is a duration in seconds.</x:v>
      </x:c>
    </x:row>
    <x:row r="8">
      <x:c r="A8" s="43" t="str">
        <x:v>1 – Uygur 2011 outcome units</x:v>
      </x:c>
      <x:c r="B8" s="43" t="str">
        <x:v>uygur_2011_ankarauniv</x:v>
      </x:c>
      <x:c r="C8" s="43" t="str">
        <x:v>es071</x:v>
      </x:c>
      <x:c r="D8" s="43" t="str">
        <x:v>72</x:v>
      </x:c>
      <x:c r="E8" s="43" t="str">
        <x:v>data_type</x:v>
      </x:c>
      <x:c r="F8" s="43" t="str">
        <x:v>Count</x:v>
      </x:c>
      <x:c r="G8" s="43" t="str">
        <x:v>Time</x:v>
      </x:c>
      <x:c r="H8" s="43" t="str">
        <x:v>Corrected transcription</x:v>
      </x:c>
      <x:c r="I8" s="43" t="str">
        <x:v>included_studies/uygur_2011_ankarauniv.pdf, Methods and Table 2</x:v>
      </x:c>
      <x:c r="J8" s="43" t="str">
        <x:v>The paper reports total time spent in diving or jumping, not event counts.</x:v>
      </x:c>
    </x:row>
    <x:row r="9">
      <x:c r="A9" s="43" t="str">
        <x:v>1 – Uygur 2011 outcome units</x:v>
      </x:c>
      <x:c r="B9" s="43" t="str">
        <x:v>uygur_2011_ankarauniv</x:v>
      </x:c>
      <x:c r="C9" s="43" t="str">
        <x:v>es071</x:v>
      </x:c>
      <x:c r="D9" s="43" t="str">
        <x:v>72</x:v>
      </x:c>
      <x:c r="E9" s="43" t="str">
        <x:v>data_units</x:v>
      </x:c>
      <x:c r="F9" s="43" t="str">
        <x:v>Count</x:v>
      </x:c>
      <x:c r="G9" s="43" t="str">
        <x:v>s</x:v>
      </x:c>
      <x:c r="H9" s="43" t="str">
        <x:v>Corrected transcription</x:v>
      </x:c>
      <x:c r="I9" s="43" t="str">
        <x:v>included_studies/uygur_2011_ankarauniv.pdf, Methods and Table 2</x:v>
      </x:c>
      <x:c r="J9" s="43" t="str">
        <x:v>The outcome is a duration in seconds.</x:v>
      </x:c>
    </x:row>
    <x:row r="10">
      <x:c r="A10" s="43" t="str">
        <x:v>2 – Uygur 2010 exposure and sample sizes</x:v>
      </x:c>
      <x:c r="B10" s="43" t="str">
        <x:v>uygur_2010_aphyhun</x:v>
      </x:c>
      <x:c r="C10" s="43" t="str">
        <x:v>es001</x:v>
      </x:c>
      <x:c r="D10" s="43" t="str">
        <x:v>2</x:v>
      </x:c>
      <x:c r="E10" s="43" t="str">
        <x:v>c_n</x:v>
      </x:c>
      <x:c r="F10" s="43" t="str">
        <x:v>9</x:v>
      </x:c>
      <x:c r="G10" s="43" t="str">
        <x:v>10</x:v>
      </x:c>
      <x:c r="H10" s="43" t="str">
        <x:v>Corrected transcription</x:v>
      </x:c>
      <x:c r="I10" s="43" t="str">
        <x:v>included_studies/uygur_2010_aphyhun.pdf, Methods and Table II</x:v>
      </x:c>
      <x:c r="J10" s="43" t="str">
        <x:v>Table II identifies the control group as CON, n=10.</x:v>
      </x:c>
    </x:row>
    <x:row r="11">
      <x:c r="A11" s="43" t="str">
        <x:v>2 – Uygur 2010 exposure and sample sizes</x:v>
      </x:c>
      <x:c r="B11" s="43" t="str">
        <x:v>uygur_2010_aphyhun</x:v>
      </x:c>
      <x:c r="C11" s="43" t="str">
        <x:v>es001</x:v>
      </x:c>
      <x:c r="D11" s="43" t="str">
        <x:v>2</x:v>
      </x:c>
      <x:c r="E11" s="43" t="str">
        <x:v>ex_n</x:v>
      </x:c>
      <x:c r="F11" s="43" t="str">
        <x:v>10</x:v>
      </x:c>
      <x:c r="G11" s="43" t="str">
        <x:v>9</x:v>
      </x:c>
      <x:c r="H11" s="43" t="str">
        <x:v>Corrected transcription</x:v>
      </x:c>
      <x:c r="I11" s="43" t="str">
        <x:v>included_studies/uygur_2010_aphyhun.pdf, Methods and Table II</x:v>
      </x:c>
      <x:c r="J11" s="43" t="str">
        <x:v>Table II identifies the prenatal-stress group as PSN, n=9.</x:v>
      </x:c>
    </x:row>
    <x:row r="12">
      <x:c r="A12" s="43" t="str">
        <x:v>2 – Uygur 2010 exposure and sample sizes</x:v>
      </x:c>
      <x:c r="B12" s="43" t="str">
        <x:v>uygur_2010_aphyhun</x:v>
      </x:c>
      <x:c r="C12" s="43" t="str">
        <x:v>es001</x:v>
      </x:c>
      <x:c r="D12" s="43" t="str">
        <x:v>2</x:v>
      </x:c>
      <x:c r="E12" s="43" t="str">
        <x:v>exposure_session_duration_h</x:v>
      </x:c>
      <x:c r="F12" s="43" t="str">
        <x:v>0.66</x:v>
      </x:c>
      <x:c r="G12" s="43" t="str">
        <x:v>0.75</x:v>
      </x:c>
      <x:c r="H12" s="43" t="str">
        <x:v>Corrected transcription</x:v>
      </x:c>
      <x:c r="I12" s="43" t="str">
        <x:v>included_studies/uygur_2010_aphyhun.pdf, Methods and Table II</x:v>
      </x:c>
      <x:c r="J12" s="43" t="str">
        <x:v>The paper reports 45 minutes per day; 45/60 = 0.75 hours.</x:v>
      </x:c>
    </x:row>
    <x:row r="13">
      <x:c r="A13" s="43" t="str">
        <x:v>2 – Uygur 2010 exposure and sample sizes</x:v>
      </x:c>
      <x:c r="B13" s="43" t="str">
        <x:v>uygur_2010_aphyhun</x:v>
      </x:c>
      <x:c r="C13" s="43" t="str">
        <x:v>es002</x:v>
      </x:c>
      <x:c r="D13" s="43" t="str">
        <x:v>3</x:v>
      </x:c>
      <x:c r="E13" s="43" t="str">
        <x:v>c_n</x:v>
      </x:c>
      <x:c r="F13" s="43" t="str">
        <x:v>9</x:v>
      </x:c>
      <x:c r="G13" s="43" t="str">
        <x:v>10</x:v>
      </x:c>
      <x:c r="H13" s="43" t="str">
        <x:v>Corrected transcription</x:v>
      </x:c>
      <x:c r="I13" s="43" t="str">
        <x:v>included_studies/uygur_2010_aphyhun.pdf, Methods and Table II</x:v>
      </x:c>
      <x:c r="J13" s="43" t="str">
        <x:v>Table II identifies the control group as CON, n=10.</x:v>
      </x:c>
    </x:row>
    <x:row r="14">
      <x:c r="A14" s="43" t="str">
        <x:v>2 – Uygur 2010 exposure and sample sizes</x:v>
      </x:c>
      <x:c r="B14" s="43" t="str">
        <x:v>uygur_2010_aphyhun</x:v>
      </x:c>
      <x:c r="C14" s="43" t="str">
        <x:v>es002</x:v>
      </x:c>
      <x:c r="D14" s="43" t="str">
        <x:v>3</x:v>
      </x:c>
      <x:c r="E14" s="43" t="str">
        <x:v>ex_n</x:v>
      </x:c>
      <x:c r="F14" s="43" t="str">
        <x:v>10</x:v>
      </x:c>
      <x:c r="G14" s="43" t="str">
        <x:v>9</x:v>
      </x:c>
      <x:c r="H14" s="43" t="str">
        <x:v>Corrected transcription</x:v>
      </x:c>
      <x:c r="I14" s="43" t="str">
        <x:v>included_studies/uygur_2010_aphyhun.pdf, Methods and Table II</x:v>
      </x:c>
      <x:c r="J14" s="43" t="str">
        <x:v>Table II identifies the prenatal-stress group as PSN, n=9.</x:v>
      </x:c>
    </x:row>
    <x:row r="15">
      <x:c r="A15" s="43" t="str">
        <x:v>2 – Uygur 2010 exposure and sample sizes</x:v>
      </x:c>
      <x:c r="B15" s="43" t="str">
        <x:v>uygur_2010_aphyhun</x:v>
      </x:c>
      <x:c r="C15" s="43" t="str">
        <x:v>es002</x:v>
      </x:c>
      <x:c r="D15" s="43" t="str">
        <x:v>3</x:v>
      </x:c>
      <x:c r="E15" s="43" t="str">
        <x:v>exposure_session_duration_h</x:v>
      </x:c>
      <x:c r="F15" s="43" t="str">
        <x:v>0.66</x:v>
      </x:c>
      <x:c r="G15" s="43" t="str">
        <x:v>0.75</x:v>
      </x:c>
      <x:c r="H15" s="43" t="str">
        <x:v>Corrected transcription</x:v>
      </x:c>
      <x:c r="I15" s="43" t="str">
        <x:v>included_studies/uygur_2010_aphyhun.pdf, Methods and Table II</x:v>
      </x:c>
      <x:c r="J15" s="43" t="str">
        <x:v>The paper reports 45 minutes per day; 45/60 = 0.75 hours.</x:v>
      </x:c>
    </x:row>
    <x:row r="16">
      <x:c r="A16" s="43" t="str">
        <x:v>2 – Uygur 2010 exposure and sample sizes</x:v>
      </x:c>
      <x:c r="B16" s="43" t="str">
        <x:v>uygur_2010_aphyhun</x:v>
      </x:c>
      <x:c r="C16" s="43" t="str">
        <x:v>es003</x:v>
      </x:c>
      <x:c r="D16" s="43" t="str">
        <x:v>4</x:v>
      </x:c>
      <x:c r="E16" s="43" t="str">
        <x:v>c_n</x:v>
      </x:c>
      <x:c r="F16" s="43" t="str">
        <x:v>9</x:v>
      </x:c>
      <x:c r="G16" s="43" t="str">
        <x:v>10</x:v>
      </x:c>
      <x:c r="H16" s="43" t="str">
        <x:v>Corrected transcription</x:v>
      </x:c>
      <x:c r="I16" s="43" t="str">
        <x:v>included_studies/uygur_2010_aphyhun.pdf, Methods and Table II</x:v>
      </x:c>
      <x:c r="J16" s="43" t="str">
        <x:v>Table II identifies the control group as CON, n=10.</x:v>
      </x:c>
    </x:row>
    <x:row r="17">
      <x:c r="A17" s="43" t="str">
        <x:v>2 – Uygur 2010 exposure and sample sizes</x:v>
      </x:c>
      <x:c r="B17" s="43" t="str">
        <x:v>uygur_2010_aphyhun</x:v>
      </x:c>
      <x:c r="C17" s="43" t="str">
        <x:v>es003</x:v>
      </x:c>
      <x:c r="D17" s="43" t="str">
        <x:v>4</x:v>
      </x:c>
      <x:c r="E17" s="43" t="str">
        <x:v>ex_n</x:v>
      </x:c>
      <x:c r="F17" s="43" t="str">
        <x:v>10</x:v>
      </x:c>
      <x:c r="G17" s="43" t="str">
        <x:v>9</x:v>
      </x:c>
      <x:c r="H17" s="43" t="str">
        <x:v>Corrected transcription</x:v>
      </x:c>
      <x:c r="I17" s="43" t="str">
        <x:v>included_studies/uygur_2010_aphyhun.pdf, Methods and Table II</x:v>
      </x:c>
      <x:c r="J17" s="43" t="str">
        <x:v>Table II identifies the prenatal-stress group as PSN, n=9.</x:v>
      </x:c>
    </x:row>
    <x:row r="18">
      <x:c r="A18" s="43" t="str">
        <x:v>2 – Uygur 2010 exposure and sample sizes</x:v>
      </x:c>
      <x:c r="B18" s="43" t="str">
        <x:v>uygur_2010_aphyhun</x:v>
      </x:c>
      <x:c r="C18" s="43" t="str">
        <x:v>es003</x:v>
      </x:c>
      <x:c r="D18" s="43" t="str">
        <x:v>4</x:v>
      </x:c>
      <x:c r="E18" s="43" t="str">
        <x:v>exposure_session_duration_h</x:v>
      </x:c>
      <x:c r="F18" s="43" t="str">
        <x:v>0.66</x:v>
      </x:c>
      <x:c r="G18" s="43" t="str">
        <x:v>0.75</x:v>
      </x:c>
      <x:c r="H18" s="43" t="str">
        <x:v>Corrected transcription</x:v>
      </x:c>
      <x:c r="I18" s="43" t="str">
        <x:v>included_studies/uygur_2010_aphyhun.pdf, Methods and Table II</x:v>
      </x:c>
      <x:c r="J18" s="43" t="str">
        <x:v>The paper reports 45 minutes per day; 45/60 = 0.75 hours.</x:v>
      </x:c>
    </x:row>
    <x:row r="19">
      <x:c r="A19" s="43" t="str">
        <x:v>3 – Arjunan 2023 acoustic exposure</x:v>
      </x:c>
      <x:c r="B19" s="43" t="str">
        <x:v>arjunan_2023_stress</x:v>
      </x:c>
      <x:c r="C19" s="43" t="str">
        <x:v>es013</x:v>
      </x:c>
      <x:c r="D19" s="43" t="str">
        <x:v>14</x:v>
      </x:c>
      <x:c r="E19" s="43" t="str">
        <x:v>frequency_Hz</x:v>
      </x:c>
      <x:c r="F19" s="43" t="str">
        <x:v>0-2,000</x:v>
      </x:c>
      <x:c r="G19" s="43" t="str">
        <x:v>0-20,000</x:v>
      </x:c>
      <x:c r="H19" s="43" t="str">
        <x:v>Corrected transcription</x:v>
      </x:c>
      <x:c r="I19" s="43" t="str">
        <x:v>included_studies/arjunan_2023_stress.pdf, Methods section 4.3</x:v>
      </x:c>
      <x:c r="J19" s="43" t="str">
        <x:v>The source states all frequencies from 0 to 20 kHz.</x:v>
      </x:c>
    </x:row>
    <x:row r="20">
      <x:c r="A20" s="43" t="str">
        <x:v>3 – Arjunan 2023 acoustic exposure</x:v>
      </x:c>
      <x:c r="B20" s="43" t="str">
        <x:v>arjunan_2023_stress</x:v>
      </x:c>
      <x:c r="C20" s="43" t="str">
        <x:v>es013</x:v>
      </x:c>
      <x:c r="D20" s="43" t="str">
        <x:v>14</x:v>
      </x:c>
      <x:c r="E20" s="43" t="str">
        <x:v>noise_type</x:v>
      </x:c>
      <x:c r="F20" s="43" t="str">
        <x:v>Ultrasound</x:v>
      </x:c>
      <x:c r="G20" s="43" t="str">
        <x:v>White noise</x:v>
      </x:c>
      <x:c r="H20" s="43" t="str">
        <x:v>Corrected transcription</x:v>
      </x:c>
      <x:c r="I20" s="43" t="str">
        <x:v>included_studies/arjunan_2023_stress.pdf, Methods section 4.3</x:v>
      </x:c>
      <x:c r="J20" s="43" t="str">
        <x:v>The source describes a white-noise generator, not ultrasound.</x:v>
      </x:c>
    </x:row>
    <x:row r="21">
      <x:c r="A21" s="43" t="str">
        <x:v>3 – Arjunan 2023 acoustic exposure</x:v>
      </x:c>
      <x:c r="B21" s="43" t="str">
        <x:v>arjunan_2023_stress</x:v>
      </x:c>
      <x:c r="C21" s="43" t="str">
        <x:v>es013</x:v>
      </x:c>
      <x:c r="D21" s="43" t="str">
        <x:v>14</x:v>
      </x:c>
      <x:c r="E21" s="43" t="str">
        <x:v>noise_type_2</x:v>
      </x:c>
      <x:c r="F21" s="43" t="str">
        <x:v>Ultrasound</x:v>
      </x:c>
      <x:c r="G21" s="43" t="str">
        <x:v>Audible</x:v>
      </x:c>
      <x:c r="H21" s="43" t="str">
        <x:v>Corrected transcription</x:v>
      </x:c>
      <x:c r="I21" s="43" t="str">
        <x:v>included_studies/arjunan_2023_stress.pdf, Methods section 4.3</x:v>
      </x:c>
      <x:c r="J21" s="43" t="str">
        <x:v>The stated range is within the audible/broadband band used in this review.</x:v>
      </x:c>
    </x:row>
    <x:row r="22">
      <x:c r="A22" s="43" t="str">
        <x:v>3 – Arjunan 2023 acoustic exposure</x:v>
      </x:c>
      <x:c r="B22" s="43" t="str">
        <x:v>arjunan_2023_stress</x:v>
      </x:c>
      <x:c r="C22" s="43" t="str">
        <x:v>es014</x:v>
      </x:c>
      <x:c r="D22" s="43" t="str">
        <x:v>15</x:v>
      </x:c>
      <x:c r="E22" s="43" t="str">
        <x:v>data_file</x:v>
      </x:c>
      <x:c r="F22" s="43" t="str">
        <x:v>arjunan_2023_stress_fig3B_per</x:v>
      </x:c>
      <x:c r="G22" s="43" t="str">
        <x:v>arjunan_2023_stress_fig3B_peri.png</x:v>
      </x:c>
      <x:c r="H22" s="43" t="str">
        <x:v>Corrected transcription</x:v>
      </x:c>
      <x:c r="I22" s="43" t="str">
        <x:v>Metadigitise_figs/arjunan_2023_stress_fig3B_peri.png</x:v>
      </x:c>
      <x:c r="J22" s="43" t="str">
        <x:v>Use the exact saved image filename for reproducibility.</x:v>
      </x:c>
    </x:row>
    <x:row r="23">
      <x:c r="A23" s="43" t="str">
        <x:v>3 – Arjunan 2023 acoustic exposure</x:v>
      </x:c>
      <x:c r="B23" s="43" t="str">
        <x:v>arjunan_2023_stress</x:v>
      </x:c>
      <x:c r="C23" s="43" t="str">
        <x:v>es014</x:v>
      </x:c>
      <x:c r="D23" s="43" t="str">
        <x:v>15</x:v>
      </x:c>
      <x:c r="E23" s="43" t="str">
        <x:v>frequency_Hz</x:v>
      </x:c>
      <x:c r="F23" s="43" t="str">
        <x:v>0-2,000</x:v>
      </x:c>
      <x:c r="G23" s="43" t="str">
        <x:v>0-20,000</x:v>
      </x:c>
      <x:c r="H23" s="43" t="str">
        <x:v>Corrected transcription</x:v>
      </x:c>
      <x:c r="I23" s="43" t="str">
        <x:v>included_studies/arjunan_2023_stress.pdf, Methods section 4.3</x:v>
      </x:c>
      <x:c r="J23" s="43" t="str">
        <x:v>The source states all frequencies from 0 to 20 kHz.</x:v>
      </x:c>
    </x:row>
    <x:row r="24">
      <x:c r="A24" s="43" t="str">
        <x:v>3 – Arjunan 2023 acoustic exposure</x:v>
      </x:c>
      <x:c r="B24" s="43" t="str">
        <x:v>arjunan_2023_stress</x:v>
      </x:c>
      <x:c r="C24" s="43" t="str">
        <x:v>es014</x:v>
      </x:c>
      <x:c r="D24" s="43" t="str">
        <x:v>15</x:v>
      </x:c>
      <x:c r="E24" s="43" t="str">
        <x:v>noise_type</x:v>
      </x:c>
      <x:c r="F24" s="43" t="str">
        <x:v>Ultrasound</x:v>
      </x:c>
      <x:c r="G24" s="43" t="str">
        <x:v>White noise</x:v>
      </x:c>
      <x:c r="H24" s="43" t="str">
        <x:v>Corrected transcription</x:v>
      </x:c>
      <x:c r="I24" s="43" t="str">
        <x:v>included_studies/arjunan_2023_stress.pdf, Methods section 4.3</x:v>
      </x:c>
      <x:c r="J24" s="43" t="str">
        <x:v>The source describes a white-noise generator, not ultrasound.</x:v>
      </x:c>
    </x:row>
    <x:row r="25">
      <x:c r="A25" s="43" t="str">
        <x:v>3 – Arjunan 2023 acoustic exposure</x:v>
      </x:c>
      <x:c r="B25" s="43" t="str">
        <x:v>arjunan_2023_stress</x:v>
      </x:c>
      <x:c r="C25" s="43" t="str">
        <x:v>es014</x:v>
      </x:c>
      <x:c r="D25" s="43" t="str">
        <x:v>15</x:v>
      </x:c>
      <x:c r="E25" s="43" t="str">
        <x:v>noise_type_2</x:v>
      </x:c>
      <x:c r="F25" s="43" t="str">
        <x:v>Ultrasound</x:v>
      </x:c>
      <x:c r="G25" s="43" t="str">
        <x:v>Audible</x:v>
      </x:c>
      <x:c r="H25" s="43" t="str">
        <x:v>Corrected transcription</x:v>
      </x:c>
      <x:c r="I25" s="43" t="str">
        <x:v>included_studies/arjunan_2023_stress.pdf, Methods section 4.3</x:v>
      </x:c>
      <x:c r="J25" s="43" t="str">
        <x:v>The stated range is within the audible/broadband band used in this review.</x:v>
      </x:c>
    </x:row>
    <x:row r="26">
      <x:c r="A26" s="43" t="str">
        <x:v>3 – Arjunan 2023 acoustic exposure</x:v>
      </x:c>
      <x:c r="B26" s="43" t="str">
        <x:v>arjunan_2023_stress</x:v>
      </x:c>
      <x:c r="C26" s="43" t="str">
        <x:v>es015</x:v>
      </x:c>
      <x:c r="D26" s="43" t="str">
        <x:v>16</x:v>
      </x:c>
      <x:c r="E26" s="43" t="str">
        <x:v>frequency_Hz</x:v>
      </x:c>
      <x:c r="F26" s="43" t="str">
        <x:v>0-2,000</x:v>
      </x:c>
      <x:c r="G26" s="43" t="str">
        <x:v>0-20,000</x:v>
      </x:c>
      <x:c r="H26" s="43" t="str">
        <x:v>Corrected transcription</x:v>
      </x:c>
      <x:c r="I26" s="43" t="str">
        <x:v>included_studies/arjunan_2023_stress.pdf, Methods section 4.3</x:v>
      </x:c>
      <x:c r="J26" s="43" t="str">
        <x:v>The source states all frequencies from 0 to 20 kHz.</x:v>
      </x:c>
    </x:row>
    <x:row r="27">
      <x:c r="A27" s="43" t="str">
        <x:v>3 – Arjunan 2023 acoustic exposure</x:v>
      </x:c>
      <x:c r="B27" s="43" t="str">
        <x:v>arjunan_2023_stress</x:v>
      </x:c>
      <x:c r="C27" s="43" t="str">
        <x:v>es015</x:v>
      </x:c>
      <x:c r="D27" s="43" t="str">
        <x:v>16</x:v>
      </x:c>
      <x:c r="E27" s="43" t="str">
        <x:v>noise_type</x:v>
      </x:c>
      <x:c r="F27" s="43" t="str">
        <x:v>Ultrasound</x:v>
      </x:c>
      <x:c r="G27" s="43" t="str">
        <x:v>White noise</x:v>
      </x:c>
      <x:c r="H27" s="43" t="str">
        <x:v>Corrected transcription</x:v>
      </x:c>
      <x:c r="I27" s="43" t="str">
        <x:v>included_studies/arjunan_2023_stress.pdf, Methods section 4.3</x:v>
      </x:c>
      <x:c r="J27" s="43" t="str">
        <x:v>The source describes a white-noise generator, not ultrasound.</x:v>
      </x:c>
    </x:row>
    <x:row r="28">
      <x:c r="A28" s="43" t="str">
        <x:v>3 – Arjunan 2023 acoustic exposure</x:v>
      </x:c>
      <x:c r="B28" s="43" t="str">
        <x:v>arjunan_2023_stress</x:v>
      </x:c>
      <x:c r="C28" s="43" t="str">
        <x:v>es015</x:v>
      </x:c>
      <x:c r="D28" s="43" t="str">
        <x:v>16</x:v>
      </x:c>
      <x:c r="E28" s="43" t="str">
        <x:v>noise_type_2</x:v>
      </x:c>
      <x:c r="F28" s="43" t="str">
        <x:v>Ultrasound</x:v>
      </x:c>
      <x:c r="G28" s="43" t="str">
        <x:v>Audible</x:v>
      </x:c>
      <x:c r="H28" s="43" t="str">
        <x:v>Corrected transcription</x:v>
      </x:c>
      <x:c r="I28" s="43" t="str">
        <x:v>included_studies/arjunan_2023_stress.pdf, Methods section 4.3</x:v>
      </x:c>
      <x:c r="J28" s="43" t="str">
        <x:v>The stated range is within the audible/broadband band used in this review.</x:v>
      </x:c>
    </x:row>
    <x:row r="29">
      <x:c r="A29" s="43" t="str">
        <x:v>3 – Arjunan 2023 acoustic exposure</x:v>
      </x:c>
      <x:c r="B29" s="43" t="str">
        <x:v>arjunan_2023_stress</x:v>
      </x:c>
      <x:c r="C29" s="43" t="str">
        <x:v>es016</x:v>
      </x:c>
      <x:c r="D29" s="43" t="str">
        <x:v>17</x:v>
      </x:c>
      <x:c r="E29" s="43" t="str">
        <x:v>data_file</x:v>
      </x:c>
      <x:c r="F29" s="43" t="str">
        <x:v>arjunan_2023_stress_fig3B_per</x:v>
      </x:c>
      <x:c r="G29" s="43" t="str">
        <x:v>arjunan_2023_stress_fig3B_peri.png</x:v>
      </x:c>
      <x:c r="H29" s="43" t="str">
        <x:v>Corrected transcription</x:v>
      </x:c>
      <x:c r="I29" s="43" t="str">
        <x:v>Metadigitise_figs/arjunan_2023_stress_fig3B_peri.png</x:v>
      </x:c>
      <x:c r="J29" s="43" t="str">
        <x:v>Use the exact saved image filename for reproducibility.</x:v>
      </x:c>
    </x:row>
    <x:row r="30">
      <x:c r="A30" s="43" t="str">
        <x:v>3 – Arjunan 2023 acoustic exposure</x:v>
      </x:c>
      <x:c r="B30" s="43" t="str">
        <x:v>arjunan_2023_stress</x:v>
      </x:c>
      <x:c r="C30" s="43" t="str">
        <x:v>es016</x:v>
      </x:c>
      <x:c r="D30" s="43" t="str">
        <x:v>17</x:v>
      </x:c>
      <x:c r="E30" s="43" t="str">
        <x:v>frequency_Hz</x:v>
      </x:c>
      <x:c r="F30" s="43" t="str">
        <x:v>0-2,000</x:v>
      </x:c>
      <x:c r="G30" s="43" t="str">
        <x:v>0-20,000</x:v>
      </x:c>
      <x:c r="H30" s="43" t="str">
        <x:v>Corrected transcription</x:v>
      </x:c>
      <x:c r="I30" s="43" t="str">
        <x:v>included_studies/arjunan_2023_stress.pdf, Methods section 4.3</x:v>
      </x:c>
      <x:c r="J30" s="43" t="str">
        <x:v>The source states all frequencies from 0 to 20 kHz.</x:v>
      </x:c>
    </x:row>
    <x:row r="31">
      <x:c r="A31" s="43" t="str">
        <x:v>3 – Arjunan 2023 acoustic exposure</x:v>
      </x:c>
      <x:c r="B31" s="43" t="str">
        <x:v>arjunan_2023_stress</x:v>
      </x:c>
      <x:c r="C31" s="43" t="str">
        <x:v>es016</x:v>
      </x:c>
      <x:c r="D31" s="43" t="str">
        <x:v>17</x:v>
      </x:c>
      <x:c r="E31" s="43" t="str">
        <x:v>noise_type</x:v>
      </x:c>
      <x:c r="F31" s="43" t="str">
        <x:v>Ultrasound</x:v>
      </x:c>
      <x:c r="G31" s="43" t="str">
        <x:v>White noise</x:v>
      </x:c>
      <x:c r="H31" s="43" t="str">
        <x:v>Corrected transcription</x:v>
      </x:c>
      <x:c r="I31" s="43" t="str">
        <x:v>included_studies/arjunan_2023_stress.pdf, Methods section 4.3</x:v>
      </x:c>
      <x:c r="J31" s="43" t="str">
        <x:v>The source describes a white-noise generator, not ultrasound.</x:v>
      </x:c>
    </x:row>
    <x:row r="32">
      <x:c r="A32" s="43" t="str">
        <x:v>3 – Arjunan 2023 acoustic exposure</x:v>
      </x:c>
      <x:c r="B32" s="43" t="str">
        <x:v>arjunan_2023_stress</x:v>
      </x:c>
      <x:c r="C32" s="43" t="str">
        <x:v>es016</x:v>
      </x:c>
      <x:c r="D32" s="43" t="str">
        <x:v>17</x:v>
      </x:c>
      <x:c r="E32" s="43" t="str">
        <x:v>noise_type_2</x:v>
      </x:c>
      <x:c r="F32" s="43" t="str">
        <x:v>Ultrasound</x:v>
      </x:c>
      <x:c r="G32" s="43" t="str">
        <x:v>Audible</x:v>
      </x:c>
      <x:c r="H32" s="43" t="str">
        <x:v>Corrected transcription</x:v>
      </x:c>
      <x:c r="I32" s="43" t="str">
        <x:v>included_studies/arjunan_2023_stress.pdf, Methods section 4.3</x:v>
      </x:c>
      <x:c r="J32" s="43" t="str">
        <x:v>The stated range is within the audible/broadband band used in this review.</x:v>
      </x:c>
    </x:row>
    <x:row r="33">
      <x:c r="A33" s="43" t="str">
        <x:v>3 – Arjunan 2023 acoustic exposure</x:v>
      </x:c>
      <x:c r="B33" s="43" t="str">
        <x:v>arjunan_2023_stress</x:v>
      </x:c>
      <x:c r="C33" s="43" t="str">
        <x:v>es017</x:v>
      </x:c>
      <x:c r="D33" s="43" t="str">
        <x:v>18</x:v>
      </x:c>
      <x:c r="E33" s="43" t="str">
        <x:v>frequency_Hz</x:v>
      </x:c>
      <x:c r="F33" s="43" t="str">
        <x:v>0-2,000</x:v>
      </x:c>
      <x:c r="G33" s="43" t="str">
        <x:v>0-20,000</x:v>
      </x:c>
      <x:c r="H33" s="43" t="str">
        <x:v>Corrected transcription</x:v>
      </x:c>
      <x:c r="I33" s="43" t="str">
        <x:v>included_studies/arjunan_2023_stress.pdf, Methods section 4.3</x:v>
      </x:c>
      <x:c r="J33" s="43" t="str">
        <x:v>The source states all frequencies from 0 to 20 kHz.</x:v>
      </x:c>
    </x:row>
    <x:row r="34">
      <x:c r="A34" s="43" t="str">
        <x:v>3 – Arjunan 2023 acoustic exposure</x:v>
      </x:c>
      <x:c r="B34" s="43" t="str">
        <x:v>arjunan_2023_stress</x:v>
      </x:c>
      <x:c r="C34" s="43" t="str">
        <x:v>es017</x:v>
      </x:c>
      <x:c r="D34" s="43" t="str">
        <x:v>18</x:v>
      </x:c>
      <x:c r="E34" s="43" t="str">
        <x:v>noise_type</x:v>
      </x:c>
      <x:c r="F34" s="43" t="str">
        <x:v>Ultrasound</x:v>
      </x:c>
      <x:c r="G34" s="43" t="str">
        <x:v>White noise</x:v>
      </x:c>
      <x:c r="H34" s="43" t="str">
        <x:v>Corrected transcription</x:v>
      </x:c>
      <x:c r="I34" s="43" t="str">
        <x:v>included_studies/arjunan_2023_stress.pdf, Methods section 4.3</x:v>
      </x:c>
      <x:c r="J34" s="43" t="str">
        <x:v>The source describes a white-noise generator, not ultrasound.</x:v>
      </x:c>
    </x:row>
    <x:row r="35">
      <x:c r="A35" s="43" t="str">
        <x:v>3 – Arjunan 2023 acoustic exposure</x:v>
      </x:c>
      <x:c r="B35" s="43" t="str">
        <x:v>arjunan_2023_stress</x:v>
      </x:c>
      <x:c r="C35" s="43" t="str">
        <x:v>es017</x:v>
      </x:c>
      <x:c r="D35" s="43" t="str">
        <x:v>18</x:v>
      </x:c>
      <x:c r="E35" s="43" t="str">
        <x:v>noise_type_2</x:v>
      </x:c>
      <x:c r="F35" s="43" t="str">
        <x:v>Ultrasound</x:v>
      </x:c>
      <x:c r="G35" s="43" t="str">
        <x:v>Audible</x:v>
      </x:c>
      <x:c r="H35" s="43" t="str">
        <x:v>Corrected transcription</x:v>
      </x:c>
      <x:c r="I35" s="43" t="str">
        <x:v>included_studies/arjunan_2023_stress.pdf, Methods section 4.3</x:v>
      </x:c>
      <x:c r="J35" s="43" t="str">
        <x:v>The stated range is within the audible/broadband band used in this review.</x:v>
      </x:c>
    </x:row>
    <x:row r="36">
      <x:c r="A36" s="43" t="str">
        <x:v>3 – Arjunan 2023 acoustic exposure</x:v>
      </x:c>
      <x:c r="B36" s="43" t="str">
        <x:v>arjunan_2023_stress</x:v>
      </x:c>
      <x:c r="C36" s="43" t="str">
        <x:v>es018</x:v>
      </x:c>
      <x:c r="D36" s="43" t="str">
        <x:v>19</x:v>
      </x:c>
      <x:c r="E36" s="43" t="str">
        <x:v>data_file</x:v>
      </x:c>
      <x:c r="F36" s="43" t="str">
        <x:v>arjunan_2023_stress_fig3B_per</x:v>
      </x:c>
      <x:c r="G36" s="43" t="str">
        <x:v>arjunan_2023_stress_fig3B_peri.png</x:v>
      </x:c>
      <x:c r="H36" s="43" t="str">
        <x:v>Corrected transcription</x:v>
      </x:c>
      <x:c r="I36" s="43" t="str">
        <x:v>Metadigitise_figs/arjunan_2023_stress_fig3B_peri.png</x:v>
      </x:c>
      <x:c r="J36" s="43" t="str">
        <x:v>Use the exact saved image filename for reproducibility.</x:v>
      </x:c>
    </x:row>
    <x:row r="37">
      <x:c r="A37" s="43" t="str">
        <x:v>3 – Arjunan 2023 acoustic exposure</x:v>
      </x:c>
      <x:c r="B37" s="43" t="str">
        <x:v>arjunan_2023_stress</x:v>
      </x:c>
      <x:c r="C37" s="43" t="str">
        <x:v>es018</x:v>
      </x:c>
      <x:c r="D37" s="43" t="str">
        <x:v>19</x:v>
      </x:c>
      <x:c r="E37" s="43" t="str">
        <x:v>frequency_Hz</x:v>
      </x:c>
      <x:c r="F37" s="43" t="str">
        <x:v>0-2,000</x:v>
      </x:c>
      <x:c r="G37" s="43" t="str">
        <x:v>0-20,000</x:v>
      </x:c>
      <x:c r="H37" s="43" t="str">
        <x:v>Corrected transcription</x:v>
      </x:c>
      <x:c r="I37" s="43" t="str">
        <x:v>included_studies/arjunan_2023_stress.pdf, Methods section 4.3</x:v>
      </x:c>
      <x:c r="J37" s="43" t="str">
        <x:v>The source states all frequencies from 0 to 20 kHz.</x:v>
      </x:c>
    </x:row>
    <x:row r="38">
      <x:c r="A38" s="43" t="str">
        <x:v>3 – Arjunan 2023 acoustic exposure</x:v>
      </x:c>
      <x:c r="B38" s="43" t="str">
        <x:v>arjunan_2023_stress</x:v>
      </x:c>
      <x:c r="C38" s="43" t="str">
        <x:v>es018</x:v>
      </x:c>
      <x:c r="D38" s="43" t="str">
        <x:v>19</x:v>
      </x:c>
      <x:c r="E38" s="43" t="str">
        <x:v>noise_type</x:v>
      </x:c>
      <x:c r="F38" s="43" t="str">
        <x:v>Ultrasound</x:v>
      </x:c>
      <x:c r="G38" s="43" t="str">
        <x:v>White noise</x:v>
      </x:c>
      <x:c r="H38" s="43" t="str">
        <x:v>Corrected transcription</x:v>
      </x:c>
      <x:c r="I38" s="43" t="str">
        <x:v>included_studies/arjunan_2023_stress.pdf, Methods section 4.3</x:v>
      </x:c>
      <x:c r="J38" s="43" t="str">
        <x:v>The source describes a white-noise generator, not ultrasound.</x:v>
      </x:c>
    </x:row>
    <x:row r="39">
      <x:c r="A39" s="43" t="str">
        <x:v>3 – Arjunan 2023 acoustic exposure</x:v>
      </x:c>
      <x:c r="B39" s="43" t="str">
        <x:v>arjunan_2023_stress</x:v>
      </x:c>
      <x:c r="C39" s="43" t="str">
        <x:v>es018</x:v>
      </x:c>
      <x:c r="D39" s="43" t="str">
        <x:v>19</x:v>
      </x:c>
      <x:c r="E39" s="43" t="str">
        <x:v>noise_type_2</x:v>
      </x:c>
      <x:c r="F39" s="43" t="str">
        <x:v>Ultrasound</x:v>
      </x:c>
      <x:c r="G39" s="43" t="str">
        <x:v>Audible</x:v>
      </x:c>
      <x:c r="H39" s="43" t="str">
        <x:v>Corrected transcription</x:v>
      </x:c>
      <x:c r="I39" s="43" t="str">
        <x:v>included_studies/arjunan_2023_stress.pdf, Methods section 4.3</x:v>
      </x:c>
      <x:c r="J39" s="43" t="str">
        <x:v>The stated range is within the audible/broadband band used in this review.</x:v>
      </x:c>
    </x:row>
    <x:row r="40">
      <x:c r="A40" s="43" t="str">
        <x:v>4 – Barzegar 2014 title and SEM</x:v>
      </x:c>
      <x:c r="B40" s="43" t="str">
        <x:v>barzegar_2014_hippo</x:v>
      </x:c>
      <x:c r="C40" s="43" t="str">
        <x:v>es004</x:v>
      </x:c>
      <x:c r="D40" s="43" t="str">
        <x:v>5</x:v>
      </x:c>
      <x:c r="E40" s="43" t="str">
        <x:v>data_file</x:v>
      </x:c>
      <x:c r="F40" s="43" t="str">
        <x:v>barzegar_2014_figure2</x:v>
      </x:c>
      <x:c r="G40" s="43" t="str">
        <x:v>barzegar_2014_figure2a.png</x:v>
      </x:c>
      <x:c r="H40" s="43" t="str">
        <x:v>Corrected transcription</x:v>
      </x:c>
      <x:c r="I40" s="43" t="str">
        <x:v>Metadigitise_figs/barzegar_2014_figure2a.png</x:v>
      </x:c>
      <x:c r="J40" s="43" t="str">
        <x:v>Use the exact saved image filename for reproducibility.</x:v>
      </x:c>
    </x:row>
    <x:row r="41">
      <x:c r="A41" s="43" t="str">
        <x:v>4 – Barzegar 2014 title and SEM</x:v>
      </x:c>
      <x:c r="B41" s="43" t="str">
        <x:v>barzegar_2014_hippo</x:v>
      </x:c>
      <x:c r="C41" s="43" t="str">
        <x:v>es004</x:v>
      </x:c>
      <x:c r="D41" s="43" t="str">
        <x:v>5</x:v>
      </x:c>
      <x:c r="E41" s="43" t="str">
        <x:v>title</x:v>
      </x:c>
      <x:c r="F41" s="43" t="str">
        <x:v>Effects of chronic stress on cognitive functions and anxiety related behaviors in rats</x:v>
      </x:c>
      <x:c r="G41" s="43" t="str">
        <x:v>Prenatal Exposure to Noise Stress: Anxiety, Impaired Spatial Memory, and Deteriorated Hippocampal Plasticity in Postnatal Life</x:v>
      </x:c>
      <x:c r="H41" s="43" t="str">
        <x:v>Corrected transcription</x:v>
      </x:c>
      <x:c r="I41" s="43" t="str">
        <x:v>included_studies/barzegar_2014_hippo.pdf</x:v>
      </x:c>
      <x:c r="J41" s="43" t="str">
        <x:v>Replace the title copied from another study with the Barzegar paper title.</x:v>
      </x:c>
    </x:row>
    <x:row r="42">
      <x:c r="A42" s="43" t="str">
        <x:v>4 – Barzegar 2014 title and SEM</x:v>
      </x:c>
      <x:c r="B42" s="43" t="str">
        <x:v>barzegar_2014_hippo</x:v>
      </x:c>
      <x:c r="C42" s="43" t="str">
        <x:v>es005</x:v>
      </x:c>
      <x:c r="D42" s="43" t="str">
        <x:v>6</x:v>
      </x:c>
      <x:c r="E42" s="43" t="str">
        <x:v>data_file</x:v>
      </x:c>
      <x:c r="F42" s="43" t="str">
        <x:v>barzegar_2014_figure2</x:v>
      </x:c>
      <x:c r="G42" s="43" t="str">
        <x:v>barzegar_2014_figure2b.png</x:v>
      </x:c>
      <x:c r="H42" s="43" t="str">
        <x:v>Corrected transcription</x:v>
      </x:c>
      <x:c r="I42" s="43" t="str">
        <x:v>Metadigitise_figs/barzegar_2014_figure2b.png</x:v>
      </x:c>
      <x:c r="J42" s="43" t="str">
        <x:v>Use the exact saved image filename for reproducibility.</x:v>
      </x:c>
    </x:row>
    <x:row r="43">
      <x:c r="A43" s="43" t="str">
        <x:v>4 – Barzegar 2014 title and SEM</x:v>
      </x:c>
      <x:c r="B43" s="43" t="str">
        <x:v>barzegar_2014_hippo</x:v>
      </x:c>
      <x:c r="C43" s="43" t="str">
        <x:v>es006</x:v>
      </x:c>
      <x:c r="D43" s="43" t="str">
        <x:v>7</x:v>
      </x:c>
      <x:c r="E43" s="43" t="str">
        <x:v>data_file</x:v>
      </x:c>
      <x:c r="F43" s="43" t="str">
        <x:v>barzegar_2014_figure2</x:v>
      </x:c>
      <x:c r="G43" s="43" t="str">
        <x:v>barzegar_2014_figure2a.png</x:v>
      </x:c>
      <x:c r="H43" s="43" t="str">
        <x:v>Corrected transcription</x:v>
      </x:c>
      <x:c r="I43" s="43" t="str">
        <x:v>Metadigitise_figs/barzegar_2014_figure2a.png</x:v>
      </x:c>
      <x:c r="J43" s="43" t="str">
        <x:v>Use the exact saved image filename for reproducibility.</x:v>
      </x:c>
    </x:row>
    <x:row r="44">
      <x:c r="A44" s="43" t="str">
        <x:v>4 – Barzegar 2014 title and SEM</x:v>
      </x:c>
      <x:c r="B44" s="43" t="str">
        <x:v>barzegar_2014_hippo</x:v>
      </x:c>
      <x:c r="C44" s="43" t="str">
        <x:v>es006</x:v>
      </x:c>
      <x:c r="D44" s="43" t="str">
        <x:v>7</x:v>
      </x:c>
      <x:c r="E44" s="43" t="str">
        <x:v>ex_se_reported</x:v>
      </x:c>
      <x:c r="F44" s="43" t="str">
        <x:v>8.43</x:v>
      </x:c>
      <x:c r="G44" s="43" t="str">
        <x:v>2.666667</x:v>
      </x:c>
      <x:c r="H44" s="43" t="str">
        <x:v>Corrected transcription</x:v>
      </x:c>
      <x:c r="I44" s="43" t="str">
        <x:v>Metadigitise_figs/metaDigitise_output.csv; barzegar_2014_figure2a, N2</x:v>
      </x:c>
      <x:c r="J44" s="43" t="str">
        <x:v>The digitised figure error is SEM; 8.43 is the corresponding SD, not the reported SEM.</x:v>
      </x:c>
    </x:row>
    <x:row r="45">
      <x:c r="A45" s="43" t="str">
        <x:v>4 – Barzegar 2014 title and SEM</x:v>
      </x:c>
      <x:c r="B45" s="43" t="str">
        <x:v>barzegar_2014_hippo</x:v>
      </x:c>
      <x:c r="C45" s="43" t="str">
        <x:v>es007</x:v>
      </x:c>
      <x:c r="D45" s="43" t="str">
        <x:v>8</x:v>
      </x:c>
      <x:c r="E45" s="43" t="str">
        <x:v>data_file</x:v>
      </x:c>
      <x:c r="F45" s="43" t="str">
        <x:v>barzegar_2014_figure2</x:v>
      </x:c>
      <x:c r="G45" s="43" t="str">
        <x:v>barzegar_2014_figure2b.png</x:v>
      </x:c>
      <x:c r="H45" s="43" t="str">
        <x:v>Corrected transcription</x:v>
      </x:c>
      <x:c r="I45" s="43" t="str">
        <x:v>Metadigitise_figs/barzegar_2014_figure2b.png</x:v>
      </x:c>
      <x:c r="J45" s="43" t="str">
        <x:v>Use the exact saved image filename for reproducibility.</x:v>
      </x:c>
    </x:row>
    <x:row r="46">
      <x:c r="A46" s="43" t="str">
        <x:v>4 – Barzegar 2014 title and SEM</x:v>
      </x:c>
      <x:c r="B46" s="43" t="str">
        <x:v>barzegar_2014_hippo</x:v>
      </x:c>
      <x:c r="C46" s="43" t="str">
        <x:v>es008</x:v>
      </x:c>
      <x:c r="D46" s="43" t="str">
        <x:v>9</x:v>
      </x:c>
      <x:c r="E46" s="43" t="str">
        <x:v>data_file</x:v>
      </x:c>
      <x:c r="F46" s="43" t="str">
        <x:v>barzegar_2014_figure2</x:v>
      </x:c>
      <x:c r="G46" s="43" t="str">
        <x:v>barzegar_2014_figure2a.png</x:v>
      </x:c>
      <x:c r="H46" s="43" t="str">
        <x:v>Corrected transcription</x:v>
      </x:c>
      <x:c r="I46" s="43" t="str">
        <x:v>Metadigitise_figs/barzegar_2014_figure2a.png</x:v>
      </x:c>
      <x:c r="J46" s="43" t="str">
        <x:v>Use the exact saved image filename for reproducibility.</x:v>
      </x:c>
    </x:row>
    <x:row r="47">
      <x:c r="A47" s="43" t="str">
        <x:v>4 – Barzegar 2014 title and SEM</x:v>
      </x:c>
      <x:c r="B47" s="43" t="str">
        <x:v>barzegar_2014_hippo</x:v>
      </x:c>
      <x:c r="C47" s="43" t="str">
        <x:v>es009</x:v>
      </x:c>
      <x:c r="D47" s="43" t="str">
        <x:v>10</x:v>
      </x:c>
      <x:c r="E47" s="43" t="str">
        <x:v>data_file</x:v>
      </x:c>
      <x:c r="F47" s="43" t="str">
        <x:v>barzegar_2014_figure2b</x:v>
      </x:c>
      <x:c r="G47" s="43" t="str">
        <x:v>barzegar_2014_figure2b.png</x:v>
      </x:c>
      <x:c r="H47" s="43" t="str">
        <x:v>Corrected transcription</x:v>
      </x:c>
      <x:c r="I47" s="43" t="str">
        <x:v>Metadigitise_figs/barzegar_2014_figure2b.png</x:v>
      </x:c>
      <x:c r="J47" s="43" t="str">
        <x:v>Use the exact saved image filename for reproducibility.</x:v>
      </x:c>
    </x:row>
    <x:row r="48">
      <x:c r="A48" s="43" t="str">
        <x:v>5 – Abramova 2020 derived SEs</x:v>
      </x:c>
      <x:c r="B48" s="43" t="str">
        <x:v>abramova_2020_genpath</x:v>
      </x:c>
      <x:c r="C48" s="43" t="str">
        <x:v>es130</x:v>
      </x:c>
      <x:c r="D48" s="43" t="str">
        <x:v>131</x:v>
      </x:c>
      <x:c r="E48" s="43" t="str">
        <x:v>c_se_analysis</x:v>
      </x:c>
      <x:c r="F48" s="43" t="str">
        <x:v>18.1638</x:v>
      </x:c>
      <x:c r="G48" s="43" t="str">
        <x:v>5.948995</x:v>
      </x:c>
      <x:c r="H48" s="43" t="str">
        <x:v>Corrected derived value</x:v>
      </x:c>
      <x:c r="I48" s="43" t="str">
        <x:v>included_studies/abramova_2020_genpath/abramova2020_descriptives.xlsx, tidy_all</x:v>
      </x:c>
      <x:c r="J48" s="43" t="str">
        <x:v>Retain the author-data SD and n; correct only the deterministic SE derivation.</x:v>
      </x:c>
    </x:row>
    <x:row r="49">
      <x:c r="A49" s="43" t="str">
        <x:v>5 – Abramova 2020 derived SEs</x:v>
      </x:c>
      <x:c r="B49" s="43" t="str">
        <x:v>abramova_2020_genpath</x:v>
      </x:c>
      <x:c r="C49" s="43" t="str">
        <x:v>es131</x:v>
      </x:c>
      <x:c r="D49" s="43" t="str">
        <x:v>132</x:v>
      </x:c>
      <x:c r="E49" s="43" t="str">
        <x:v>c_se_analysis</x:v>
      </x:c>
      <x:c r="F49" s="43" t="str">
        <x:v>23.1577</x:v>
      </x:c>
      <x:c r="G49" s="43" t="str">
        <x:v>6.011893</x:v>
      </x:c>
      <x:c r="H49" s="43" t="str">
        <x:v>Corrected derived value</x:v>
      </x:c>
      <x:c r="I49" s="43" t="str">
        <x:v>included_studies/abramova_2020_genpath/abramova2020_descriptives.xlsx, tidy_all</x:v>
      </x:c>
      <x:c r="J49" s="43" t="str">
        <x:v>Retain the author-data SD and n; correct only the deterministic SE derivation.</x:v>
      </x:c>
    </x:row>
    <x:row r="50">
      <x:c r="A50" s="43" t="str">
        <x:v>5 – Abramova 2020 derived SEs</x:v>
      </x:c>
      <x:c r="B50" s="43" t="str">
        <x:v>abramova_2020_genpath</x:v>
      </x:c>
      <x:c r="C50" s="43" t="str">
        <x:v>es131</x:v>
      </x:c>
      <x:c r="D50" s="43" t="str">
        <x:v>132</x:v>
      </x:c>
      <x:c r="E50" s="43" t="str">
        <x:v>ex_se_analysis</x:v>
      </x:c>
      <x:c r="F50" s="43" t="str">
        <x:v>14.9063</x:v>
      </x:c>
      <x:c r="G50" s="43" t="str">
        <x:v>4.86045</x:v>
      </x:c>
      <x:c r="H50" s="43" t="str">
        <x:v>Corrected derived value</x:v>
      </x:c>
      <x:c r="I50" s="43" t="str">
        <x:v>included_studies/abramova_2020_genpath/abramova2020_descriptives.xlsx, tidy_all</x:v>
      </x:c>
      <x:c r="J50" s="43" t="str">
        <x:v>Retain the author-data SD and n; correct only the deterministic SE derivation.</x:v>
      </x:c>
    </x:row>
    <x:row r="51">
      <x:c r="A51" s="43" t="str">
        <x:v>5 – Abramova 2020 derived SEs</x:v>
      </x:c>
      <x:c r="B51" s="43" t="str">
        <x:v>abramova_2020_genpath</x:v>
      </x:c>
      <x:c r="C51" s="43" t="str">
        <x:v>es132</x:v>
      </x:c>
      <x:c r="D51" s="43" t="str">
        <x:v>133</x:v>
      </x:c>
      <x:c r="E51" s="43" t="str">
        <x:v>c_se_analysis</x:v>
      </x:c>
      <x:c r="F51" s="43" t="str">
        <x:v>8.3527</x:v>
      </x:c>
      <x:c r="G51" s="43" t="str">
        <x:v>2.38249</x:v>
      </x:c>
      <x:c r="H51" s="43" t="str">
        <x:v>Corrected derived value</x:v>
      </x:c>
      <x:c r="I51" s="43" t="str">
        <x:v>included_studies/abramova_2020_genpath/abramova2020_descriptives.xlsx, tidy_all</x:v>
      </x:c>
      <x:c r="J51" s="43" t="str">
        <x:v>Retain the author-data SD and n; correct only the deterministic SE derivation.</x:v>
      </x:c>
    </x:row>
    <x:row r="52">
      <x:c r="A52" s="43" t="str">
        <x:v>5 – Abramova 2020 derived SEs</x:v>
      </x:c>
      <x:c r="B52" s="43" t="str">
        <x:v>abramova_2020_genpath</x:v>
      </x:c>
      <x:c r="C52" s="43" t="str">
        <x:v>es133</x:v>
      </x:c>
      <x:c r="D52" s="43" t="str">
        <x:v>134</x:v>
      </x:c>
      <x:c r="E52" s="43" t="str">
        <x:v>c_se_analysis</x:v>
      </x:c>
      <x:c r="F52" s="43" t="str">
        <x:v>9.9437</x:v>
      </x:c>
      <x:c r="G52" s="43" t="str">
        <x:v>2.286889</x:v>
      </x:c>
      <x:c r="H52" s="43" t="str">
        <x:v>Corrected derived value</x:v>
      </x:c>
      <x:c r="I52" s="43" t="str">
        <x:v>included_studies/abramova_2020_genpath/abramova2020_descriptives.xlsx, tidy_all</x:v>
      </x:c>
      <x:c r="J52" s="43" t="str">
        <x:v>Retain the author-data SD and n; correct only the deterministic SE derivation.</x:v>
      </x:c>
    </x:row>
    <x:row r="53">
      <x:c r="A53" s="43" t="str">
        <x:v>5 – Abramova 2020 derived SEs</x:v>
      </x:c>
      <x:c r="B53" s="43" t="str">
        <x:v>abramova_2020_genpath</x:v>
      </x:c>
      <x:c r="C53" s="43" t="str">
        <x:v>es133</x:v>
      </x:c>
      <x:c r="D53" s="43" t="str">
        <x:v>134</x:v>
      </x:c>
      <x:c r="E53" s="43" t="str">
        <x:v>ex_se_analysis</x:v>
      </x:c>
      <x:c r="F53" s="43" t="str">
        <x:v>7.0469</x:v>
      </x:c>
      <x:c r="G53" s="43" t="str">
        <x:v>2.22715</x:v>
      </x:c>
      <x:c r="H53" s="43" t="str">
        <x:v>Corrected derived value</x:v>
      </x:c>
      <x:c r="I53" s="43" t="str">
        <x:v>included_studies/abramova_2020_genpath/abramova2020_descriptives.xlsx, tidy_all</x:v>
      </x:c>
      <x:c r="J53" s="43" t="str">
        <x:v>Retain the author-data SD and n; correct only the deterministic SE derivation.</x:v>
      </x:c>
    </x:row>
    <x:row r="54">
      <x:c r="A54" s="43" t="str">
        <x:v>5 – Abramova 2020 derived SEs</x:v>
      </x:c>
      <x:c r="B54" s="43" t="str">
        <x:v>abramova_2020_genpath</x:v>
      </x:c>
      <x:c r="C54" s="43" t="str">
        <x:v>es134</x:v>
      </x:c>
      <x:c r="D54" s="43" t="str">
        <x:v>135</x:v>
      </x:c>
      <x:c r="E54" s="43" t="str">
        <x:v>c_se_analysis</x:v>
      </x:c>
      <x:c r="F54" s="43" t="str">
        <x:v>0.6629</x:v>
      </x:c>
      <x:c r="G54" s="43" t="str">
        <x:v>1.0596</x:v>
      </x:c>
      <x:c r="H54" s="43" t="str">
        <x:v>Corrected derived value</x:v>
      </x:c>
      <x:c r="I54" s="43" t="str">
        <x:v>included_studies/abramova_2020_genpath/abramova2020_descriptives.xlsx, tidy_all</x:v>
      </x:c>
      <x:c r="J54" s="43" t="str">
        <x:v>Retain the author-data SD and n; correct only the deterministic SE derivation.</x:v>
      </x:c>
    </x:row>
    <x:row r="55">
      <x:c r="A55" s="43" t="str">
        <x:v>5 – Abramova 2020 derived SEs</x:v>
      </x:c>
      <x:c r="B55" s="43" t="str">
        <x:v>abramova_2020_genpath</x:v>
      </x:c>
      <x:c r="C55" s="43" t="str">
        <x:v>es135</x:v>
      </x:c>
      <x:c r="D55" s="43" t="str">
        <x:v>136</x:v>
      </x:c>
      <x:c r="E55" s="43" t="str">
        <x:v>c_se_analysis</x:v>
      </x:c>
      <x:c r="F55" s="43" t="str">
        <x:v>0.9723</x:v>
      </x:c>
      <x:c r="G55" s="43" t="str">
        <x:v>0.647816</x:v>
      </x:c>
      <x:c r="H55" s="43" t="str">
        <x:v>Corrected derived value</x:v>
      </x:c>
      <x:c r="I55" s="43" t="str">
        <x:v>included_studies/abramova_2020_genpath/abramova2020_descriptives.xlsx, tidy_all</x:v>
      </x:c>
      <x:c r="J55" s="43" t="str">
        <x:v>Retain the author-data SD and n; correct only the deterministic SE derivation.</x:v>
      </x:c>
    </x:row>
    <x:row r="56">
      <x:c r="A56" s="43" t="str">
        <x:v>5 – Abramova 2020 derived SEs</x:v>
      </x:c>
      <x:c r="B56" s="43" t="str">
        <x:v>abramova_2020_genpath</x:v>
      </x:c>
      <x:c r="C56" s="43" t="str">
        <x:v>es135</x:v>
      </x:c>
      <x:c r="D56" s="43" t="str">
        <x:v>136</x:v>
      </x:c>
      <x:c r="E56" s="43" t="str">
        <x:v>ex_se_analysis</x:v>
      </x:c>
      <x:c r="F56" s="43" t="str">
        <x:v>0.3125</x:v>
      </x:c>
      <x:c r="G56" s="43" t="str">
        <x:v>0.232725</x:v>
      </x:c>
      <x:c r="H56" s="43" t="str">
        <x:v>Corrected derived value</x:v>
      </x:c>
      <x:c r="I56" s="43" t="str">
        <x:v>included_studies/abramova_2020_genpath/abramova2020_descriptives.xlsx, tidy_all</x:v>
      </x:c>
      <x:c r="J56" s="43" t="str">
        <x:v>Retain the author-data SD and n; correct only the deterministic SE derivation.</x:v>
      </x:c>
    </x:row>
    <x:row r="57">
      <x:c r="A57" s="43" t="str">
        <x:v>5 – Abramova 2020 derived SEs</x:v>
      </x:c>
      <x:c r="B57" s="43" t="str">
        <x:v>abramova_2020_genpath</x:v>
      </x:c>
      <x:c r="C57" s="43" t="str">
        <x:v>es136</x:v>
      </x:c>
      <x:c r="D57" s="43" t="str">
        <x:v>137</x:v>
      </x:c>
      <x:c r="E57" s="43" t="str">
        <x:v>c_se_analysis</x:v>
      </x:c>
      <x:c r="F57" s="43" t="str">
        <x:v>4.4207</x:v>
      </x:c>
      <x:c r="G57" s="43" t="str">
        <x:v>3.898315</x:v>
      </x:c>
      <x:c r="H57" s="43" t="str">
        <x:v>Corrected derived value</x:v>
      </x:c>
      <x:c r="I57" s="43" t="str">
        <x:v>included_studies/abramova_2020_genpath/abramova2020_descriptives.xlsx, tidy_all</x:v>
      </x:c>
      <x:c r="J57" s="43" t="str">
        <x:v>Retain the author-data SD and n; correct only the deterministic SE derivation.</x:v>
      </x:c>
    </x:row>
    <x:row r="58">
      <x:c r="A58" s="43" t="str">
        <x:v>5 – Abramova 2020 derived SEs</x:v>
      </x:c>
      <x:c r="B58" s="43" t="str">
        <x:v>abramova_2020_genpath</x:v>
      </x:c>
      <x:c r="C58" s="43" t="str">
        <x:v>es137</x:v>
      </x:c>
      <x:c r="D58" s="43" t="str">
        <x:v>138</x:v>
      </x:c>
      <x:c r="E58" s="43" t="str">
        <x:v>c_se_analysis</x:v>
      </x:c>
      <x:c r="F58" s="43" t="str">
        <x:v>4.9042</x:v>
      </x:c>
      <x:c r="G58" s="43" t="str">
        <x:v>4.774845</x:v>
      </x:c>
      <x:c r="H58" s="43" t="str">
        <x:v>Corrected derived value</x:v>
      </x:c>
      <x:c r="I58" s="43" t="str">
        <x:v>included_studies/abramova_2020_genpath/abramova2020_descriptives.xlsx, tidy_all</x:v>
      </x:c>
      <x:c r="J58" s="43" t="str">
        <x:v>Retain the author-data SD and n; correct only the deterministic SE derivation.</x:v>
      </x:c>
    </x:row>
    <x:row r="59">
      <x:c r="A59" s="43" t="str">
        <x:v>5 – Abramova 2020 derived SEs</x:v>
      </x:c>
      <x:c r="B59" s="43" t="str">
        <x:v>abramova_2020_genpath</x:v>
      </x:c>
      <x:c r="C59" s="43" t="str">
        <x:v>es137</x:v>
      </x:c>
      <x:c r="D59" s="43" t="str">
        <x:v>138</x:v>
      </x:c>
      <x:c r="E59" s="43" t="str">
        <x:v>ex_se_analysis</x:v>
      </x:c>
      <x:c r="F59" s="43" t="str">
        <x:v>4.2813</x:v>
      </x:c>
      <x:c r="G59" s="43" t="str">
        <x:v>3.074025</x:v>
      </x:c>
      <x:c r="H59" s="43" t="str">
        <x:v>Corrected derived value</x:v>
      </x:c>
      <x:c r="I59" s="43" t="str">
        <x:v>included_studies/abramova_2020_genpath/abramova2020_descriptives.xlsx, tidy_all</x:v>
      </x:c>
      <x:c r="J59" s="43" t="str">
        <x:v>Retain the author-data SD and n; correct only the deterministic SE derivation.</x:v>
      </x:c>
    </x:row>
    <x:row r="60">
      <x:c r="A60" s="43" t="str">
        <x:v>5 – Abramova 2020 derived SEs</x:v>
      </x:c>
      <x:c r="B60" s="43" t="str">
        <x:v>abramova_2020_genpath</x:v>
      </x:c>
      <x:c r="C60" s="43" t="str">
        <x:v>es138</x:v>
      </x:c>
      <x:c r="D60" s="43" t="str">
        <x:v>139</x:v>
      </x:c>
      <x:c r="E60" s="43" t="str">
        <x:v>c_se_analysis</x:v>
      </x:c>
      <x:c r="F60" s="43" t="str">
        <x:v>3.3508</x:v>
      </x:c>
      <x:c r="G60" s="43" t="str">
        <x:v>5.49871</x:v>
      </x:c>
      <x:c r="H60" s="43" t="str">
        <x:v>Corrected derived value</x:v>
      </x:c>
      <x:c r="I60" s="43" t="str">
        <x:v>included_studies/abramova_2020_genpath/abramova2020_descriptives.xlsx, tidy_all</x:v>
      </x:c>
      <x:c r="J60" s="43" t="str">
        <x:v>Retain the author-data SD and n; correct only the deterministic SE derivation.</x:v>
      </x:c>
    </x:row>
    <x:row r="61">
      <x:c r="A61" s="43" t="str">
        <x:v>5 – Abramova 2020 derived SEs</x:v>
      </x:c>
      <x:c r="B61" s="43" t="str">
        <x:v>abramova_2020_genpath</x:v>
      </x:c>
      <x:c r="C61" s="43" t="str">
        <x:v>es139</x:v>
      </x:c>
      <x:c r="D61" s="43" t="str">
        <x:v>140</x:v>
      </x:c>
      <x:c r="E61" s="43" t="str">
        <x:v>c_se_analysis</x:v>
      </x:c>
      <x:c r="F61" s="43" t="str">
        <x:v>2.919</x:v>
      </x:c>
      <x:c r="G61" s="43" t="str">
        <x:v>7.584251</x:v>
      </x:c>
      <x:c r="H61" s="43" t="str">
        <x:v>Corrected derived value</x:v>
      </x:c>
      <x:c r="I61" s="43" t="str">
        <x:v>included_studies/abramova_2020_genpath/abramova2020_descriptives.xlsx, tidy_all</x:v>
      </x:c>
      <x:c r="J61" s="43" t="str">
        <x:v>Retain the author-data SD and n; correct only the deterministic SE derivation.</x:v>
      </x:c>
    </x:row>
    <x:row r="62">
      <x:c r="A62" s="43" t="str">
        <x:v>5 – Abramova 2020 derived SEs</x:v>
      </x:c>
      <x:c r="B62" s="43" t="str">
        <x:v>abramova_2020_genpath</x:v>
      </x:c>
      <x:c r="C62" s="43" t="str">
        <x:v>es139</x:v>
      </x:c>
      <x:c r="D62" s="43" t="str">
        <x:v>140</x:v>
      </x:c>
      <x:c r="E62" s="43" t="str">
        <x:v>ex_se_analysis</x:v>
      </x:c>
      <x:c r="F62" s="43" t="str">
        <x:v>8.1981</x:v>
      </x:c>
      <x:c r="G62" s="43" t="str">
        <x:v>7.162475</x:v>
      </x:c>
      <x:c r="H62" s="43" t="str">
        <x:v>Corrected derived value</x:v>
      </x:c>
      <x:c r="I62" s="43" t="str">
        <x:v>included_studies/abramova_2020_genpath/abramova2020_descriptives.xlsx, tidy_all</x:v>
      </x:c>
      <x:c r="J62" s="43" t="str">
        <x:v>Retain the author-data SD and n; correct only the deterministic SE derivation.</x:v>
      </x:c>
    </x:row>
    <x:row r="63">
      <x:c r="A63" s="43" t="str">
        <x:v>5 – Abramova 2020 derived SEs</x:v>
      </x:c>
      <x:c r="B63" s="43" t="str">
        <x:v>abramova_2020_genpath</x:v>
      </x:c>
      <x:c r="C63" s="43" t="str">
        <x:v>es140</x:v>
      </x:c>
      <x:c r="D63" s="43" t="str">
        <x:v>141</x:v>
      </x:c>
      <x:c r="E63" s="43" t="str">
        <x:v>c_se_analysis</x:v>
      </x:c>
      <x:c r="F63" s="43" t="str">
        <x:v>1.6352</x:v>
      </x:c>
      <x:c r="G63" s="43" t="str">
        <x:v>1.308466</x:v>
      </x:c>
      <x:c r="H63" s="43" t="str">
        <x:v>Corrected derived value</x:v>
      </x:c>
      <x:c r="I63" s="43" t="str">
        <x:v>included_studies/abramova_2020_genpath/abramova2020_descriptives.xlsx, tidy_all</x:v>
      </x:c>
      <x:c r="J63" s="43" t="str">
        <x:v>Retain the author-data SD and n; correct only the deterministic SE derivation.</x:v>
      </x:c>
    </x:row>
    <x:row r="64">
      <x:c r="A64" s="43" t="str">
        <x:v>5 – Abramova 2020 derived SEs</x:v>
      </x:c>
      <x:c r="B64" s="43" t="str">
        <x:v>abramova_2020_genpath</x:v>
      </x:c>
      <x:c r="C64" s="43" t="str">
        <x:v>es141</x:v>
      </x:c>
      <x:c r="D64" s="43" t="str">
        <x:v>142</x:v>
      </x:c>
      <x:c r="E64" s="43" t="str">
        <x:v>c_se_analysis</x:v>
      </x:c>
      <x:c r="F64" s="43" t="str">
        <x:v>1.0165</x:v>
      </x:c>
      <x:c r="G64" s="43" t="str">
        <x:v>0.639118</x:v>
      </x:c>
      <x:c r="H64" s="43" t="str">
        <x:v>Corrected derived value</x:v>
      </x:c>
      <x:c r="I64" s="43" t="str">
        <x:v>included_studies/abramova_2020_genpath/abramova2020_descriptives.xlsx, tidy_all</x:v>
      </x:c>
      <x:c r="J64" s="43" t="str">
        <x:v>Retain the author-data SD and n; correct only the deterministic SE derivation.</x:v>
      </x:c>
    </x:row>
    <x:row r="65">
      <x:c r="A65" s="43" t="str">
        <x:v>5 – Abramova 2020 derived SEs</x:v>
      </x:c>
      <x:c r="B65" s="43" t="str">
        <x:v>abramova_2020_genpath</x:v>
      </x:c>
      <x:c r="C65" s="43" t="str">
        <x:v>es141</x:v>
      </x:c>
      <x:c r="D65" s="43" t="str">
        <x:v>142</x:v>
      </x:c>
      <x:c r="E65" s="43" t="str">
        <x:v>ex_se_analysis</x:v>
      </x:c>
      <x:c r="F65" s="43" t="str">
        <x:v>0.75</x:v>
      </x:c>
      <x:c r="G65" s="43" t="str">
        <x:v>0.341575</x:v>
      </x:c>
      <x:c r="H65" s="43" t="str">
        <x:v>Corrected derived value</x:v>
      </x:c>
      <x:c r="I65" s="43" t="str">
        <x:v>included_studies/abramova_2020_genpath/abramova2020_descriptives.xlsx, tidy_all</x:v>
      </x:c>
      <x:c r="J65" s="43" t="str">
        <x:v>Retain the author-data SD and n; correct only the deterministic SE derivation.</x:v>
      </x:c>
    </x:row>
    <x:row r="66">
      <x:c r="A66" s="43" t="str">
        <x:v>5 – Abramova 2020 derived SEs</x:v>
      </x:c>
      <x:c r="B66" s="43" t="str">
        <x:v>abramova_2020_genpath</x:v>
      </x:c>
      <x:c r="C66" s="43" t="str">
        <x:v>es142</x:v>
      </x:c>
      <x:c r="D66" s="43" t="str">
        <x:v>143</x:v>
      </x:c>
      <x:c r="E66" s="43" t="str">
        <x:v>c_se_analysis</x:v>
      </x:c>
      <x:c r="F66" s="43" t="str">
        <x:v>63.1059</x:v>
      </x:c>
      <x:c r="G66" s="43" t="str">
        <x:v>3.82068</x:v>
      </x:c>
      <x:c r="H66" s="43" t="str">
        <x:v>Corrected derived value</x:v>
      </x:c>
      <x:c r="I66" s="43" t="str">
        <x:v>included_studies/abramova_2020_genpath/abramova2020_descriptives.xlsx, tidy_all</x:v>
      </x:c>
      <x:c r="J66" s="43" t="str">
        <x:v>Retain the author-data SD and n; correct only the deterministic SE derivation.</x:v>
      </x:c>
    </x:row>
    <x:row r="67">
      <x:c r="A67" s="43" t="str">
        <x:v>5 – Abramova 2020 derived SEs</x:v>
      </x:c>
      <x:c r="B67" s="43" t="str">
        <x:v>abramova_2020_genpath</x:v>
      </x:c>
      <x:c r="C67" s="43" t="str">
        <x:v>es143</x:v>
      </x:c>
      <x:c r="D67" s="43" t="str">
        <x:v>144</x:v>
      </x:c>
      <x:c r="E67" s="43" t="str">
        <x:v>c_se_analysis</x:v>
      </x:c>
      <x:c r="F67" s="43" t="str">
        <x:v>63.7452</x:v>
      </x:c>
      <x:c r="G67" s="43" t="str">
        <x:v>5.562291</x:v>
      </x:c>
      <x:c r="H67" s="43" t="str">
        <x:v>Corrected derived value</x:v>
      </x:c>
      <x:c r="I67" s="43" t="str">
        <x:v>included_studies/abramova_2020_genpath/abramova2020_descriptives.xlsx, tidy_all</x:v>
      </x:c>
      <x:c r="J67" s="43" t="str">
        <x:v>Retain the author-data SD and n; correct only the deterministic SE derivation.</x:v>
      </x:c>
    </x:row>
    <x:row r="68">
      <x:c r="A68" s="43" t="str">
        <x:v>5 – Abramova 2020 derived SEs</x:v>
      </x:c>
      <x:c r="B68" s="43" t="str">
        <x:v>abramova_2020_genpath</x:v>
      </x:c>
      <x:c r="C68" s="43" t="str">
        <x:v>es144</x:v>
      </x:c>
      <x:c r="D68" s="43" t="str">
        <x:v>145</x:v>
      </x:c>
      <x:c r="E68" s="43" t="str">
        <x:v>c_se_analysis</x:v>
      </x:c>
      <x:c r="F68" s="43" t="str">
        <x:v>3.4941</x:v>
      </x:c>
      <x:c r="G68" s="43" t="str">
        <x:v>3.644701</x:v>
      </x:c>
      <x:c r="H68" s="43" t="str">
        <x:v>Corrected derived value</x:v>
      </x:c>
      <x:c r="I68" s="43" t="str">
        <x:v>included_studies/abramova_2020_genpath/abramova2020_descriptives.xlsx, tidy_all</x:v>
      </x:c>
      <x:c r="J68" s="43" t="str">
        <x:v>Retain the author-data SD and n; correct only the deterministic SE derivation.</x:v>
      </x:c>
    </x:row>
    <x:row r="69">
      <x:c r="A69" s="43" t="str">
        <x:v>5 – Abramova 2020 derived SEs</x:v>
      </x:c>
      <x:c r="B69" s="43" t="str">
        <x:v>abramova_2020_genpath</x:v>
      </x:c>
      <x:c r="C69" s="43" t="str">
        <x:v>es145</x:v>
      </x:c>
      <x:c r="D69" s="43" t="str">
        <x:v>146</x:v>
      </x:c>
      <x:c r="E69" s="43" t="str">
        <x:v>c_se_analysis</x:v>
      </x:c>
      <x:c r="F69" s="43" t="str">
        <x:v>6.324</x:v>
      </x:c>
      <x:c r="G69" s="43" t="str">
        <x:v>5.168479</x:v>
      </x:c>
      <x:c r="H69" s="43" t="str">
        <x:v>Corrected derived value</x:v>
      </x:c>
      <x:c r="I69" s="43" t="str">
        <x:v>included_studies/abramova_2020_genpath/abramova2020_descriptives.xlsx, tidy_all</x:v>
      </x:c>
      <x:c r="J69" s="43" t="str">
        <x:v>Retain the author-data SD and n; correct only the deterministic SE derivation.</x:v>
      </x:c>
    </x:row>
    <x:row r="70">
      <x:c r="A70" s="43" t="str">
        <x:v>5 – Abramova 2020 derived SEs</x:v>
      </x:c>
      <x:c r="B70" s="43" t="str">
        <x:v>abramova_2020_genpath</x:v>
      </x:c>
      <x:c r="C70" s="43" t="str">
        <x:v>es146</x:v>
      </x:c>
      <x:c r="D70" s="43" t="str">
        <x:v>147</x:v>
      </x:c>
      <x:c r="E70" s="43" t="str">
        <x:v>c_se_analysis</x:v>
      </x:c>
      <x:c r="F70" s="43" t="str">
        <x:v>0.436</x:v>
      </x:c>
      <x:c r="G70" s="43" t="str">
        <x:v>0.467204</x:v>
      </x:c>
      <x:c r="H70" s="43" t="str">
        <x:v>Corrected derived value</x:v>
      </x:c>
      <x:c r="I70" s="43" t="str">
        <x:v>included_studies/abramova_2020_genpath/abramova2020_descriptives.xlsx, tidy_all</x:v>
      </x:c>
      <x:c r="J70" s="43" t="str">
        <x:v>Retain the author-data SD and n; correct only the deterministic SE derivation.</x:v>
      </x:c>
    </x:row>
    <x:row r="71">
      <x:c r="A71" s="43" t="str">
        <x:v>5 – Abramova 2020 derived SEs</x:v>
      </x:c>
      <x:c r="B71" s="43" t="str">
        <x:v>abramova_2020_genpath</x:v>
      </x:c>
      <x:c r="C71" s="43" t="str">
        <x:v>es147</x:v>
      </x:c>
      <x:c r="D71" s="43" t="str">
        <x:v>148</x:v>
      </x:c>
      <x:c r="E71" s="43" t="str">
        <x:v>c_se_analysis</x:v>
      </x:c>
      <x:c r="F71" s="43" t="str">
        <x:v>1.0345</x:v>
      </x:c>
      <x:c r="G71" s="43" t="str">
        <x:v>0.616432</x:v>
      </x:c>
      <x:c r="H71" s="43" t="str">
        <x:v>Corrected derived value</x:v>
      </x:c>
      <x:c r="I71" s="43" t="str">
        <x:v>included_studies/abramova_2020_genpath/abramova2020_descriptives.xlsx, tidy_all</x:v>
      </x:c>
      <x:c r="J71" s="43" t="str">
        <x:v>Retain the author-data SD and n; correct only the deterministic SE derivation.</x:v>
      </x:c>
    </x:row>
    <x:row r="72">
      <x:c r="A72" s="43" t="str">
        <x:v>5 – Abramova 2020 derived SEs</x:v>
      </x:c>
      <x:c r="B72" s="43" t="str">
        <x:v>abramova_2020_genpath</x:v>
      </x:c>
      <x:c r="C72" s="43" t="str">
        <x:v>es148</x:v>
      </x:c>
      <x:c r="D72" s="43" t="str">
        <x:v>149</x:v>
      </x:c>
      <x:c r="E72" s="43" t="str">
        <x:v>c_se_analysis</x:v>
      </x:c>
      <x:c r="F72" s="43" t="str">
        <x:v>0.6485</x:v>
      </x:c>
      <x:c r="G72" s="43" t="str">
        <x:v>0.280045</x:v>
      </x:c>
      <x:c r="H72" s="43" t="str">
        <x:v>Corrected derived value</x:v>
      </x:c>
      <x:c r="I72" s="43" t="str">
        <x:v>included_studies/abramova_2020_genpath/abramova2020_descriptives.xlsx, tidy_all</x:v>
      </x:c>
      <x:c r="J72" s="43" t="str">
        <x:v>Retain the author-data SD and n; correct only the deterministic SE derivation.</x:v>
      </x:c>
    </x:row>
    <x:row r="73">
      <x:c r="A73" s="43" t="str">
        <x:v>5 – Abramova 2020 derived SEs</x:v>
      </x:c>
      <x:c r="B73" s="43" t="str">
        <x:v>abramova_2020_genpath</x:v>
      </x:c>
      <x:c r="C73" s="43" t="str">
        <x:v>es149</x:v>
      </x:c>
      <x:c r="D73" s="43" t="str">
        <x:v>150</x:v>
      </x:c>
      <x:c r="E73" s="43" t="str">
        <x:v>c_se_analysis</x:v>
      </x:c>
      <x:c r="F73" s="43" t="str">
        <x:v>0.8773</x:v>
      </x:c>
      <x:c r="G73" s="43" t="str">
        <x:v>0.441376</x:v>
      </x:c>
      <x:c r="H73" s="43" t="str">
        <x:v>Corrected derived value</x:v>
      </x:c>
      <x:c r="I73" s="43" t="str">
        <x:v>included_studies/abramova_2020_genpath/abramova2020_descriptives.xlsx, tidy_all</x:v>
      </x:c>
      <x:c r="J73" s="43" t="str">
        <x:v>Retain the author-data SD and n; correct only the deterministic SE derivation.</x:v>
      </x:c>
    </x:row>
    <x:row r="74">
      <x:c r="A74" s="43" t="str">
        <x:v>5 – Abramova 2020 derived SEs</x:v>
      </x:c>
      <x:c r="B74" s="43" t="str">
        <x:v>abramova_2020_genpath</x:v>
      </x:c>
      <x:c r="C74" s="43" t="str">
        <x:v>es150</x:v>
      </x:c>
      <x:c r="D74" s="43" t="str">
        <x:v>151</x:v>
      </x:c>
      <x:c r="E74" s="43" t="str">
        <x:v>c_se_analysis</x:v>
      </x:c>
      <x:c r="F74" s="43" t="str">
        <x:v>0.6596</x:v>
      </x:c>
      <x:c r="G74" s="43" t="str">
        <x:v>0.682381</x:v>
      </x:c>
      <x:c r="H74" s="43" t="str">
        <x:v>Corrected derived value</x:v>
      </x:c>
      <x:c r="I74" s="43" t="str">
        <x:v>included_studies/abramova_2020_genpath/abramova2020_descriptives.xlsx, tidy_all</x:v>
      </x:c>
      <x:c r="J74" s="43" t="str">
        <x:v>Retain the author-data SD and n; correct only the deterministic SE derivation.</x:v>
      </x:c>
    </x:row>
    <x:row r="75">
      <x:c r="A75" s="43" t="str">
        <x:v>5 – Abramova 2020 derived SEs</x:v>
      </x:c>
      <x:c r="B75" s="43" t="str">
        <x:v>abramova_2020_genpath</x:v>
      </x:c>
      <x:c r="C75" s="43" t="str">
        <x:v>es151</x:v>
      </x:c>
      <x:c r="D75" s="43" t="str">
        <x:v>152</x:v>
      </x:c>
      <x:c r="E75" s="43" t="str">
        <x:v>c_se_analysis</x:v>
      </x:c>
      <x:c r="F75" s="43" t="str">
        <x:v>1.3618</x:v>
      </x:c>
      <x:c r="G75" s="43" t="str">
        <x:v>1.164723</x:v>
      </x:c>
      <x:c r="H75" s="43" t="str">
        <x:v>Corrected derived value</x:v>
      </x:c>
      <x:c r="I75" s="43" t="str">
        <x:v>included_studies/abramova_2020_genpath/abramova2020_descriptives.xlsx, tidy_all</x:v>
      </x:c>
      <x:c r="J75" s="43" t="str">
        <x:v>Retain the author-data SD and n; correct only the deterministic SE derivation.</x:v>
      </x:c>
    </x:row>
    <x:row r="76">
      <x:c r="A76" s="43" t="str">
        <x:v>5 – Abramova 2020 derived SEs</x:v>
      </x:c>
      <x:c r="B76" s="43" t="str">
        <x:v>abramova_2020_genpath</x:v>
      </x:c>
      <x:c r="C76" s="43" t="str">
        <x:v>es152</x:v>
      </x:c>
      <x:c r="D76" s="43" t="str">
        <x:v>153</x:v>
      </x:c>
      <x:c r="E76" s="43" t="str">
        <x:v>c_se_analysis</x:v>
      </x:c>
      <x:c r="F76" s="43" t="str">
        <x:v>10.6014</x:v>
      </x:c>
      <x:c r="G76" s="43" t="str">
        <x:v>8.57418</x:v>
      </x:c>
      <x:c r="H76" s="43" t="str">
        <x:v>Corrected derived value</x:v>
      </x:c>
      <x:c r="I76" s="43" t="str">
        <x:v>included_studies/abramova_2020_genpath/abramova2020_descriptives.xlsx, tidy_all</x:v>
      </x:c>
      <x:c r="J76" s="43" t="str">
        <x:v>Retain the author-data SD and n; correct only the deterministic SE derivation.</x:v>
      </x:c>
    </x:row>
    <x:row r="77">
      <x:c r="A77" s="43" t="str">
        <x:v>5 – Abramova 2020 derived SEs</x:v>
      </x:c>
      <x:c r="B77" s="43" t="str">
        <x:v>abramova_2020_genpath</x:v>
      </x:c>
      <x:c r="C77" s="43" t="str">
        <x:v>es153</x:v>
      </x:c>
      <x:c r="D77" s="43" t="str">
        <x:v>154</x:v>
      </x:c>
      <x:c r="E77" s="43" t="str">
        <x:v>c_se_analysis</x:v>
      </x:c>
      <x:c r="F77" s="43" t="str">
        <x:v>11.0271</x:v>
      </x:c>
      <x:c r="G77" s="43" t="str">
        <x:v>10.421458</x:v>
      </x:c>
      <x:c r="H77" s="43" t="str">
        <x:v>Corrected derived value</x:v>
      </x:c>
      <x:c r="I77" s="43" t="str">
        <x:v>included_studies/abramova_2020_genpath/abramova2020_descriptives.xlsx, tidy_all</x:v>
      </x:c>
      <x:c r="J77" s="43" t="str">
        <x:v>Retain the author-data SD and n; correct only the deterministic SE derivation.</x:v>
      </x:c>
    </x:row>
    <x:row r="78">
      <x:c r="A78" s="43" t="str">
        <x:v>5 – Abramova 2020 derived SEs</x:v>
      </x:c>
      <x:c r="B78" s="43" t="str">
        <x:v>abramova_2020_genpath</x:v>
      </x:c>
      <x:c r="C78" s="43" t="str">
        <x:v>es154</x:v>
      </x:c>
      <x:c r="D78" s="43" t="str">
        <x:v>155</x:v>
      </x:c>
      <x:c r="E78" s="43" t="str">
        <x:v>c_se_analysis</x:v>
      </x:c>
      <x:c r="F78" s="43" t="str">
        <x:v>1.8448</x:v>
      </x:c>
      <x:c r="G78" s="43" t="str">
        <x:v>0.864128</x:v>
      </x:c>
      <x:c r="H78" s="43" t="str">
        <x:v>Corrected derived value</x:v>
      </x:c>
      <x:c r="I78" s="43" t="str">
        <x:v>included_studies/abramova_2020_genpath/abramova2020_descriptives.xlsx, tidy_all</x:v>
      </x:c>
      <x:c r="J78" s="43" t="str">
        <x:v>Retain the author-data SD and n; correct only the deterministic SE derivation.</x:v>
      </x:c>
    </x:row>
    <x:row r="79">
      <x:c r="A79" s="43" t="str">
        <x:v>5 – Abramova 2020 derived SEs</x:v>
      </x:c>
      <x:c r="B79" s="43" t="str">
        <x:v>abramova_2020_genpath</x:v>
      </x:c>
      <x:c r="C79" s="43" t="str">
        <x:v>es155</x:v>
      </x:c>
      <x:c r="D79" s="43" t="str">
        <x:v>156</x:v>
      </x:c>
      <x:c r="E79" s="43" t="str">
        <x:v>c_se_analysis</x:v>
      </x:c>
      <x:c r="F79" s="43" t="str">
        <x:v>2.763</x:v>
      </x:c>
      <x:c r="G79" s="43" t="str">
        <x:v>1.295561</x:v>
      </x:c>
      <x:c r="H79" s="43" t="str">
        <x:v>Corrected derived value</x:v>
      </x:c>
      <x:c r="I79" s="43" t="str">
        <x:v>included_studies/abramova_2020_genpath/abramova2020_descriptives.xlsx, tidy_all</x:v>
      </x:c>
      <x:c r="J79" s="43" t="str">
        <x:v>Retain the author-data SD and n; correct only the deterministic SE derivation.</x:v>
      </x:c>
    </x:row>
    <x:row r="80">
      <x:c r="A80" s="43" t="str">
        <x:v>5 – Abramova 2020 derived SEs</x:v>
      </x:c>
      <x:c r="B80" s="43" t="str">
        <x:v>abramova_2020_genpath</x:v>
      </x:c>
      <x:c r="C80" s="43" t="str">
        <x:v>es156</x:v>
      </x:c>
      <x:c r="D80" s="43" t="str">
        <x:v>157</x:v>
      </x:c>
      <x:c r="E80" s="43" t="str">
        <x:v>c_se_analysis</x:v>
      </x:c>
      <x:c r="F80" s="43" t="str">
        <x:v>5.1394</x:v>
      </x:c>
      <x:c r="G80" s="43" t="str">
        <x:v>8.108117</x:v>
      </x:c>
      <x:c r="H80" s="43" t="str">
        <x:v>Corrected derived value</x:v>
      </x:c>
      <x:c r="I80" s="43" t="str">
        <x:v>included_studies/abramova_2020_genpath/abramova2020_descriptives.xlsx, tidy_all</x:v>
      </x:c>
      <x:c r="J80" s="43" t="str">
        <x:v>Retain the author-data SD and n; correct only the deterministic SE derivation.</x:v>
      </x:c>
    </x:row>
    <x:row r="81">
      <x:c r="A81" s="43" t="str">
        <x:v>5 – Abramova 2020 derived SEs</x:v>
      </x:c>
      <x:c r="B81" s="43" t="str">
        <x:v>abramova_2020_genpath</x:v>
      </x:c>
      <x:c r="C81" s="43" t="str">
        <x:v>es157</x:v>
      </x:c>
      <x:c r="D81" s="43" t="str">
        <x:v>158</x:v>
      </x:c>
      <x:c r="E81" s="43" t="str">
        <x:v>c_se_analysis</x:v>
      </x:c>
      <x:c r="F81" s="43" t="str">
        <x:v>2.6348</x:v>
      </x:c>
      <x:c r="G81" s="43" t="str">
        <x:v>7.265923</x:v>
      </x:c>
      <x:c r="H81" s="43" t="str">
        <x:v>Corrected derived value</x:v>
      </x:c>
      <x:c r="I81" s="43" t="str">
        <x:v>included_studies/abramova_2020_genpath/abramova2020_descriptives.xlsx, tidy_all</x:v>
      </x:c>
      <x:c r="J81" s="43" t="str">
        <x:v>Retain the author-data SD and n; correct only the deterministic SE derivation.</x:v>
      </x:c>
    </x:row>
    <x:row r="82">
      <x:c r="A82" s="43" t="str">
        <x:v>5 – Abramova 2020 derived SEs</x:v>
      </x:c>
      <x:c r="B82" s="43" t="str">
        <x:v>abramova_2020_genpath</x:v>
      </x:c>
      <x:c r="C82" s="43" t="str">
        <x:v>es158</x:v>
      </x:c>
      <x:c r="D82" s="43" t="str">
        <x:v>159</x:v>
      </x:c>
      <x:c r="E82" s="43" t="str">
        <x:v>c_se_analysis</x:v>
      </x:c>
      <x:c r="F82" s="43" t="str">
        <x:v>0.8497</x:v>
      </x:c>
      <x:c r="G82" s="43" t="str">
        <x:v>0.531133</x:v>
      </x:c>
      <x:c r="H82" s="43" t="str">
        <x:v>Corrected derived value</x:v>
      </x:c>
      <x:c r="I82" s="43" t="str">
        <x:v>included_studies/abramova_2020_genpath/abramova2020_descriptives.xlsx, tidy_all</x:v>
      </x:c>
      <x:c r="J82" s="43" t="str">
        <x:v>Retain the author-data SD and n; correct only the deterministic SE derivation.</x:v>
      </x:c>
    </x:row>
    <x:row r="83">
      <x:c r="A83" s="43" t="str">
        <x:v>5 – Abramova 2020 derived SEs</x:v>
      </x:c>
      <x:c r="B83" s="43" t="str">
        <x:v>abramova_2020_genpath</x:v>
      </x:c>
      <x:c r="C83" s="43" t="str">
        <x:v>es159</x:v>
      </x:c>
      <x:c r="D83" s="43" t="str">
        <x:v>160</x:v>
      </x:c>
      <x:c r="E83" s="43" t="str">
        <x:v>c_se_analysis</x:v>
      </x:c>
      <x:c r="F83" s="43" t="str">
        <x:v>1.0345</x:v>
      </x:c>
      <x:c r="G83" s="43" t="str">
        <x:v>0.53099</x:v>
      </x:c>
      <x:c r="H83" s="43" t="str">
        <x:v>Corrected derived value</x:v>
      </x:c>
      <x:c r="I83" s="43" t="str">
        <x:v>included_studies/abramova_2020_genpath/abramova2020_descriptives.xlsx, tidy_all</x:v>
      </x:c>
      <x:c r="J83" s="43" t="str">
        <x:v>Retain the author-data SD and n; correct only the deterministic SE derivation.</x:v>
      </x:c>
    </x:row>
    <x:row r="84">
      <x:c r="A84" s="43" t="str">
        <x:v>5 – Abramova 2020 derived SEs</x:v>
      </x:c>
      <x:c r="B84" s="43" t="str">
        <x:v>abramova_2020_genpath</x:v>
      </x:c>
      <x:c r="C84" s="43" t="str">
        <x:v>es160</x:v>
      </x:c>
      <x:c r="D84" s="43" t="str">
        <x:v>161</x:v>
      </x:c>
      <x:c r="E84" s="43" t="str">
        <x:v>c_se_analysis</x:v>
      </x:c>
      <x:c r="F84" s="43" t="str">
        <x:v>54.0167</x:v>
      </x:c>
      <x:c r="G84" s="43" t="str">
        <x:v>13.930026</x:v>
      </x:c>
      <x:c r="H84" s="43" t="str">
        <x:v>Corrected derived value</x:v>
      </x:c>
      <x:c r="I84" s="43" t="str">
        <x:v>included_studies/abramova_2020_genpath/abramova2020_descriptives.xlsx, tidy_all</x:v>
      </x:c>
      <x:c r="J84" s="43" t="str">
        <x:v>Retain the author-data SD and n; correct only the deterministic SE derivation.</x:v>
      </x:c>
    </x:row>
    <x:row r="85">
      <x:c r="A85" s="43" t="str">
        <x:v>5 – Abramova 2020 derived SEs</x:v>
      </x:c>
      <x:c r="B85" s="43" t="str">
        <x:v>abramova_2020_genpath</x:v>
      </x:c>
      <x:c r="C85" s="43" t="str">
        <x:v>es160</x:v>
      </x:c>
      <x:c r="D85" s="43" t="str">
        <x:v>161</x:v>
      </x:c>
      <x:c r="E85" s="43" t="str">
        <x:v>ex_se_analysis</x:v>
      </x:c>
      <x:c r="F85" s="43" t="str">
        <x:v>42.7578</x:v>
      </x:c>
      <x:c r="G85" s="43" t="str">
        <x:v>16.378815</x:v>
      </x:c>
      <x:c r="H85" s="43" t="str">
        <x:v>Corrected derived value</x:v>
      </x:c>
      <x:c r="I85" s="43" t="str">
        <x:v>included_studies/abramova_2020_genpath/abramova2020_descriptives.xlsx, tidy_all</x:v>
      </x:c>
      <x:c r="J85" s="43" t="str">
        <x:v>Retain the author-data SD and n; correct only the deterministic SE derivation.</x:v>
      </x:c>
    </x:row>
    <x:row r="86">
      <x:c r="A86" s="43" t="str">
        <x:v>5 – Abramova 2020 derived SEs</x:v>
      </x:c>
      <x:c r="B86" s="43" t="str">
        <x:v>abramova_2020_genpath</x:v>
      </x:c>
      <x:c r="C86" s="43" t="str">
        <x:v>es161</x:v>
      </x:c>
      <x:c r="D86" s="43" t="str">
        <x:v>162</x:v>
      </x:c>
      <x:c r="E86" s="43" t="str">
        <x:v>c_se_analysis</x:v>
      </x:c>
      <x:c r="F86" s="43" t="str">
        <x:v>42.2685</x:v>
      </x:c>
      <x:c r="G86" s="43" t="str">
        <x:v>13.264451</x:v>
      </x:c>
      <x:c r="H86" s="43" t="str">
        <x:v>Corrected derived value</x:v>
      </x:c>
      <x:c r="I86" s="43" t="str">
        <x:v>included_studies/abramova_2020_genpath/abramova2020_descriptives.xlsx, tidy_all</x:v>
      </x:c>
      <x:c r="J86" s="43" t="str">
        <x:v>Retain the author-data SD and n; correct only the deterministic SE derivation.</x:v>
      </x:c>
    </x:row>
    <x:row r="87">
      <x:c r="A87" s="43" t="str">
        <x:v>5 – Abramova 2020 derived SEs</x:v>
      </x:c>
      <x:c r="B87" s="43" t="str">
        <x:v>abramova_2020_genpath</x:v>
      </x:c>
      <x:c r="C87" s="43" t="str">
        <x:v>es161</x:v>
      </x:c>
      <x:c r="D87" s="43" t="str">
        <x:v>162</x:v>
      </x:c>
      <x:c r="E87" s="43" t="str">
        <x:v>ex_se_analysis</x:v>
      </x:c>
      <x:c r="F87" s="43" t="str">
        <x:v>51.7909</x:v>
      </x:c>
      <x:c r="G87" s="43" t="str">
        <x:v>18.9553</x:v>
      </x:c>
      <x:c r="H87" s="43" t="str">
        <x:v>Corrected derived value</x:v>
      </x:c>
      <x:c r="I87" s="43" t="str">
        <x:v>included_studies/abramova_2020_genpath/abramova2020_descriptives.xlsx, tidy_all</x:v>
      </x:c>
      <x:c r="J87" s="43" t="str">
        <x:v>Retain the author-data SD and n; correct only the deterministic SE derivation.</x:v>
      </x:c>
    </x:row>
    <x:row r="88">
      <x:c r="A88" s="43" t="str">
        <x:v>5 – Abramova 2020 derived SEs</x:v>
      </x:c>
      <x:c r="B88" s="43" t="str">
        <x:v>abramova_2020_genpath</x:v>
      </x:c>
      <x:c r="C88" s="43" t="str">
        <x:v>es162</x:v>
      </x:c>
      <x:c r="D88" s="43" t="str">
        <x:v>163</x:v>
      </x:c>
      <x:c r="E88" s="43" t="str">
        <x:v>c_se_analysis</x:v>
      </x:c>
      <x:c r="F88" s="43" t="str">
        <x:v>18.658</x:v>
      </x:c>
      <x:c r="G88" s="43" t="str">
        <x:v>12.045387</x:v>
      </x:c>
      <x:c r="H88" s="43" t="str">
        <x:v>Corrected derived value</x:v>
      </x:c>
      <x:c r="I88" s="43" t="str">
        <x:v>included_studies/abramova_2020_genpath/abramova2020_descriptives.xlsx, tidy_all</x:v>
      </x:c>
      <x:c r="J88" s="43" t="str">
        <x:v>Retain the author-data SD and n; correct only the deterministic SE derivation.</x:v>
      </x:c>
    </x:row>
    <x:row r="89">
      <x:c r="A89" s="43" t="str">
        <x:v>5 – Abramova 2020 derived SEs</x:v>
      </x:c>
      <x:c r="B89" s="43" t="str">
        <x:v>abramova_2020_genpath</x:v>
      </x:c>
      <x:c r="C89" s="43" t="str">
        <x:v>es162</x:v>
      </x:c>
      <x:c r="D89" s="43" t="str">
        <x:v>163</x:v>
      </x:c>
      <x:c r="E89" s="43" t="str">
        <x:v>ex_sd</x:v>
      </x:c>
      <x:c r="F89" s="43" t="str">
        <x:v>28.588</x:v>
      </x:c>
      <x:c r="G89" s="43" t="str">
        <x:v>28.935591</x:v>
      </x:c>
      <x:c r="H89" s="43" t="str">
        <x:v>Corrected transcription</x:v>
      </x:c>
      <x:c r="I89" s="43" t="str">
        <x:v>included_studies/abramova_2020_genpath/abramova2020_descriptives.xlsx, tidy_all</x:v>
      </x:c>
      <x:c r="J89" s="43" t="str">
        <x:v>Use the SD in the matching author-data descriptive row before deriving SE.</x:v>
      </x:c>
    </x:row>
    <x:row r="90">
      <x:c r="A90" s="43" t="str">
        <x:v>5 – Abramova 2020 derived SEs</x:v>
      </x:c>
      <x:c r="B90" s="43" t="str">
        <x:v>abramova_2020_genpath</x:v>
      </x:c>
      <x:c r="C90" s="43" t="str">
        <x:v>es162</x:v>
      </x:c>
      <x:c r="D90" s="43" t="str">
        <x:v>163</x:v>
      </x:c>
      <x:c r="E90" s="43" t="str">
        <x:v>ex_se_analysis</x:v>
      </x:c>
      <x:c r="F90" s="43" t="str">
        <x:v>13.4021</x:v>
      </x:c>
      <x:c r="G90" s="43" t="str">
        <x:v>6.63828</x:v>
      </x:c>
      <x:c r="H90" s="43" t="str">
        <x:v>Corrected derived value</x:v>
      </x:c>
      <x:c r="I90" s="43" t="str">
        <x:v>included_studies/abramova_2020_genpath/abramova2020_descriptives.xlsx, tidy_all</x:v>
      </x:c>
      <x:c r="J90" s="43" t="str">
        <x:v>Retain the author-data SD and n; correct only the deterministic SE derivation.</x:v>
      </x:c>
    </x:row>
    <x:row r="91">
      <x:c r="A91" s="43" t="str">
        <x:v>5 – Abramova 2020 derived SEs</x:v>
      </x:c>
      <x:c r="B91" s="43" t="str">
        <x:v>abramova_2020_genpath</x:v>
      </x:c>
      <x:c r="C91" s="43" t="str">
        <x:v>es163</x:v>
      </x:c>
      <x:c r="D91" s="43" t="str">
        <x:v>164</x:v>
      </x:c>
      <x:c r="E91" s="43" t="str">
        <x:v>c_se_analysis</x:v>
      </x:c>
      <x:c r="F91" s="43" t="str">
        <x:v>15.4811</x:v>
      </x:c>
      <x:c r="G91" s="43" t="str">
        <x:v>6.411963</x:v>
      </x:c>
      <x:c r="H91" s="43" t="str">
        <x:v>Corrected derived value</x:v>
      </x:c>
      <x:c r="I91" s="43" t="str">
        <x:v>included_studies/abramova_2020_genpath/abramova2020_descriptives.xlsx, tidy_all</x:v>
      </x:c>
      <x:c r="J91" s="43" t="str">
        <x:v>Retain the author-data SD and n; correct only the deterministic SE derivation.</x:v>
      </x:c>
    </x:row>
    <x:row r="92">
      <x:c r="A92" s="43" t="str">
        <x:v>5 – Abramova 2020 derived SEs</x:v>
      </x:c>
      <x:c r="B92" s="43" t="str">
        <x:v>abramova_2020_genpath</x:v>
      </x:c>
      <x:c r="C92" s="43" t="str">
        <x:v>es163</x:v>
      </x:c>
      <x:c r="D92" s="43" t="str">
        <x:v>164</x:v>
      </x:c>
      <x:c r="E92" s="43" t="str">
        <x:v>ex_se_analysis</x:v>
      </x:c>
      <x:c r="F92" s="43" t="str">
        <x:v>12.4549</x:v>
      </x:c>
      <x:c r="G92" s="43" t="str">
        <x:v>8.4909</x:v>
      </x:c>
      <x:c r="H92" s="43" t="str">
        <x:v>Corrected derived value</x:v>
      </x:c>
      <x:c r="I92" s="43" t="str">
        <x:v>included_studies/abramova_2020_genpath/abramova2020_descriptives.xlsx, tidy_all</x:v>
      </x:c>
      <x:c r="J92" s="43" t="str">
        <x:v>Retain the author-data SD and n; correct only the deterministic SE derivation.</x:v>
      </x:c>
    </x:row>
    <x:row r="93">
      <x:c r="A93" s="43" t="str">
        <x:v>6 – Abramova 2021 same-sex controls</x:v>
      </x:c>
      <x:c r="B93" s="43" t="str">
        <x:v>abramova_2021_front</x:v>
      </x:c>
      <x:c r="C93" s="43" t="str">
        <x:v>es074</x:v>
      </x:c>
      <x:c r="D93" s="43" t="str">
        <x:v>75</x:v>
      </x:c>
      <x:c r="E93" s="43" t="str">
        <x:v>c_mean</x:v>
      </x:c>
      <x:c r="F93" s="43" t="str">
        <x:v>29</x:v>
      </x:c>
      <x:c r="G93" s="43" t="str">
        <x:v>33.73913</x:v>
      </x:c>
      <x:c r="H93" s="43" t="str">
        <x:v>Corrected transcription</x:v>
      </x:c>
      <x:c r="I93" s="43" t="str">
        <x:v>included_studies/abramova_2021_front/abramova_2021_front.xlsx, Лист1, handling=No handling</x:v>
      </x:c>
      <x:c r="J93" s="43" t="str">
        <x:v>Recalculate the control mean from the same-sex author raw subgroup (squares).</x:v>
      </x:c>
    </x:row>
    <x:row r="94">
      <x:c r="A94" s="43" t="str">
        <x:v>6 – Abramova 2021 same-sex controls</x:v>
      </x:c>
      <x:c r="B94" s="43" t="str">
        <x:v>abramova_2021_front</x:v>
      </x:c>
      <x:c r="C94" s="43" t="str">
        <x:v>es074</x:v>
      </x:c>
      <x:c r="D94" s="43" t="str">
        <x:v>75</x:v>
      </x:c>
      <x:c r="E94" s="43" t="str">
        <x:v>c_n</x:v>
      </x:c>
      <x:c r="F94" s="43" t="str">
        <x:v>25</x:v>
      </x:c>
      <x:c r="G94" s="43" t="str">
        <x:v>23</x:v>
      </x:c>
      <x:c r="H94" s="43" t="str">
        <x:v>Corrected transcription</x:v>
      </x:c>
      <x:c r="I94" s="43" t="str">
        <x:v>included_studies/abramova_2021_front/abramova_2021_front.xlsx, Лист1, handling=No handling</x:v>
      </x:c>
      <x:c r="J94" s="43" t="str">
        <x:v>Use the females control subgroup matching offspring_sex.</x:v>
      </x:c>
    </x:row>
    <x:row r="95">
      <x:c r="A95" s="43" t="str">
        <x:v>6 – Abramova 2021 same-sex controls</x:v>
      </x:c>
      <x:c r="B95" s="43" t="str">
        <x:v>abramova_2021_front</x:v>
      </x:c>
      <x:c r="C95" s="43" t="str">
        <x:v>es074</x:v>
      </x:c>
      <x:c r="D95" s="43" t="str">
        <x:v>75</x:v>
      </x:c>
      <x:c r="E95" s="43" t="str">
        <x:v>c_sd</x:v>
      </x:c>
      <x:c r="F95" s="43" t="str">
        <x:v>15.7903</x:v>
      </x:c>
      <x:c r="G95" s="43" t="str">
        <x:v>16.895985</x:v>
      </x:c>
      <x:c r="H95" s="43" t="str">
        <x:v>Corrected transcription</x:v>
      </x:c>
      <x:c r="I95" s="43" t="str">
        <x:v>included_studies/abramova_2021_front/abramova_2021_front.xlsx, Лист1, handling=No handling</x:v>
      </x:c>
      <x:c r="J95" s="43" t="str">
        <x:v>Recalculate the control SD from the same-sex author raw subgroup (squares).</x:v>
      </x:c>
    </x:row>
    <x:row r="96">
      <x:c r="A96" s="43" t="str">
        <x:v>6 – Abramova 2021 same-sex controls</x:v>
      </x:c>
      <x:c r="B96" s="43" t="str">
        <x:v>abramova_2021_front</x:v>
      </x:c>
      <x:c r="C96" s="43" t="str">
        <x:v>es074</x:v>
      </x:c>
      <x:c r="D96" s="43" t="str">
        <x:v>75</x:v>
      </x:c>
      <x:c r="E96" s="43" t="str">
        <x:v>c_se_analysis</x:v>
      </x:c>
      <x:c r="F96" s="43" t="str">
        <x:v>3.1581</x:v>
      </x:c>
      <x:c r="G96" s="43" t="str">
        <x:v>3.523056</x:v>
      </x:c>
      <x:c r="H96" s="43" t="str">
        <x:v>Corrected derived value</x:v>
      </x:c>
      <x:c r="I96" s="43" t="str">
        <x:v>included_studies/abramova_2021_front/abramova_2021_front.xlsx, Лист1, handling=No handling</x:v>
      </x:c>
      <x:c r="J96" s="43" t="str">
        <x:v>Recalculate SE after replacing the opposite-sex control summary with the same-sex subgroup.</x:v>
      </x:c>
    </x:row>
    <x:row r="97">
      <x:c r="A97" s="43" t="str">
        <x:v>6 – Abramova 2021 same-sex controls</x:v>
      </x:c>
      <x:c r="B97" s="43" t="str">
        <x:v>abramova_2021_front</x:v>
      </x:c>
      <x:c r="C97" s="43" t="str">
        <x:v>es074</x:v>
      </x:c>
      <x:c r="D97" s="43" t="str">
        <x:v>75</x:v>
      </x:c>
      <x:c r="E97" s="43" t="str">
        <x:v>data_file</x:v>
      </x:c>
      <x:c r="F97" s="43" t="str">
        <x:v>OF-pups-abramova2015</x:v>
      </x:c>
      <x:c r="G97" s="43" t="str">
        <x:v>included_studies/abramova_2021_front/abramova_2021_front.xlsx</x:v>
      </x:c>
      <x:c r="H97" s="43" t="str">
        <x:v>Corrected transcription</x:v>
      </x:c>
      <x:c r="I97" s="43" t="str">
        <x:v>included_studies/abramova_2021_front/abramova_2021_front.xlsx, Лист1, handling=No handling</x:v>
      </x:c>
      <x:c r="J97" s="43" t="str">
        <x:v>Use the stable path to the saved author workbook.</x:v>
      </x:c>
    </x:row>
    <x:row r="98">
      <x:c r="A98" s="43" t="str">
        <x:v>6 – Abramova 2021 same-sex controls</x:v>
      </x:c>
      <x:c r="B98" s="43" t="str">
        <x:v>abramova_2021_front</x:v>
      </x:c>
      <x:c r="C98" s="43" t="str">
        <x:v>es074</x:v>
      </x:c>
      <x:c r="D98" s="43" t="str">
        <x:v>75</x:v>
      </x:c>
      <x:c r="E98" s="43" t="str">
        <x:v>data_source</x:v>
      </x:c>
      <x:c r="F98" s="43" t="str">
        <x:v>Figure 2a</x:v>
      </x:c>
      <x:c r="G98" s="43" t="str">
        <x:v>Author raw data</x:v>
      </x:c>
      <x:c r="H98" s="43" t="str">
        <x:v>Corrected transcription</x:v>
      </x:c>
      <x:c r="I98" s="43" t="str">
        <x:v>included_studies/abramova_2021_front/abramova_2021_front.xlsx, Лист1, handling=No handling</x:v>
      </x:c>
      <x:c r="J98" s="43" t="str">
        <x:v>All summaries in this package are calculated from the saved author workbook.</x:v>
      </x:c>
    </x:row>
    <x:row r="99">
      <x:c r="A99" s="43" t="str">
        <x:v>6 – Abramova 2021 same-sex controls</x:v>
      </x:c>
      <x:c r="B99" s="43" t="str">
        <x:v>abramova_2021_front</x:v>
      </x:c>
      <x:c r="C99" s="43" t="str">
        <x:v>es075</x:v>
      </x:c>
      <x:c r="D99" s="43" t="str">
        <x:v>76</x:v>
      </x:c>
      <x:c r="E99" s="43" t="str">
        <x:v>c_mean</x:v>
      </x:c>
      <x:c r="F99" s="43" t="str">
        <x:v>33.7391</x:v>
      </x:c>
      <x:c r="G99" s="43" t="str">
        <x:v>29</x:v>
      </x:c>
      <x:c r="H99" s="43" t="str">
        <x:v>Corrected transcription</x:v>
      </x:c>
      <x:c r="I99" s="43" t="str">
        <x:v>included_studies/abramova_2021_front/abramova_2021_front.xlsx, Лист1, handling=No handling</x:v>
      </x:c>
      <x:c r="J99" s="43" t="str">
        <x:v>Recalculate the control mean from the same-sex author raw subgroup (squares).</x:v>
      </x:c>
    </x:row>
    <x:row r="100">
      <x:c r="A100" s="43" t="str">
        <x:v>6 – Abramova 2021 same-sex controls</x:v>
      </x:c>
      <x:c r="B100" s="43" t="str">
        <x:v>abramova_2021_front</x:v>
      </x:c>
      <x:c r="C100" s="43" t="str">
        <x:v>es075</x:v>
      </x:c>
      <x:c r="D100" s="43" t="str">
        <x:v>76</x:v>
      </x:c>
      <x:c r="E100" s="43" t="str">
        <x:v>c_n</x:v>
      </x:c>
      <x:c r="F100" s="43" t="str">
        <x:v>23</x:v>
      </x:c>
      <x:c r="G100" s="43" t="str">
        <x:v>25</x:v>
      </x:c>
      <x:c r="H100" s="43" t="str">
        <x:v>Corrected transcription</x:v>
      </x:c>
      <x:c r="I100" s="43" t="str">
        <x:v>included_studies/abramova_2021_front/abramova_2021_front.xlsx, Лист1, handling=No handling</x:v>
      </x:c>
      <x:c r="J100" s="43" t="str">
        <x:v>Use the males control subgroup matching offspring_sex.</x:v>
      </x:c>
    </x:row>
    <x:row r="101">
      <x:c r="A101" s="43" t="str">
        <x:v>6 – Abramova 2021 same-sex controls</x:v>
      </x:c>
      <x:c r="B101" s="43" t="str">
        <x:v>abramova_2021_front</x:v>
      </x:c>
      <x:c r="C101" s="43" t="str">
        <x:v>es075</x:v>
      </x:c>
      <x:c r="D101" s="43" t="str">
        <x:v>76</x:v>
      </x:c>
      <x:c r="E101" s="43" t="str">
        <x:v>c_sd</x:v>
      </x:c>
      <x:c r="F101" s="43" t="str">
        <x:v>16.896</x:v>
      </x:c>
      <x:c r="G101" s="43" t="str">
        <x:v>15.790292</x:v>
      </x:c>
      <x:c r="H101" s="43" t="str">
        <x:v>Corrected transcription</x:v>
      </x:c>
      <x:c r="I101" s="43" t="str">
        <x:v>included_studies/abramova_2021_front/abramova_2021_front.xlsx, Лист1, handling=No handling</x:v>
      </x:c>
      <x:c r="J101" s="43" t="str">
        <x:v>Recalculate the control SD from the same-sex author raw subgroup (squares).</x:v>
      </x:c>
    </x:row>
    <x:row r="102">
      <x:c r="A102" s="43" t="str">
        <x:v>6 – Abramova 2021 same-sex controls</x:v>
      </x:c>
      <x:c r="B102" s="43" t="str">
        <x:v>abramova_2021_front</x:v>
      </x:c>
      <x:c r="C102" s="43" t="str">
        <x:v>es075</x:v>
      </x:c>
      <x:c r="D102" s="43" t="str">
        <x:v>76</x:v>
      </x:c>
      <x:c r="E102" s="43" t="str">
        <x:v>c_se_analysis</x:v>
      </x:c>
      <x:c r="F102" s="43" t="str">
        <x:v>3.5231</x:v>
      </x:c>
      <x:c r="G102" s="43" t="str">
        <x:v>3.158058</x:v>
      </x:c>
      <x:c r="H102" s="43" t="str">
        <x:v>Corrected derived value</x:v>
      </x:c>
      <x:c r="I102" s="43" t="str">
        <x:v>included_studies/abramova_2021_front/abramova_2021_front.xlsx, Лист1, handling=No handling</x:v>
      </x:c>
      <x:c r="J102" s="43" t="str">
        <x:v>Recalculate SE after replacing the opposite-sex control summary with the same-sex subgroup.</x:v>
      </x:c>
    </x:row>
    <x:row r="103">
      <x:c r="A103" s="43" t="str">
        <x:v>6 – Abramova 2021 same-sex controls</x:v>
      </x:c>
      <x:c r="B103" s="43" t="str">
        <x:v>abramova_2021_front</x:v>
      </x:c>
      <x:c r="C103" s="43" t="str">
        <x:v>es075</x:v>
      </x:c>
      <x:c r="D103" s="43" t="str">
        <x:v>76</x:v>
      </x:c>
      <x:c r="E103" s="43" t="str">
        <x:v>data_file</x:v>
      </x:c>
      <x:c r="F103" s="43" t="str">
        <x:v>OF-pups-abramova2016</x:v>
      </x:c>
      <x:c r="G103" s="43" t="str">
        <x:v>included_studies/abramova_2021_front/abramova_2021_front.xlsx</x:v>
      </x:c>
      <x:c r="H103" s="43" t="str">
        <x:v>Corrected transcription</x:v>
      </x:c>
      <x:c r="I103" s="43" t="str">
        <x:v>included_studies/abramova_2021_front/abramova_2021_front.xlsx, Лист1, handling=No handling</x:v>
      </x:c>
      <x:c r="J103" s="43" t="str">
        <x:v>Use the stable path to the saved author workbook.</x:v>
      </x:c>
    </x:row>
    <x:row r="104">
      <x:c r="A104" s="43" t="str">
        <x:v>6 – Abramova 2021 same-sex controls</x:v>
      </x:c>
      <x:c r="B104" s="43" t="str">
        <x:v>abramova_2021_front</x:v>
      </x:c>
      <x:c r="C104" s="43" t="str">
        <x:v>es075</x:v>
      </x:c>
      <x:c r="D104" s="43" t="str">
        <x:v>76</x:v>
      </x:c>
      <x:c r="E104" s="43" t="str">
        <x:v>data_source</x:v>
      </x:c>
      <x:c r="F104" s="43" t="str">
        <x:v>Figure 2a</x:v>
      </x:c>
      <x:c r="G104" s="43" t="str">
        <x:v>Author raw data</x:v>
      </x:c>
      <x:c r="H104" s="43" t="str">
        <x:v>Corrected transcription</x:v>
      </x:c>
      <x:c r="I104" s="43" t="str">
        <x:v>included_studies/abramova_2021_front/abramova_2021_front.xlsx, Лист1, handling=No handling</x:v>
      </x:c>
      <x:c r="J104" s="43" t="str">
        <x:v>All summaries in this package are calculated from the saved author workbook.</x:v>
      </x:c>
    </x:row>
    <x:row r="105">
      <x:c r="A105" s="43" t="str">
        <x:v>6 – Abramova 2021 same-sex controls</x:v>
      </x:c>
      <x:c r="B105" s="43" t="str">
        <x:v>abramova_2021_front</x:v>
      </x:c>
      <x:c r="C105" s="43" t="str">
        <x:v>es076</x:v>
      </x:c>
      <x:c r="D105" s="43" t="str">
        <x:v>77</x:v>
      </x:c>
      <x:c r="E105" s="43" t="str">
        <x:v>c_mean</x:v>
      </x:c>
      <x:c r="F105" s="43" t="str">
        <x:v>8.92</x:v>
      </x:c>
      <x:c r="G105" s="43" t="str">
        <x:v>10.130435</x:v>
      </x:c>
      <x:c r="H105" s="43" t="str">
        <x:v>Corrected transcription</x:v>
      </x:c>
      <x:c r="I105" s="43" t="str">
        <x:v>included_studies/abramova_2021_front/abramova_2021_front.xlsx, Лист1, handling=No handling</x:v>
      </x:c>
      <x:c r="J105" s="43" t="str">
        <x:v>Recalculate the control mean from the same-sex author raw subgroup (rearing).</x:v>
      </x:c>
    </x:row>
    <x:row r="106">
      <x:c r="A106" s="43" t="str">
        <x:v>6 – Abramova 2021 same-sex controls</x:v>
      </x:c>
      <x:c r="B106" s="43" t="str">
        <x:v>abramova_2021_front</x:v>
      </x:c>
      <x:c r="C106" s="43" t="str">
        <x:v>es076</x:v>
      </x:c>
      <x:c r="D106" s="43" t="str">
        <x:v>77</x:v>
      </x:c>
      <x:c r="E106" s="43" t="str">
        <x:v>c_n</x:v>
      </x:c>
      <x:c r="F106" s="43" t="str">
        <x:v>25</x:v>
      </x:c>
      <x:c r="G106" s="43" t="str">
        <x:v>23</x:v>
      </x:c>
      <x:c r="H106" s="43" t="str">
        <x:v>Corrected transcription</x:v>
      </x:c>
      <x:c r="I106" s="43" t="str">
        <x:v>included_studies/abramova_2021_front/abramova_2021_front.xlsx, Лист1, handling=No handling</x:v>
      </x:c>
      <x:c r="J106" s="43" t="str">
        <x:v>Use the females control subgroup matching offspring_sex.</x:v>
      </x:c>
    </x:row>
    <x:row r="107">
      <x:c r="A107" s="43" t="str">
        <x:v>6 – Abramova 2021 same-sex controls</x:v>
      </x:c>
      <x:c r="B107" s="43" t="str">
        <x:v>abramova_2021_front</x:v>
      </x:c>
      <x:c r="C107" s="43" t="str">
        <x:v>es076</x:v>
      </x:c>
      <x:c r="D107" s="43" t="str">
        <x:v>77</x:v>
      </x:c>
      <x:c r="E107" s="43" t="str">
        <x:v>c_sd</x:v>
      </x:c>
      <x:c r="F107" s="43" t="str">
        <x:v>6.9337</x:v>
      </x:c>
      <x:c r="G107" s="43" t="str">
        <x:v>8.7558</x:v>
      </x:c>
      <x:c r="H107" s="43" t="str">
        <x:v>Corrected transcription</x:v>
      </x:c>
      <x:c r="I107" s="43" t="str">
        <x:v>included_studies/abramova_2021_front/abramova_2021_front.xlsx, Лист1, handling=No handling</x:v>
      </x:c>
      <x:c r="J107" s="43" t="str">
        <x:v>Recalculate the control SD from the same-sex author raw subgroup (rearing).</x:v>
      </x:c>
    </x:row>
    <x:row r="108">
      <x:c r="A108" s="43" t="str">
        <x:v>6 – Abramova 2021 same-sex controls</x:v>
      </x:c>
      <x:c r="B108" s="43" t="str">
        <x:v>abramova_2021_front</x:v>
      </x:c>
      <x:c r="C108" s="43" t="str">
        <x:v>es076</x:v>
      </x:c>
      <x:c r="D108" s="43" t="str">
        <x:v>77</x:v>
      </x:c>
      <x:c r="E108" s="43" t="str">
        <x:v>c_se_analysis</x:v>
      </x:c>
      <x:c r="F108" s="43" t="str">
        <x:v>1.3867</x:v>
      </x:c>
      <x:c r="G108" s="43" t="str">
        <x:v>1.825711</x:v>
      </x:c>
      <x:c r="H108" s="43" t="str">
        <x:v>Corrected derived value</x:v>
      </x:c>
      <x:c r="I108" s="43" t="str">
        <x:v>included_studies/abramova_2021_front/abramova_2021_front.xlsx, Лист1, handling=No handling</x:v>
      </x:c>
      <x:c r="J108" s="43" t="str">
        <x:v>Recalculate SE after replacing the opposite-sex control summary with the same-sex subgroup.</x:v>
      </x:c>
    </x:row>
    <x:row r="109">
      <x:c r="A109" s="43" t="str">
        <x:v>6 – Abramova 2021 same-sex controls</x:v>
      </x:c>
      <x:c r="B109" s="43" t="str">
        <x:v>abramova_2021_front</x:v>
      </x:c>
      <x:c r="C109" s="43" t="str">
        <x:v>es076</x:v>
      </x:c>
      <x:c r="D109" s="43" t="str">
        <x:v>77</x:v>
      </x:c>
      <x:c r="E109" s="43" t="str">
        <x:v>data_file</x:v>
      </x:c>
      <x:c r="F109" s="43" t="str">
        <x:v>OF-pups-abramova2017</x:v>
      </x:c>
      <x:c r="G109" s="43" t="str">
        <x:v>included_studies/abramova_2021_front/abramova_2021_front.xlsx</x:v>
      </x:c>
      <x:c r="H109" s="43" t="str">
        <x:v>Corrected transcription</x:v>
      </x:c>
      <x:c r="I109" s="43" t="str">
        <x:v>included_studies/abramova_2021_front/abramova_2021_front.xlsx, Лист1, handling=No handling</x:v>
      </x:c>
      <x:c r="J109" s="43" t="str">
        <x:v>Use the stable path to the saved author workbook.</x:v>
      </x:c>
    </x:row>
    <x:row r="110">
      <x:c r="A110" s="43" t="str">
        <x:v>6 – Abramova 2021 same-sex controls</x:v>
      </x:c>
      <x:c r="B110" s="43" t="str">
        <x:v>abramova_2021_front</x:v>
      </x:c>
      <x:c r="C110" s="43" t="str">
        <x:v>es076</x:v>
      </x:c>
      <x:c r="D110" s="43" t="str">
        <x:v>77</x:v>
      </x:c>
      <x:c r="E110" s="43" t="str">
        <x:v>data_source</x:v>
      </x:c>
      <x:c r="F110" s="43" t="str">
        <x:v>Figure 2b</x:v>
      </x:c>
      <x:c r="G110" s="43" t="str">
        <x:v>Author raw data</x:v>
      </x:c>
      <x:c r="H110" s="43" t="str">
        <x:v>Corrected transcription</x:v>
      </x:c>
      <x:c r="I110" s="43" t="str">
        <x:v>included_studies/abramova_2021_front/abramova_2021_front.xlsx, Лист1, handling=No handling</x:v>
      </x:c>
      <x:c r="J110" s="43" t="str">
        <x:v>All summaries in this package are calculated from the saved author workbook.</x:v>
      </x:c>
    </x:row>
    <x:row r="111">
      <x:c r="A111" s="43" t="str">
        <x:v>6 – Abramova 2021 same-sex controls</x:v>
      </x:c>
      <x:c r="B111" s="43" t="str">
        <x:v>abramova_2021_front</x:v>
      </x:c>
      <x:c r="C111" s="43" t="str">
        <x:v>es077</x:v>
      </x:c>
      <x:c r="D111" s="43" t="str">
        <x:v>78</x:v>
      </x:c>
      <x:c r="E111" s="43" t="str">
        <x:v>c_mean</x:v>
      </x:c>
      <x:c r="F111" s="43" t="str">
        <x:v>10.1304</x:v>
      </x:c>
      <x:c r="G111" s="43" t="str">
        <x:v>8.92</x:v>
      </x:c>
      <x:c r="H111" s="43" t="str">
        <x:v>Corrected transcription</x:v>
      </x:c>
      <x:c r="I111" s="43" t="str">
        <x:v>included_studies/abramova_2021_front/abramova_2021_front.xlsx, Лист1, handling=No handling</x:v>
      </x:c>
      <x:c r="J111" s="43" t="str">
        <x:v>Recalculate the control mean from the same-sex author raw subgroup (rearing).</x:v>
      </x:c>
    </x:row>
    <x:row r="112">
      <x:c r="A112" s="43" t="str">
        <x:v>6 – Abramova 2021 same-sex controls</x:v>
      </x:c>
      <x:c r="B112" s="43" t="str">
        <x:v>abramova_2021_front</x:v>
      </x:c>
      <x:c r="C112" s="43" t="str">
        <x:v>es077</x:v>
      </x:c>
      <x:c r="D112" s="43" t="str">
        <x:v>78</x:v>
      </x:c>
      <x:c r="E112" s="43" t="str">
        <x:v>c_n</x:v>
      </x:c>
      <x:c r="F112" s="43" t="str">
        <x:v>23</x:v>
      </x:c>
      <x:c r="G112" s="43" t="str">
        <x:v>25</x:v>
      </x:c>
      <x:c r="H112" s="43" t="str">
        <x:v>Corrected transcription</x:v>
      </x:c>
      <x:c r="I112" s="43" t="str">
        <x:v>included_studies/abramova_2021_front/abramova_2021_front.xlsx, Лист1, handling=No handling</x:v>
      </x:c>
      <x:c r="J112" s="43" t="str">
        <x:v>Use the males control subgroup matching offspring_sex.</x:v>
      </x:c>
    </x:row>
    <x:row r="113">
      <x:c r="A113" s="43" t="str">
        <x:v>6 – Abramova 2021 same-sex controls</x:v>
      </x:c>
      <x:c r="B113" s="43" t="str">
        <x:v>abramova_2021_front</x:v>
      </x:c>
      <x:c r="C113" s="43" t="str">
        <x:v>es077</x:v>
      </x:c>
      <x:c r="D113" s="43" t="str">
        <x:v>78</x:v>
      </x:c>
      <x:c r="E113" s="43" t="str">
        <x:v>c_sd</x:v>
      </x:c>
      <x:c r="F113" s="43" t="str">
        <x:v>8.7558</x:v>
      </x:c>
      <x:c r="G113" s="43" t="str">
        <x:v>6.933734</x:v>
      </x:c>
      <x:c r="H113" s="43" t="str">
        <x:v>Corrected transcription</x:v>
      </x:c>
      <x:c r="I113" s="43" t="str">
        <x:v>included_studies/abramova_2021_front/abramova_2021_front.xlsx, Лист1, handling=No handling</x:v>
      </x:c>
      <x:c r="J113" s="43" t="str">
        <x:v>Recalculate the control SD from the same-sex author raw subgroup (rearing).</x:v>
      </x:c>
    </x:row>
    <x:row r="114">
      <x:c r="A114" s="43" t="str">
        <x:v>6 – Abramova 2021 same-sex controls</x:v>
      </x:c>
      <x:c r="B114" s="43" t="str">
        <x:v>abramova_2021_front</x:v>
      </x:c>
      <x:c r="C114" s="43" t="str">
        <x:v>es077</x:v>
      </x:c>
      <x:c r="D114" s="43" t="str">
        <x:v>78</x:v>
      </x:c>
      <x:c r="E114" s="43" t="str">
        <x:v>c_se_analysis</x:v>
      </x:c>
      <x:c r="F114" s="43" t="str">
        <x:v>1.8257</x:v>
      </x:c>
      <x:c r="G114" s="43" t="str">
        <x:v>1.386747</x:v>
      </x:c>
      <x:c r="H114" s="43" t="str">
        <x:v>Corrected derived value</x:v>
      </x:c>
      <x:c r="I114" s="43" t="str">
        <x:v>included_studies/abramova_2021_front/abramova_2021_front.xlsx, Лист1, handling=No handling</x:v>
      </x:c>
      <x:c r="J114" s="43" t="str">
        <x:v>Recalculate SE after replacing the opposite-sex control summary with the same-sex subgroup.</x:v>
      </x:c>
    </x:row>
    <x:row r="115">
      <x:c r="A115" s="43" t="str">
        <x:v>6 – Abramova 2021 same-sex controls</x:v>
      </x:c>
      <x:c r="B115" s="43" t="str">
        <x:v>abramova_2021_front</x:v>
      </x:c>
      <x:c r="C115" s="43" t="str">
        <x:v>es077</x:v>
      </x:c>
      <x:c r="D115" s="43" t="str">
        <x:v>78</x:v>
      </x:c>
      <x:c r="E115" s="43" t="str">
        <x:v>data_file</x:v>
      </x:c>
      <x:c r="F115" s="43" t="str">
        <x:v>OF-pups-abramova2018</x:v>
      </x:c>
      <x:c r="G115" s="43" t="str">
        <x:v>included_studies/abramova_2021_front/abramova_2021_front.xlsx</x:v>
      </x:c>
      <x:c r="H115" s="43" t="str">
        <x:v>Corrected transcription</x:v>
      </x:c>
      <x:c r="I115" s="43" t="str">
        <x:v>included_studies/abramova_2021_front/abramova_2021_front.xlsx, Лист1, handling=No handling</x:v>
      </x:c>
      <x:c r="J115" s="43" t="str">
        <x:v>Use the stable path to the saved author workbook.</x:v>
      </x:c>
    </x:row>
    <x:row r="116">
      <x:c r="A116" s="43" t="str">
        <x:v>6 – Abramova 2021 same-sex controls</x:v>
      </x:c>
      <x:c r="B116" s="43" t="str">
        <x:v>abramova_2021_front</x:v>
      </x:c>
      <x:c r="C116" s="43" t="str">
        <x:v>es077</x:v>
      </x:c>
      <x:c r="D116" s="43" t="str">
        <x:v>78</x:v>
      </x:c>
      <x:c r="E116" s="43" t="str">
        <x:v>data_source</x:v>
      </x:c>
      <x:c r="F116" s="43" t="str">
        <x:v>Figure 2b</x:v>
      </x:c>
      <x:c r="G116" s="43" t="str">
        <x:v>Author raw data</x:v>
      </x:c>
      <x:c r="H116" s="43" t="str">
        <x:v>Corrected transcription</x:v>
      </x:c>
      <x:c r="I116" s="43" t="str">
        <x:v>included_studies/abramova_2021_front/abramova_2021_front.xlsx, Лист1, handling=No handling</x:v>
      </x:c>
      <x:c r="J116" s="43" t="str">
        <x:v>All summaries in this package are calculated from the saved author workbook.</x:v>
      </x:c>
    </x:row>
    <x:row r="117">
      <x:c r="A117" s="43" t="str">
        <x:v>6 – Abramova 2021 same-sex controls</x:v>
      </x:c>
      <x:c r="B117" s="43" t="str">
        <x:v>abramova_2021_front</x:v>
      </x:c>
      <x:c r="C117" s="43" t="str">
        <x:v>es078</x:v>
      </x:c>
      <x:c r="D117" s="43" t="str">
        <x:v>79</x:v>
      </x:c>
      <x:c r="E117" s="43" t="str">
        <x:v>c_mean</x:v>
      </x:c>
      <x:c r="F117" s="43" t="str">
        <x:v>1.16</x:v>
      </x:c>
      <x:c r="G117" s="43" t="str">
        <x:v>2.26087</x:v>
      </x:c>
      <x:c r="H117" s="43" t="str">
        <x:v>Corrected transcription</x:v>
      </x:c>
      <x:c r="I117" s="43" t="str">
        <x:v>included_studies/abramova_2021_front/abramova_2021_front.xlsx, Лист1, handling=No handling</x:v>
      </x:c>
      <x:c r="J117" s="43" t="str">
        <x:v>Recalculate the control mean from the same-sex author raw subgroup (center_num).</x:v>
      </x:c>
    </x:row>
    <x:row r="118">
      <x:c r="A118" s="43" t="str">
        <x:v>6 – Abramova 2021 same-sex controls</x:v>
      </x:c>
      <x:c r="B118" s="43" t="str">
        <x:v>abramova_2021_front</x:v>
      </x:c>
      <x:c r="C118" s="43" t="str">
        <x:v>es078</x:v>
      </x:c>
      <x:c r="D118" s="43" t="str">
        <x:v>79</x:v>
      </x:c>
      <x:c r="E118" s="43" t="str">
        <x:v>c_n</x:v>
      </x:c>
      <x:c r="F118" s="43" t="str">
        <x:v>25</x:v>
      </x:c>
      <x:c r="G118" s="43" t="str">
        <x:v>23</x:v>
      </x:c>
      <x:c r="H118" s="43" t="str">
        <x:v>Corrected transcription</x:v>
      </x:c>
      <x:c r="I118" s="43" t="str">
        <x:v>included_studies/abramova_2021_front/abramova_2021_front.xlsx, Лист1, handling=No handling</x:v>
      </x:c>
      <x:c r="J118" s="43" t="str">
        <x:v>Use the females control subgroup matching offspring_sex.</x:v>
      </x:c>
    </x:row>
    <x:row r="119">
      <x:c r="A119" s="43" t="str">
        <x:v>6 – Abramova 2021 same-sex controls</x:v>
      </x:c>
      <x:c r="B119" s="43" t="str">
        <x:v>abramova_2021_front</x:v>
      </x:c>
      <x:c r="C119" s="43" t="str">
        <x:v>es078</x:v>
      </x:c>
      <x:c r="D119" s="43" t="str">
        <x:v>79</x:v>
      </x:c>
      <x:c r="E119" s="43" t="str">
        <x:v>c_sd</x:v>
      </x:c>
      <x:c r="F119" s="43" t="str">
        <x:v>1.4911</x:v>
      </x:c>
      <x:c r="G119" s="43" t="str">
        <x:v>2.526539</x:v>
      </x:c>
      <x:c r="H119" s="43" t="str">
        <x:v>Corrected transcription</x:v>
      </x:c>
      <x:c r="I119" s="43" t="str">
        <x:v>included_studies/abramova_2021_front/abramova_2021_front.xlsx, Лист1, handling=No handling</x:v>
      </x:c>
      <x:c r="J119" s="43" t="str">
        <x:v>Recalculate the control SD from the same-sex author raw subgroup (center_num).</x:v>
      </x:c>
    </x:row>
    <x:row r="120">
      <x:c r="A120" s="43" t="str">
        <x:v>6 – Abramova 2021 same-sex controls</x:v>
      </x:c>
      <x:c r="B120" s="43" t="str">
        <x:v>abramova_2021_front</x:v>
      </x:c>
      <x:c r="C120" s="43" t="str">
        <x:v>es078</x:v>
      </x:c>
      <x:c r="D120" s="43" t="str">
        <x:v>79</x:v>
      </x:c>
      <x:c r="E120" s="43" t="str">
        <x:v>c_se_analysis</x:v>
      </x:c>
      <x:c r="F120" s="43" t="str">
        <x:v>0.2982</x:v>
      </x:c>
      <x:c r="G120" s="43" t="str">
        <x:v>0.52682</x:v>
      </x:c>
      <x:c r="H120" s="43" t="str">
        <x:v>Corrected derived value</x:v>
      </x:c>
      <x:c r="I120" s="43" t="str">
        <x:v>included_studies/abramova_2021_front/abramova_2021_front.xlsx, Лист1, handling=No handling</x:v>
      </x:c>
      <x:c r="J120" s="43" t="str">
        <x:v>Recalculate SE after replacing the opposite-sex control summary with the same-sex subgroup.</x:v>
      </x:c>
    </x:row>
    <x:row r="121">
      <x:c r="A121" s="43" t="str">
        <x:v>6 – Abramova 2021 same-sex controls</x:v>
      </x:c>
      <x:c r="B121" s="43" t="str">
        <x:v>abramova_2021_front</x:v>
      </x:c>
      <x:c r="C121" s="43" t="str">
        <x:v>es078</x:v>
      </x:c>
      <x:c r="D121" s="43" t="str">
        <x:v>79</x:v>
      </x:c>
      <x:c r="E121" s="43" t="str">
        <x:v>data_file</x:v>
      </x:c>
      <x:c r="F121" s="43" t="str">
        <x:v>OF-pups-abramova2019</x:v>
      </x:c>
      <x:c r="G121" s="43" t="str">
        <x:v>included_studies/abramova_2021_front/abramova_2021_front.xlsx</x:v>
      </x:c>
      <x:c r="H121" s="43" t="str">
        <x:v>Corrected transcription</x:v>
      </x:c>
      <x:c r="I121" s="43" t="str">
        <x:v>included_studies/abramova_2021_front/abramova_2021_front.xlsx, Лист1, handling=No handling</x:v>
      </x:c>
      <x:c r="J121" s="43" t="str">
        <x:v>Use the stable path to the saved author workbook.</x:v>
      </x:c>
    </x:row>
    <x:row r="122">
      <x:c r="A122" s="43" t="str">
        <x:v>6 – Abramova 2021 same-sex controls</x:v>
      </x:c>
      <x:c r="B122" s="43" t="str">
        <x:v>abramova_2021_front</x:v>
      </x:c>
      <x:c r="C122" s="43" t="str">
        <x:v>es078</x:v>
      </x:c>
      <x:c r="D122" s="43" t="str">
        <x:v>79</x:v>
      </x:c>
      <x:c r="E122" s="43" t="str">
        <x:v>data_source</x:v>
      </x:c>
      <x:c r="F122" s="43" t="str">
        <x:v>Raw data</x:v>
      </x:c>
      <x:c r="G122" s="43" t="str">
        <x:v>Author raw data</x:v>
      </x:c>
      <x:c r="H122" s="43" t="str">
        <x:v>Corrected transcription</x:v>
      </x:c>
      <x:c r="I122" s="43" t="str">
        <x:v>included_studies/abramova_2021_front/abramova_2021_front.xlsx, Лист1, handling=No handling</x:v>
      </x:c>
      <x:c r="J122" s="43" t="str">
        <x:v>All summaries in this package are calculated from the saved author workbook.</x:v>
      </x:c>
    </x:row>
    <x:row r="123">
      <x:c r="A123" s="43" t="str">
        <x:v>6 – Abramova 2021 same-sex controls</x:v>
      </x:c>
      <x:c r="B123" s="43" t="str">
        <x:v>abramova_2021_front</x:v>
      </x:c>
      <x:c r="C123" s="43" t="str">
        <x:v>es079</x:v>
      </x:c>
      <x:c r="D123" s="43" t="str">
        <x:v>80</x:v>
      </x:c>
      <x:c r="E123" s="43" t="str">
        <x:v>c_mean</x:v>
      </x:c>
      <x:c r="F123" s="43" t="str">
        <x:v>2.2609</x:v>
      </x:c>
      <x:c r="G123" s="43" t="str">
        <x:v>1.16</x:v>
      </x:c>
      <x:c r="H123" s="43" t="str">
        <x:v>Corrected transcription</x:v>
      </x:c>
      <x:c r="I123" s="43" t="str">
        <x:v>included_studies/abramova_2021_front/abramova_2021_front.xlsx, Лист1, handling=No handling</x:v>
      </x:c>
      <x:c r="J123" s="43" t="str">
        <x:v>Recalculate the control mean from the same-sex author raw subgroup (center_num).</x:v>
      </x:c>
    </x:row>
    <x:row r="124">
      <x:c r="A124" s="43" t="str">
        <x:v>6 – Abramova 2021 same-sex controls</x:v>
      </x:c>
      <x:c r="B124" s="43" t="str">
        <x:v>abramova_2021_front</x:v>
      </x:c>
      <x:c r="C124" s="43" t="str">
        <x:v>es079</x:v>
      </x:c>
      <x:c r="D124" s="43" t="str">
        <x:v>80</x:v>
      </x:c>
      <x:c r="E124" s="43" t="str">
        <x:v>c_n</x:v>
      </x:c>
      <x:c r="F124" s="43" t="str">
        <x:v>23</x:v>
      </x:c>
      <x:c r="G124" s="43" t="str">
        <x:v>25</x:v>
      </x:c>
      <x:c r="H124" s="43" t="str">
        <x:v>Corrected transcription</x:v>
      </x:c>
      <x:c r="I124" s="43" t="str">
        <x:v>included_studies/abramova_2021_front/abramova_2021_front.xlsx, Лист1, handling=No handling</x:v>
      </x:c>
      <x:c r="J124" s="43" t="str">
        <x:v>Use the males control subgroup matching offspring_sex.</x:v>
      </x:c>
    </x:row>
    <x:row r="125">
      <x:c r="A125" s="43" t="str">
        <x:v>6 – Abramova 2021 same-sex controls</x:v>
      </x:c>
      <x:c r="B125" s="43" t="str">
        <x:v>abramova_2021_front</x:v>
      </x:c>
      <x:c r="C125" s="43" t="str">
        <x:v>es079</x:v>
      </x:c>
      <x:c r="D125" s="43" t="str">
        <x:v>80</x:v>
      </x:c>
      <x:c r="E125" s="43" t="str">
        <x:v>c_sd</x:v>
      </x:c>
      <x:c r="F125" s="43" t="str">
        <x:v>2.5265</x:v>
      </x:c>
      <x:c r="G125" s="43" t="str">
        <x:v>1.491085</x:v>
      </x:c>
      <x:c r="H125" s="43" t="str">
        <x:v>Corrected transcription</x:v>
      </x:c>
      <x:c r="I125" s="43" t="str">
        <x:v>included_studies/abramova_2021_front/abramova_2021_front.xlsx, Лист1, handling=No handling</x:v>
      </x:c>
      <x:c r="J125" s="43" t="str">
        <x:v>Recalculate the control SD from the same-sex author raw subgroup (center_num).</x:v>
      </x:c>
    </x:row>
    <x:row r="126">
      <x:c r="A126" s="43" t="str">
        <x:v>6 – Abramova 2021 same-sex controls</x:v>
      </x:c>
      <x:c r="B126" s="43" t="str">
        <x:v>abramova_2021_front</x:v>
      </x:c>
      <x:c r="C126" s="43" t="str">
        <x:v>es079</x:v>
      </x:c>
      <x:c r="D126" s="43" t="str">
        <x:v>80</x:v>
      </x:c>
      <x:c r="E126" s="43" t="str">
        <x:v>c_se_analysis</x:v>
      </x:c>
      <x:c r="F126" s="43" t="str">
        <x:v>0.5268</x:v>
      </x:c>
      <x:c r="G126" s="43" t="str">
        <x:v>0.298217</x:v>
      </x:c>
      <x:c r="H126" s="43" t="str">
        <x:v>Corrected derived value</x:v>
      </x:c>
      <x:c r="I126" s="43" t="str">
        <x:v>included_studies/abramova_2021_front/abramova_2021_front.xlsx, Лист1, handling=No handling</x:v>
      </x:c>
      <x:c r="J126" s="43" t="str">
        <x:v>Recalculate SE after replacing the opposite-sex control summary with the same-sex subgroup.</x:v>
      </x:c>
    </x:row>
    <x:row r="127">
      <x:c r="A127" s="43" t="str">
        <x:v>6 – Abramova 2021 same-sex controls</x:v>
      </x:c>
      <x:c r="B127" s="43" t="str">
        <x:v>abramova_2021_front</x:v>
      </x:c>
      <x:c r="C127" s="43" t="str">
        <x:v>es079</x:v>
      </x:c>
      <x:c r="D127" s="43" t="str">
        <x:v>80</x:v>
      </x:c>
      <x:c r="E127" s="43" t="str">
        <x:v>data_file</x:v>
      </x:c>
      <x:c r="F127" s="43" t="str">
        <x:v>OF-pups-abramova2020</x:v>
      </x:c>
      <x:c r="G127" s="43" t="str">
        <x:v>included_studies/abramova_2021_front/abramova_2021_front.xlsx</x:v>
      </x:c>
      <x:c r="H127" s="43" t="str">
        <x:v>Corrected transcription</x:v>
      </x:c>
      <x:c r="I127" s="43" t="str">
        <x:v>included_studies/abramova_2021_front/abramova_2021_front.xlsx, Лист1, handling=No handling</x:v>
      </x:c>
      <x:c r="J127" s="43" t="str">
        <x:v>Use the stable path to the saved author workbook.</x:v>
      </x:c>
    </x:row>
    <x:row r="128">
      <x:c r="A128" s="43" t="str">
        <x:v>6 – Abramova 2021 same-sex controls</x:v>
      </x:c>
      <x:c r="B128" s="43" t="str">
        <x:v>abramova_2021_front</x:v>
      </x:c>
      <x:c r="C128" s="43" t="str">
        <x:v>es079</x:v>
      </x:c>
      <x:c r="D128" s="43" t="str">
        <x:v>80</x:v>
      </x:c>
      <x:c r="E128" s="43" t="str">
        <x:v>data_source</x:v>
      </x:c>
      <x:c r="F128" s="43" t="str">
        <x:v>Raw data</x:v>
      </x:c>
      <x:c r="G128" s="43" t="str">
        <x:v>Author raw data</x:v>
      </x:c>
      <x:c r="H128" s="43" t="str">
        <x:v>Corrected transcription</x:v>
      </x:c>
      <x:c r="I128" s="43" t="str">
        <x:v>included_studies/abramova_2021_front/abramova_2021_front.xlsx, Лист1, handling=No handling</x:v>
      </x:c>
      <x:c r="J128" s="43" t="str">
        <x:v>All summaries in this package are calculated from the saved author workbook.</x:v>
      </x:c>
    </x:row>
    <x:row r="129">
      <x:c r="A129" s="43" t="str">
        <x:v>6 – Abramova 2021 same-sex controls</x:v>
      </x:c>
      <x:c r="B129" s="43" t="str">
        <x:v>abramova_2021_front</x:v>
      </x:c>
      <x:c r="C129" s="43" t="str">
        <x:v>es080</x:v>
      </x:c>
      <x:c r="D129" s="43" t="str">
        <x:v>81</x:v>
      </x:c>
      <x:c r="E129" s="43" t="str">
        <x:v>c_mean</x:v>
      </x:c>
      <x:c r="F129" s="43" t="str">
        <x:v>2.0964</x:v>
      </x:c>
      <x:c r="G129" s="43" t="str">
        <x:v>5.176957</x:v>
      </x:c>
      <x:c r="H129" s="43" t="str">
        <x:v>Corrected transcription</x:v>
      </x:c>
      <x:c r="I129" s="43" t="str">
        <x:v>included_studies/abramova_2021_front/abramova_2021_front.xlsx, Лист1, handling=No handling</x:v>
      </x:c>
      <x:c r="J129" s="43" t="str">
        <x:v>Recalculate the control mean from the same-sex author raw subgroup (center_totalTime).</x:v>
      </x:c>
    </x:row>
    <x:row r="130">
      <x:c r="A130" s="43" t="str">
        <x:v>6 – Abramova 2021 same-sex controls</x:v>
      </x:c>
      <x:c r="B130" s="43" t="str">
        <x:v>abramova_2021_front</x:v>
      </x:c>
      <x:c r="C130" s="43" t="str">
        <x:v>es080</x:v>
      </x:c>
      <x:c r="D130" s="43" t="str">
        <x:v>81</x:v>
      </x:c>
      <x:c r="E130" s="43" t="str">
        <x:v>c_n</x:v>
      </x:c>
      <x:c r="F130" s="43" t="str">
        <x:v>25</x:v>
      </x:c>
      <x:c r="G130" s="43" t="str">
        <x:v>23</x:v>
      </x:c>
      <x:c r="H130" s="43" t="str">
        <x:v>Corrected transcription</x:v>
      </x:c>
      <x:c r="I130" s="43" t="str">
        <x:v>included_studies/abramova_2021_front/abramova_2021_front.xlsx, Лист1, handling=No handling</x:v>
      </x:c>
      <x:c r="J130" s="43" t="str">
        <x:v>Use the females control subgroup matching offspring_sex.</x:v>
      </x:c>
    </x:row>
    <x:row r="131">
      <x:c r="A131" s="43" t="str">
        <x:v>6 – Abramova 2021 same-sex controls</x:v>
      </x:c>
      <x:c r="B131" s="43" t="str">
        <x:v>abramova_2021_front</x:v>
      </x:c>
      <x:c r="C131" s="43" t="str">
        <x:v>es080</x:v>
      </x:c>
      <x:c r="D131" s="43" t="str">
        <x:v>81</x:v>
      </x:c>
      <x:c r="E131" s="43" t="str">
        <x:v>c_sd</x:v>
      </x:c>
      <x:c r="F131" s="43" t="str">
        <x:v>3.3901</x:v>
      </x:c>
      <x:c r="G131" s="43" t="str">
        <x:v>6.837676</x:v>
      </x:c>
      <x:c r="H131" s="43" t="str">
        <x:v>Corrected transcription</x:v>
      </x:c>
      <x:c r="I131" s="43" t="str">
        <x:v>included_studies/abramova_2021_front/abramova_2021_front.xlsx, Лист1, handling=No handling</x:v>
      </x:c>
      <x:c r="J131" s="43" t="str">
        <x:v>Recalculate the control SD from the same-sex author raw subgroup (center_totalTime).</x:v>
      </x:c>
    </x:row>
    <x:row r="132">
      <x:c r="A132" s="43" t="str">
        <x:v>6 – Abramova 2021 same-sex controls</x:v>
      </x:c>
      <x:c r="B132" s="43" t="str">
        <x:v>abramova_2021_front</x:v>
      </x:c>
      <x:c r="C132" s="43" t="str">
        <x:v>es080</x:v>
      </x:c>
      <x:c r="D132" s="43" t="str">
        <x:v>81</x:v>
      </x:c>
      <x:c r="E132" s="43" t="str">
        <x:v>c_se_analysis</x:v>
      </x:c>
      <x:c r="F132" s="43" t="str">
        <x:v>0.678</x:v>
      </x:c>
      <x:c r="G132" s="43" t="str">
        <x:v>1.425754</x:v>
      </x:c>
      <x:c r="H132" s="43" t="str">
        <x:v>Corrected derived value</x:v>
      </x:c>
      <x:c r="I132" s="43" t="str">
        <x:v>included_studies/abramova_2021_front/abramova_2021_front.xlsx, Лист1, handling=No handling</x:v>
      </x:c>
      <x:c r="J132" s="43" t="str">
        <x:v>Recalculate SE after replacing the opposite-sex control summary with the same-sex subgroup.</x:v>
      </x:c>
    </x:row>
    <x:row r="133">
      <x:c r="A133" s="43" t="str">
        <x:v>6 – Abramova 2021 same-sex controls</x:v>
      </x:c>
      <x:c r="B133" s="43" t="str">
        <x:v>abramova_2021_front</x:v>
      </x:c>
      <x:c r="C133" s="43" t="str">
        <x:v>es080</x:v>
      </x:c>
      <x:c r="D133" s="43" t="str">
        <x:v>81</x:v>
      </x:c>
      <x:c r="E133" s="43" t="str">
        <x:v>data_file</x:v>
      </x:c>
      <x:c r="F133" s="43" t="str">
        <x:v>OF-pups-abramova2021</x:v>
      </x:c>
      <x:c r="G133" s="43" t="str">
        <x:v>included_studies/abramova_2021_front/abramova_2021_front.xlsx</x:v>
      </x:c>
      <x:c r="H133" s="43" t="str">
        <x:v>Corrected transcription</x:v>
      </x:c>
      <x:c r="I133" s="43" t="str">
        <x:v>included_studies/abramova_2021_front/abramova_2021_front.xlsx, Лист1, handling=No handling</x:v>
      </x:c>
      <x:c r="J133" s="43" t="str">
        <x:v>Use the stable path to the saved author workbook.</x:v>
      </x:c>
    </x:row>
    <x:row r="134">
      <x:c r="A134" s="43" t="str">
        <x:v>6 – Abramova 2021 same-sex controls</x:v>
      </x:c>
      <x:c r="B134" s="43" t="str">
        <x:v>abramova_2021_front</x:v>
      </x:c>
      <x:c r="C134" s="43" t="str">
        <x:v>es080</x:v>
      </x:c>
      <x:c r="D134" s="43" t="str">
        <x:v>81</x:v>
      </x:c>
      <x:c r="E134" s="43" t="str">
        <x:v>data_source</x:v>
      </x:c>
      <x:c r="F134" s="43" t="str">
        <x:v>Raw data</x:v>
      </x:c>
      <x:c r="G134" s="43" t="str">
        <x:v>Author raw data</x:v>
      </x:c>
      <x:c r="H134" s="43" t="str">
        <x:v>Corrected transcription</x:v>
      </x:c>
      <x:c r="I134" s="43" t="str">
        <x:v>included_studies/abramova_2021_front/abramova_2021_front.xlsx, Лист1, handling=No handling</x:v>
      </x:c>
      <x:c r="J134" s="43" t="str">
        <x:v>All summaries in this package are calculated from the saved author workbook.</x:v>
      </x:c>
    </x:row>
    <x:row r="135">
      <x:c r="A135" s="43" t="str">
        <x:v>6 – Abramova 2021 same-sex controls</x:v>
      </x:c>
      <x:c r="B135" s="43" t="str">
        <x:v>abramova_2021_front</x:v>
      </x:c>
      <x:c r="C135" s="43" t="str">
        <x:v>es080</x:v>
      </x:c>
      <x:c r="D135" s="43" t="str">
        <x:v>81</x:v>
      </x:c>
      <x:c r="E135" s="43" t="str">
        <x:v>data_type</x:v>
      </x:c>
      <x:c r="F135" s="43" t="str">
        <x:v>Count</x:v>
      </x:c>
      <x:c r="G135" s="43" t="str">
        <x:v>Time</x:v>
      </x:c>
      <x:c r="H135" s="43" t="str">
        <x:v>Corrected transcription</x:v>
      </x:c>
      <x:c r="I135" s="43" t="str">
        <x:v>included_studies/abramova_2021_front/abramova_2021_front.xlsx, Лист1, handling=No handling</x:v>
      </x:c>
      <x:c r="J135" s="43" t="str">
        <x:v>The author raw variable center_totalTime is a duration, not a count.</x:v>
      </x:c>
    </x:row>
    <x:row r="136">
      <x:c r="A136" s="43" t="str">
        <x:v>6 – Abramova 2021 same-sex controls</x:v>
      </x:c>
      <x:c r="B136" s="43" t="str">
        <x:v>abramova_2021_front</x:v>
      </x:c>
      <x:c r="C136" s="43" t="str">
        <x:v>es080</x:v>
      </x:c>
      <x:c r="D136" s="43" t="str">
        <x:v>81</x:v>
      </x:c>
      <x:c r="E136" s="43" t="str">
        <x:v>data_units</x:v>
      </x:c>
      <x:c r="F136" s="43" t="str">
        <x:v>Count</x:v>
      </x:c>
      <x:c r="G136" s="43" t="str">
        <x:v>s</x:v>
      </x:c>
      <x:c r="H136" s="43" t="str">
        <x:v>Corrected transcription</x:v>
      </x:c>
      <x:c r="I136" s="43" t="str">
        <x:v>included_studies/abramova_2021_front/abramova_2021_front.pdf, Open-Field Test methods</x:v>
      </x:c>
      <x:c r="J136" s="43" t="str">
        <x:v>Open-field durations are recorded in seconds.</x:v>
      </x:c>
    </x:row>
    <x:row r="137">
      <x:c r="A137" s="43" t="str">
        <x:v>6 – Abramova 2021 same-sex controls</x:v>
      </x:c>
      <x:c r="B137" s="43" t="str">
        <x:v>abramova_2021_front</x:v>
      </x:c>
      <x:c r="C137" s="43" t="str">
        <x:v>es081</x:v>
      </x:c>
      <x:c r="D137" s="43" t="str">
        <x:v>82</x:v>
      </x:c>
      <x:c r="E137" s="43" t="str">
        <x:v>c_mean</x:v>
      </x:c>
      <x:c r="F137" s="43" t="str">
        <x:v>5.177</x:v>
      </x:c>
      <x:c r="G137" s="43" t="str">
        <x:v>2.0964</x:v>
      </x:c>
      <x:c r="H137" s="43" t="str">
        <x:v>Corrected transcription</x:v>
      </x:c>
      <x:c r="I137" s="43" t="str">
        <x:v>included_studies/abramova_2021_front/abramova_2021_front.xlsx, Лист1, handling=No handling</x:v>
      </x:c>
      <x:c r="J137" s="43" t="str">
        <x:v>Recalculate the control mean from the same-sex author raw subgroup (center_totalTime).</x:v>
      </x:c>
    </x:row>
    <x:row r="138">
      <x:c r="A138" s="43" t="str">
        <x:v>6 – Abramova 2021 same-sex controls</x:v>
      </x:c>
      <x:c r="B138" s="43" t="str">
        <x:v>abramova_2021_front</x:v>
      </x:c>
      <x:c r="C138" s="43" t="str">
        <x:v>es081</x:v>
      </x:c>
      <x:c r="D138" s="43" t="str">
        <x:v>82</x:v>
      </x:c>
      <x:c r="E138" s="43" t="str">
        <x:v>c_n</x:v>
      </x:c>
      <x:c r="F138" s="43" t="str">
        <x:v>23</x:v>
      </x:c>
      <x:c r="G138" s="43" t="str">
        <x:v>25</x:v>
      </x:c>
      <x:c r="H138" s="43" t="str">
        <x:v>Corrected transcription</x:v>
      </x:c>
      <x:c r="I138" s="43" t="str">
        <x:v>included_studies/abramova_2021_front/abramova_2021_front.xlsx, Лист1, handling=No handling</x:v>
      </x:c>
      <x:c r="J138" s="43" t="str">
        <x:v>Use the males control subgroup matching offspring_sex.</x:v>
      </x:c>
    </x:row>
    <x:row r="139">
      <x:c r="A139" s="43" t="str">
        <x:v>6 – Abramova 2021 same-sex controls</x:v>
      </x:c>
      <x:c r="B139" s="43" t="str">
        <x:v>abramova_2021_front</x:v>
      </x:c>
      <x:c r="C139" s="43" t="str">
        <x:v>es081</x:v>
      </x:c>
      <x:c r="D139" s="43" t="str">
        <x:v>82</x:v>
      </x:c>
      <x:c r="E139" s="43" t="str">
        <x:v>c_sd</x:v>
      </x:c>
      <x:c r="F139" s="43" t="str">
        <x:v>6.8377</x:v>
      </x:c>
      <x:c r="G139" s="43" t="str">
        <x:v>3.390067</x:v>
      </x:c>
      <x:c r="H139" s="43" t="str">
        <x:v>Corrected transcription</x:v>
      </x:c>
      <x:c r="I139" s="43" t="str">
        <x:v>included_studies/abramova_2021_front/abramova_2021_front.xlsx, Лист1, handling=No handling</x:v>
      </x:c>
      <x:c r="J139" s="43" t="str">
        <x:v>Recalculate the control SD from the same-sex author raw subgroup (center_totalTime).</x:v>
      </x:c>
    </x:row>
    <x:row r="140">
      <x:c r="A140" s="43" t="str">
        <x:v>6 – Abramova 2021 same-sex controls</x:v>
      </x:c>
      <x:c r="B140" s="43" t="str">
        <x:v>abramova_2021_front</x:v>
      </x:c>
      <x:c r="C140" s="43" t="str">
        <x:v>es081</x:v>
      </x:c>
      <x:c r="D140" s="43" t="str">
        <x:v>82</x:v>
      </x:c>
      <x:c r="E140" s="43" t="str">
        <x:v>c_se_analysis</x:v>
      </x:c>
      <x:c r="F140" s="43" t="str">
        <x:v>1.4258</x:v>
      </x:c>
      <x:c r="G140" s="43" t="str">
        <x:v>0.678013</x:v>
      </x:c>
      <x:c r="H140" s="43" t="str">
        <x:v>Corrected derived value</x:v>
      </x:c>
      <x:c r="I140" s="43" t="str">
        <x:v>included_studies/abramova_2021_front/abramova_2021_front.xlsx, Лист1, handling=No handling</x:v>
      </x:c>
      <x:c r="J140" s="43" t="str">
        <x:v>Recalculate SE after replacing the opposite-sex control summary with the same-sex subgroup.</x:v>
      </x:c>
    </x:row>
    <x:row r="141">
      <x:c r="A141" s="43" t="str">
        <x:v>6 – Abramova 2021 same-sex controls</x:v>
      </x:c>
      <x:c r="B141" s="43" t="str">
        <x:v>abramova_2021_front</x:v>
      </x:c>
      <x:c r="C141" s="43" t="str">
        <x:v>es081</x:v>
      </x:c>
      <x:c r="D141" s="43" t="str">
        <x:v>82</x:v>
      </x:c>
      <x:c r="E141" s="43" t="str">
        <x:v>data_file</x:v>
      </x:c>
      <x:c r="F141" s="43" t="str">
        <x:v>OF-pups-abramova2022</x:v>
      </x:c>
      <x:c r="G141" s="43" t="str">
        <x:v>included_studies/abramova_2021_front/abramova_2021_front.xlsx</x:v>
      </x:c>
      <x:c r="H141" s="43" t="str">
        <x:v>Corrected transcription</x:v>
      </x:c>
      <x:c r="I141" s="43" t="str">
        <x:v>included_studies/abramova_2021_front/abramova_2021_front.xlsx, Лист1, handling=No handling</x:v>
      </x:c>
      <x:c r="J141" s="43" t="str">
        <x:v>Use the stable path to the saved author workbook.</x:v>
      </x:c>
    </x:row>
    <x:row r="142">
      <x:c r="A142" s="43" t="str">
        <x:v>6 – Abramova 2021 same-sex controls</x:v>
      </x:c>
      <x:c r="B142" s="43" t="str">
        <x:v>abramova_2021_front</x:v>
      </x:c>
      <x:c r="C142" s="43" t="str">
        <x:v>es081</x:v>
      </x:c>
      <x:c r="D142" s="43" t="str">
        <x:v>82</x:v>
      </x:c>
      <x:c r="E142" s="43" t="str">
        <x:v>data_source</x:v>
      </x:c>
      <x:c r="F142" s="43" t="str">
        <x:v>Raw data</x:v>
      </x:c>
      <x:c r="G142" s="43" t="str">
        <x:v>Author raw data</x:v>
      </x:c>
      <x:c r="H142" s="43" t="str">
        <x:v>Corrected transcription</x:v>
      </x:c>
      <x:c r="I142" s="43" t="str">
        <x:v>included_studies/abramova_2021_front/abramova_2021_front.xlsx, Лист1, handling=No handling</x:v>
      </x:c>
      <x:c r="J142" s="43" t="str">
        <x:v>All summaries in this package are calculated from the saved author workbook.</x:v>
      </x:c>
    </x:row>
    <x:row r="143">
      <x:c r="A143" s="43" t="str">
        <x:v>6 – Abramova 2021 same-sex controls</x:v>
      </x:c>
      <x:c r="B143" s="43" t="str">
        <x:v>abramova_2021_front</x:v>
      </x:c>
      <x:c r="C143" s="43" t="str">
        <x:v>es081</x:v>
      </x:c>
      <x:c r="D143" s="43" t="str">
        <x:v>82</x:v>
      </x:c>
      <x:c r="E143" s="43" t="str">
        <x:v>data_type</x:v>
      </x:c>
      <x:c r="F143" s="43" t="str">
        <x:v>Count</x:v>
      </x:c>
      <x:c r="G143" s="43" t="str">
        <x:v>Time</x:v>
      </x:c>
      <x:c r="H143" s="43" t="str">
        <x:v>Corrected transcription</x:v>
      </x:c>
      <x:c r="I143" s="43" t="str">
        <x:v>included_studies/abramova_2021_front/abramova_2021_front.xlsx, Лист1, handling=No handling</x:v>
      </x:c>
      <x:c r="J143" s="43" t="str">
        <x:v>The author raw variable center_totalTime is a duration, not a count.</x:v>
      </x:c>
    </x:row>
    <x:row r="144">
      <x:c r="A144" s="43" t="str">
        <x:v>6 – Abramova 2021 same-sex controls</x:v>
      </x:c>
      <x:c r="B144" s="43" t="str">
        <x:v>abramova_2021_front</x:v>
      </x:c>
      <x:c r="C144" s="43" t="str">
        <x:v>es081</x:v>
      </x:c>
      <x:c r="D144" s="43" t="str">
        <x:v>82</x:v>
      </x:c>
      <x:c r="E144" s="43" t="str">
        <x:v>data_units</x:v>
      </x:c>
      <x:c r="F144" s="43" t="str">
        <x:v>Count</x:v>
      </x:c>
      <x:c r="G144" s="43" t="str">
        <x:v>s</x:v>
      </x:c>
      <x:c r="H144" s="43" t="str">
        <x:v>Corrected transcription</x:v>
      </x:c>
      <x:c r="I144" s="43" t="str">
        <x:v>included_studies/abramova_2021_front/abramova_2021_front.pdf, Open-Field Test methods</x:v>
      </x:c>
      <x:c r="J144" s="43" t="str">
        <x:v>Open-field durations are recorded in seconds.</x:v>
      </x:c>
    </x:row>
    <x:row r="145">
      <x:c r="A145" s="43" t="str">
        <x:v>6 – Abramova 2021 same-sex controls</x:v>
      </x:c>
      <x:c r="B145" s="43" t="str">
        <x:v>abramova_2021_front</x:v>
      </x:c>
      <x:c r="C145" s="43" t="str">
        <x:v>es082</x:v>
      </x:c>
      <x:c r="D145" s="43" t="str">
        <x:v>83</x:v>
      </x:c>
      <x:c r="E145" s="43" t="str">
        <x:v>c_mean</x:v>
      </x:c>
      <x:c r="F145" s="43" t="str">
        <x:v>3.76</x:v>
      </x:c>
      <x:c r="G145" s="43" t="str">
        <x:v>2.652174</x:v>
      </x:c>
      <x:c r="H145" s="43" t="str">
        <x:v>Corrected transcription</x:v>
      </x:c>
      <x:c r="I145" s="43" t="str">
        <x:v>included_studies/abramova_2021_front/abramova_2021_front.xlsx, Лист1, handling=No handling</x:v>
      </x:c>
      <x:c r="J145" s="43" t="str">
        <x:v>Recalculate the control mean from the same-sex author raw subgroup (grum_number).</x:v>
      </x:c>
    </x:row>
    <x:row r="146">
      <x:c r="A146" s="43" t="str">
        <x:v>6 – Abramova 2021 same-sex controls</x:v>
      </x:c>
      <x:c r="B146" s="43" t="str">
        <x:v>abramova_2021_front</x:v>
      </x:c>
      <x:c r="C146" s="43" t="str">
        <x:v>es082</x:v>
      </x:c>
      <x:c r="D146" s="43" t="str">
        <x:v>83</x:v>
      </x:c>
      <x:c r="E146" s="43" t="str">
        <x:v>c_n</x:v>
      </x:c>
      <x:c r="F146" s="43" t="str">
        <x:v>25</x:v>
      </x:c>
      <x:c r="G146" s="43" t="str">
        <x:v>23</x:v>
      </x:c>
      <x:c r="H146" s="43" t="str">
        <x:v>Corrected transcription</x:v>
      </x:c>
      <x:c r="I146" s="43" t="str">
        <x:v>included_studies/abramova_2021_front/abramova_2021_front.xlsx, Лист1, handling=No handling</x:v>
      </x:c>
      <x:c r="J146" s="43" t="str">
        <x:v>Use the females control subgroup matching offspring_sex.</x:v>
      </x:c>
    </x:row>
    <x:row r="147">
      <x:c r="A147" s="43" t="str">
        <x:v>6 – Abramova 2021 same-sex controls</x:v>
      </x:c>
      <x:c r="B147" s="43" t="str">
        <x:v>abramova_2021_front</x:v>
      </x:c>
      <x:c r="C147" s="43" t="str">
        <x:v>es082</x:v>
      </x:c>
      <x:c r="D147" s="43" t="str">
        <x:v>83</x:v>
      </x:c>
      <x:c r="E147" s="43" t="str">
        <x:v>c_sd</x:v>
      </x:c>
      <x:c r="F147" s="43" t="str">
        <x:v>1.6653</x:v>
      </x:c>
      <x:c r="G147" s="43" t="str">
        <x:v>1.465007</x:v>
      </x:c>
      <x:c r="H147" s="43" t="str">
        <x:v>Corrected transcription</x:v>
      </x:c>
      <x:c r="I147" s="43" t="str">
        <x:v>included_studies/abramova_2021_front/abramova_2021_front.xlsx, Лист1, handling=No handling</x:v>
      </x:c>
      <x:c r="J147" s="43" t="str">
        <x:v>Recalculate the control SD from the same-sex author raw subgroup (grum_number).</x:v>
      </x:c>
    </x:row>
    <x:row r="148">
      <x:c r="A148" s="43" t="str">
        <x:v>6 – Abramova 2021 same-sex controls</x:v>
      </x:c>
      <x:c r="B148" s="43" t="str">
        <x:v>abramova_2021_front</x:v>
      </x:c>
      <x:c r="C148" s="43" t="str">
        <x:v>es082</x:v>
      </x:c>
      <x:c r="D148" s="43" t="str">
        <x:v>83</x:v>
      </x:c>
      <x:c r="E148" s="43" t="str">
        <x:v>c_se_analysis</x:v>
      </x:c>
      <x:c r="F148" s="43" t="str">
        <x:v>0.3331</x:v>
      </x:c>
      <x:c r="G148" s="43" t="str">
        <x:v>0.305475</x:v>
      </x:c>
      <x:c r="H148" s="43" t="str">
        <x:v>Corrected derived value</x:v>
      </x:c>
      <x:c r="I148" s="43" t="str">
        <x:v>included_studies/abramova_2021_front/abramova_2021_front.xlsx, Лист1, handling=No handling</x:v>
      </x:c>
      <x:c r="J148" s="43" t="str">
        <x:v>Recalculate SE after replacing the opposite-sex control summary with the same-sex subgroup.</x:v>
      </x:c>
    </x:row>
    <x:row r="149">
      <x:c r="A149" s="43" t="str">
        <x:v>6 – Abramova 2021 same-sex controls</x:v>
      </x:c>
      <x:c r="B149" s="43" t="str">
        <x:v>abramova_2021_front</x:v>
      </x:c>
      <x:c r="C149" s="43" t="str">
        <x:v>es082</x:v>
      </x:c>
      <x:c r="D149" s="43" t="str">
        <x:v>83</x:v>
      </x:c>
      <x:c r="E149" s="43" t="str">
        <x:v>data_file</x:v>
      </x:c>
      <x:c r="F149" s="43" t="str">
        <x:v>OF-pups-abramova2023</x:v>
      </x:c>
      <x:c r="G149" s="43" t="str">
        <x:v>included_studies/abramova_2021_front/abramova_2021_front.xlsx</x:v>
      </x:c>
      <x:c r="H149" s="43" t="str">
        <x:v>Corrected transcription</x:v>
      </x:c>
      <x:c r="I149" s="43" t="str">
        <x:v>included_studies/abramova_2021_front/abramova_2021_front.xlsx, Лист1, handling=No handling</x:v>
      </x:c>
      <x:c r="J149" s="43" t="str">
        <x:v>Use the stable path to the saved author workbook.</x:v>
      </x:c>
    </x:row>
    <x:row r="150">
      <x:c r="A150" s="43" t="str">
        <x:v>6 – Abramova 2021 same-sex controls</x:v>
      </x:c>
      <x:c r="B150" s="43" t="str">
        <x:v>abramova_2021_front</x:v>
      </x:c>
      <x:c r="C150" s="43" t="str">
        <x:v>es082</x:v>
      </x:c>
      <x:c r="D150" s="43" t="str">
        <x:v>83</x:v>
      </x:c>
      <x:c r="E150" s="43" t="str">
        <x:v>data_source</x:v>
      </x:c>
      <x:c r="F150" s="43" t="str">
        <x:v>Raw data</x:v>
      </x:c>
      <x:c r="G150" s="43" t="str">
        <x:v>Author raw data</x:v>
      </x:c>
      <x:c r="H150" s="43" t="str">
        <x:v>Corrected transcription</x:v>
      </x:c>
      <x:c r="I150" s="43" t="str">
        <x:v>included_studies/abramova_2021_front/abramova_2021_front.xlsx, Лист1, handling=No handling</x:v>
      </x:c>
      <x:c r="J150" s="43" t="str">
        <x:v>All summaries in this package are calculated from the saved author workbook.</x:v>
      </x:c>
    </x:row>
    <x:row r="151">
      <x:c r="A151" s="43" t="str">
        <x:v>6 – Abramova 2021 same-sex controls</x:v>
      </x:c>
      <x:c r="B151" s="43" t="str">
        <x:v>abramova_2021_front</x:v>
      </x:c>
      <x:c r="C151" s="43" t="str">
        <x:v>es083</x:v>
      </x:c>
      <x:c r="D151" s="43" t="str">
        <x:v>84</x:v>
      </x:c>
      <x:c r="E151" s="43" t="str">
        <x:v>c_mean</x:v>
      </x:c>
      <x:c r="F151" s="43" t="str">
        <x:v>2.6522</x:v>
      </x:c>
      <x:c r="G151" s="43" t="str">
        <x:v>3.76</x:v>
      </x:c>
      <x:c r="H151" s="43" t="str">
        <x:v>Corrected transcription</x:v>
      </x:c>
      <x:c r="I151" s="43" t="str">
        <x:v>included_studies/abramova_2021_front/abramova_2021_front.xlsx, Лист1, handling=No handling</x:v>
      </x:c>
      <x:c r="J151" s="43" t="str">
        <x:v>Recalculate the control mean from the same-sex author raw subgroup (grum_number).</x:v>
      </x:c>
    </x:row>
    <x:row r="152">
      <x:c r="A152" s="43" t="str">
        <x:v>6 – Abramova 2021 same-sex controls</x:v>
      </x:c>
      <x:c r="B152" s="43" t="str">
        <x:v>abramova_2021_front</x:v>
      </x:c>
      <x:c r="C152" s="43" t="str">
        <x:v>es083</x:v>
      </x:c>
      <x:c r="D152" s="43" t="str">
        <x:v>84</x:v>
      </x:c>
      <x:c r="E152" s="43" t="str">
        <x:v>c_n</x:v>
      </x:c>
      <x:c r="F152" s="43" t="str">
        <x:v>23</x:v>
      </x:c>
      <x:c r="G152" s="43" t="str">
        <x:v>25</x:v>
      </x:c>
      <x:c r="H152" s="43" t="str">
        <x:v>Corrected transcription</x:v>
      </x:c>
      <x:c r="I152" s="43" t="str">
        <x:v>included_studies/abramova_2021_front/abramova_2021_front.xlsx, Лист1, handling=No handling</x:v>
      </x:c>
      <x:c r="J152" s="43" t="str">
        <x:v>Use the males control subgroup matching offspring_sex.</x:v>
      </x:c>
    </x:row>
    <x:row r="153">
      <x:c r="A153" s="43" t="str">
        <x:v>6 – Abramova 2021 same-sex controls</x:v>
      </x:c>
      <x:c r="B153" s="43" t="str">
        <x:v>abramova_2021_front</x:v>
      </x:c>
      <x:c r="C153" s="43" t="str">
        <x:v>es083</x:v>
      </x:c>
      <x:c r="D153" s="43" t="str">
        <x:v>84</x:v>
      </x:c>
      <x:c r="E153" s="43" t="str">
        <x:v>c_sd</x:v>
      </x:c>
      <x:c r="F153" s="43" t="str">
        <x:v>1.465</x:v>
      </x:c>
      <x:c r="G153" s="43" t="str">
        <x:v>1.665333</x:v>
      </x:c>
      <x:c r="H153" s="43" t="str">
        <x:v>Corrected transcription</x:v>
      </x:c>
      <x:c r="I153" s="43" t="str">
        <x:v>included_studies/abramova_2021_front/abramova_2021_front.xlsx, Лист1, handling=No handling</x:v>
      </x:c>
      <x:c r="J153" s="43" t="str">
        <x:v>Recalculate the control SD from the same-sex author raw subgroup (grum_number).</x:v>
      </x:c>
    </x:row>
    <x:row r="154">
      <x:c r="A154" s="43" t="str">
        <x:v>6 – Abramova 2021 same-sex controls</x:v>
      </x:c>
      <x:c r="B154" s="43" t="str">
        <x:v>abramova_2021_front</x:v>
      </x:c>
      <x:c r="C154" s="43" t="str">
        <x:v>es083</x:v>
      </x:c>
      <x:c r="D154" s="43" t="str">
        <x:v>84</x:v>
      </x:c>
      <x:c r="E154" s="43" t="str">
        <x:v>c_se_analysis</x:v>
      </x:c>
      <x:c r="F154" s="43" t="str">
        <x:v>0.3055</x:v>
      </x:c>
      <x:c r="G154" s="43" t="str">
        <x:v>0.333067</x:v>
      </x:c>
      <x:c r="H154" s="43" t="str">
        <x:v>Corrected derived value</x:v>
      </x:c>
      <x:c r="I154" s="43" t="str">
        <x:v>included_studies/abramova_2021_front/abramova_2021_front.xlsx, Лист1, handling=No handling</x:v>
      </x:c>
      <x:c r="J154" s="43" t="str">
        <x:v>Recalculate SE after replacing the opposite-sex control summary with the same-sex subgroup.</x:v>
      </x:c>
    </x:row>
    <x:row r="155">
      <x:c r="A155" s="43" t="str">
        <x:v>6 – Abramova 2021 same-sex controls</x:v>
      </x:c>
      <x:c r="B155" s="43" t="str">
        <x:v>abramova_2021_front</x:v>
      </x:c>
      <x:c r="C155" s="43" t="str">
        <x:v>es083</x:v>
      </x:c>
      <x:c r="D155" s="43" t="str">
        <x:v>84</x:v>
      </x:c>
      <x:c r="E155" s="43" t="str">
        <x:v>data_file</x:v>
      </x:c>
      <x:c r="F155" s="43" t="str">
        <x:v>OF-pups-abramova2024</x:v>
      </x:c>
      <x:c r="G155" s="43" t="str">
        <x:v>included_studies/abramova_2021_front/abramova_2021_front.xlsx</x:v>
      </x:c>
      <x:c r="H155" s="43" t="str">
        <x:v>Corrected transcription</x:v>
      </x:c>
      <x:c r="I155" s="43" t="str">
        <x:v>included_studies/abramova_2021_front/abramova_2021_front.xlsx, Лист1, handling=No handling</x:v>
      </x:c>
      <x:c r="J155" s="43" t="str">
        <x:v>Use the stable path to the saved author workbook.</x:v>
      </x:c>
    </x:row>
    <x:row r="156">
      <x:c r="A156" s="43" t="str">
        <x:v>6 – Abramova 2021 same-sex controls</x:v>
      </x:c>
      <x:c r="B156" s="43" t="str">
        <x:v>abramova_2021_front</x:v>
      </x:c>
      <x:c r="C156" s="43" t="str">
        <x:v>es083</x:v>
      </x:c>
      <x:c r="D156" s="43" t="str">
        <x:v>84</x:v>
      </x:c>
      <x:c r="E156" s="43" t="str">
        <x:v>data_source</x:v>
      </x:c>
      <x:c r="F156" s="43" t="str">
        <x:v>Raw data</x:v>
      </x:c>
      <x:c r="G156" s="43" t="str">
        <x:v>Author raw data</x:v>
      </x:c>
      <x:c r="H156" s="43" t="str">
        <x:v>Corrected transcription</x:v>
      </x:c>
      <x:c r="I156" s="43" t="str">
        <x:v>included_studies/abramova_2021_front/abramova_2021_front.xlsx, Лист1, handling=No handling</x:v>
      </x:c>
      <x:c r="J156" s="43" t="str">
        <x:v>All summaries in this package are calculated from the saved author workbook.</x:v>
      </x:c>
    </x:row>
    <x:row r="157">
      <x:c r="A157" s="43" t="str">
        <x:v>6 – Abramova 2021 same-sex controls</x:v>
      </x:c>
      <x:c r="B157" s="43" t="str">
        <x:v>abramova_2021_front</x:v>
      </x:c>
      <x:c r="C157" s="43" t="str">
        <x:v>es084</x:v>
      </x:c>
      <x:c r="D157" s="43" t="str">
        <x:v>85</x:v>
      </x:c>
      <x:c r="E157" s="43" t="str">
        <x:v>c_mean</x:v>
      </x:c>
      <x:c r="F157" s="43" t="str">
        <x:v>34.048</x:v>
      </x:c>
      <x:c r="G157" s="43" t="str">
        <x:v>16.378696</x:v>
      </x:c>
      <x:c r="H157" s="43" t="str">
        <x:v>Corrected transcription</x:v>
      </x:c>
      <x:c r="I157" s="43" t="str">
        <x:v>included_studies/abramova_2021_front/abramova_2021_front.xlsx, Лист1, handling=No handling</x:v>
      </x:c>
      <x:c r="J157" s="43" t="str">
        <x:v>Recalculate the control mean from the same-sex author raw subgroup (grum_totalTime).</x:v>
      </x:c>
    </x:row>
    <x:row r="158">
      <x:c r="A158" s="43" t="str">
        <x:v>6 – Abramova 2021 same-sex controls</x:v>
      </x:c>
      <x:c r="B158" s="43" t="str">
        <x:v>abramova_2021_front</x:v>
      </x:c>
      <x:c r="C158" s="43" t="str">
        <x:v>es084</x:v>
      </x:c>
      <x:c r="D158" s="43" t="str">
        <x:v>85</x:v>
      </x:c>
      <x:c r="E158" s="43" t="str">
        <x:v>c_n</x:v>
      </x:c>
      <x:c r="F158" s="43" t="str">
        <x:v>25</x:v>
      </x:c>
      <x:c r="G158" s="43" t="str">
        <x:v>23</x:v>
      </x:c>
      <x:c r="H158" s="43" t="str">
        <x:v>Corrected transcription</x:v>
      </x:c>
      <x:c r="I158" s="43" t="str">
        <x:v>included_studies/abramova_2021_front/abramova_2021_front.xlsx, Лист1, handling=No handling</x:v>
      </x:c>
      <x:c r="J158" s="43" t="str">
        <x:v>Use the females control subgroup matching offspring_sex.</x:v>
      </x:c>
    </x:row>
    <x:row r="159">
      <x:c r="A159" s="43" t="str">
        <x:v>6 – Abramova 2021 same-sex controls</x:v>
      </x:c>
      <x:c r="B159" s="43" t="str">
        <x:v>abramova_2021_front</x:v>
      </x:c>
      <x:c r="C159" s="43" t="str">
        <x:v>es084</x:v>
      </x:c>
      <x:c r="D159" s="43" t="str">
        <x:v>85</x:v>
      </x:c>
      <x:c r="E159" s="43" t="str">
        <x:v>c_sd</x:v>
      </x:c>
      <x:c r="F159" s="43" t="str">
        <x:v>25.0853</x:v>
      </x:c>
      <x:c r="G159" s="43" t="str">
        <x:v>13.13384</x:v>
      </x:c>
      <x:c r="H159" s="43" t="str">
        <x:v>Corrected transcription</x:v>
      </x:c>
      <x:c r="I159" s="43" t="str">
        <x:v>included_studies/abramova_2021_front/abramova_2021_front.xlsx, Лист1, handling=No handling</x:v>
      </x:c>
      <x:c r="J159" s="43" t="str">
        <x:v>Recalculate the control SD from the same-sex author raw subgroup (grum_totalTime).</x:v>
      </x:c>
    </x:row>
    <x:row r="160">
      <x:c r="A160" s="43" t="str">
        <x:v>6 – Abramova 2021 same-sex controls</x:v>
      </x:c>
      <x:c r="B160" s="43" t="str">
        <x:v>abramova_2021_front</x:v>
      </x:c>
      <x:c r="C160" s="43" t="str">
        <x:v>es084</x:v>
      </x:c>
      <x:c r="D160" s="43" t="str">
        <x:v>85</x:v>
      </x:c>
      <x:c r="E160" s="43" t="str">
        <x:v>c_se_analysis</x:v>
      </x:c>
      <x:c r="F160" s="43" t="str">
        <x:v>5.0171</x:v>
      </x:c>
      <x:c r="G160" s="43" t="str">
        <x:v>2.738595</x:v>
      </x:c>
      <x:c r="H160" s="43" t="str">
        <x:v>Corrected derived value</x:v>
      </x:c>
      <x:c r="I160" s="43" t="str">
        <x:v>included_studies/abramova_2021_front/abramova_2021_front.xlsx, Лист1, handling=No handling</x:v>
      </x:c>
      <x:c r="J160" s="43" t="str">
        <x:v>Recalculate SE after replacing the opposite-sex control summary with the same-sex subgroup.</x:v>
      </x:c>
    </x:row>
    <x:row r="161">
      <x:c r="A161" s="43" t="str">
        <x:v>6 – Abramova 2021 same-sex controls</x:v>
      </x:c>
      <x:c r="B161" s="43" t="str">
        <x:v>abramova_2021_front</x:v>
      </x:c>
      <x:c r="C161" s="43" t="str">
        <x:v>es084</x:v>
      </x:c>
      <x:c r="D161" s="43" t="str">
        <x:v>85</x:v>
      </x:c>
      <x:c r="E161" s="43" t="str">
        <x:v>data_file</x:v>
      </x:c>
      <x:c r="F161" s="43" t="str">
        <x:v>OF-pups-abramova2025</x:v>
      </x:c>
      <x:c r="G161" s="43" t="str">
        <x:v>included_studies/abramova_2021_front/abramova_2021_front.xlsx</x:v>
      </x:c>
      <x:c r="H161" s="43" t="str">
        <x:v>Corrected transcription</x:v>
      </x:c>
      <x:c r="I161" s="43" t="str">
        <x:v>included_studies/abramova_2021_front/abramova_2021_front.xlsx, Лист1, handling=No handling</x:v>
      </x:c>
      <x:c r="J161" s="43" t="str">
        <x:v>Use the stable path to the saved author workbook.</x:v>
      </x:c>
    </x:row>
    <x:row r="162">
      <x:c r="A162" s="43" t="str">
        <x:v>6 – Abramova 2021 same-sex controls</x:v>
      </x:c>
      <x:c r="B162" s="43" t="str">
        <x:v>abramova_2021_front</x:v>
      </x:c>
      <x:c r="C162" s="43" t="str">
        <x:v>es084</x:v>
      </x:c>
      <x:c r="D162" s="43" t="str">
        <x:v>85</x:v>
      </x:c>
      <x:c r="E162" s="43" t="str">
        <x:v>data_source</x:v>
      </x:c>
      <x:c r="F162" s="43" t="str">
        <x:v>Raw data</x:v>
      </x:c>
      <x:c r="G162" s="43" t="str">
        <x:v>Author raw data</x:v>
      </x:c>
      <x:c r="H162" s="43" t="str">
        <x:v>Corrected transcription</x:v>
      </x:c>
      <x:c r="I162" s="43" t="str">
        <x:v>included_studies/abramova_2021_front/abramova_2021_front.xlsx, Лист1, handling=No handling</x:v>
      </x:c>
      <x:c r="J162" s="43" t="str">
        <x:v>All summaries in this package are calculated from the saved author workbook.</x:v>
      </x:c>
    </x:row>
    <x:row r="163">
      <x:c r="A163" s="43" t="str">
        <x:v>6 – Abramova 2021 same-sex controls</x:v>
      </x:c>
      <x:c r="B163" s="43" t="str">
        <x:v>abramova_2021_front</x:v>
      </x:c>
      <x:c r="C163" s="43" t="str">
        <x:v>es085</x:v>
      </x:c>
      <x:c r="D163" s="43" t="str">
        <x:v>86</x:v>
      </x:c>
      <x:c r="E163" s="43" t="str">
        <x:v>c_mean</x:v>
      </x:c>
      <x:c r="F163" s="43" t="str">
        <x:v>16.3787</x:v>
      </x:c>
      <x:c r="G163" s="43" t="str">
        <x:v>34.048</x:v>
      </x:c>
      <x:c r="H163" s="43" t="str">
        <x:v>Corrected transcription</x:v>
      </x:c>
      <x:c r="I163" s="43" t="str">
        <x:v>included_studies/abramova_2021_front/abramova_2021_front.xlsx, Лист1, handling=No handling</x:v>
      </x:c>
      <x:c r="J163" s="43" t="str">
        <x:v>Recalculate the control mean from the same-sex author raw subgroup (grum_totalTime).</x:v>
      </x:c>
    </x:row>
    <x:row r="164">
      <x:c r="A164" s="43" t="str">
        <x:v>6 – Abramova 2021 same-sex controls</x:v>
      </x:c>
      <x:c r="B164" s="43" t="str">
        <x:v>abramova_2021_front</x:v>
      </x:c>
      <x:c r="C164" s="43" t="str">
        <x:v>es085</x:v>
      </x:c>
      <x:c r="D164" s="43" t="str">
        <x:v>86</x:v>
      </x:c>
      <x:c r="E164" s="43" t="str">
        <x:v>c_n</x:v>
      </x:c>
      <x:c r="F164" s="43" t="str">
        <x:v>23</x:v>
      </x:c>
      <x:c r="G164" s="43" t="str">
        <x:v>25</x:v>
      </x:c>
      <x:c r="H164" s="43" t="str">
        <x:v>Corrected transcription</x:v>
      </x:c>
      <x:c r="I164" s="43" t="str">
        <x:v>included_studies/abramova_2021_front/abramova_2021_front.xlsx, Лист1, handling=No handling</x:v>
      </x:c>
      <x:c r="J164" s="43" t="str">
        <x:v>Use the males control subgroup matching offspring_sex.</x:v>
      </x:c>
    </x:row>
    <x:row r="165">
      <x:c r="A165" s="43" t="str">
        <x:v>6 – Abramova 2021 same-sex controls</x:v>
      </x:c>
      <x:c r="B165" s="43" t="str">
        <x:v>abramova_2021_front</x:v>
      </x:c>
      <x:c r="C165" s="43" t="str">
        <x:v>es085</x:v>
      </x:c>
      <x:c r="D165" s="43" t="str">
        <x:v>86</x:v>
      </x:c>
      <x:c r="E165" s="43" t="str">
        <x:v>c_sd</x:v>
      </x:c>
      <x:c r="F165" s="43" t="str">
        <x:v>13.1338</x:v>
      </x:c>
      <x:c r="G165" s="43" t="str">
        <x:v>25.085267</x:v>
      </x:c>
      <x:c r="H165" s="43" t="str">
        <x:v>Corrected transcription</x:v>
      </x:c>
      <x:c r="I165" s="43" t="str">
        <x:v>included_studies/abramova_2021_front/abramova_2021_front.xlsx, Лист1, handling=No handling</x:v>
      </x:c>
      <x:c r="J165" s="43" t="str">
        <x:v>Recalculate the control SD from the same-sex author raw subgroup (grum_totalTime).</x:v>
      </x:c>
    </x:row>
    <x:row r="166">
      <x:c r="A166" s="43" t="str">
        <x:v>6 – Abramova 2021 same-sex controls</x:v>
      </x:c>
      <x:c r="B166" s="43" t="str">
        <x:v>abramova_2021_front</x:v>
      </x:c>
      <x:c r="C166" s="43" t="str">
        <x:v>es085</x:v>
      </x:c>
      <x:c r="D166" s="43" t="str">
        <x:v>86</x:v>
      </x:c>
      <x:c r="E166" s="43" t="str">
        <x:v>c_se_analysis</x:v>
      </x:c>
      <x:c r="F166" s="43" t="str">
        <x:v>2.7386</x:v>
      </x:c>
      <x:c r="G166" s="43" t="str">
        <x:v>5.017053</x:v>
      </x:c>
      <x:c r="H166" s="43" t="str">
        <x:v>Corrected derived value</x:v>
      </x:c>
      <x:c r="I166" s="43" t="str">
        <x:v>included_studies/abramova_2021_front/abramova_2021_front.xlsx, Лист1, handling=No handling</x:v>
      </x:c>
      <x:c r="J166" s="43" t="str">
        <x:v>Recalculate SE after replacing the opposite-sex control summary with the same-sex subgroup.</x:v>
      </x:c>
    </x:row>
    <x:row r="167">
      <x:c r="A167" s="43" t="str">
        <x:v>6 – Abramova 2021 same-sex controls</x:v>
      </x:c>
      <x:c r="B167" s="43" t="str">
        <x:v>abramova_2021_front</x:v>
      </x:c>
      <x:c r="C167" s="43" t="str">
        <x:v>es085</x:v>
      </x:c>
      <x:c r="D167" s="43" t="str">
        <x:v>86</x:v>
      </x:c>
      <x:c r="E167" s="43" t="str">
        <x:v>data_file</x:v>
      </x:c>
      <x:c r="F167" s="43" t="str">
        <x:v>OF-pups-abramova2026</x:v>
      </x:c>
      <x:c r="G167" s="43" t="str">
        <x:v>included_studies/abramova_2021_front/abramova_2021_front.xlsx</x:v>
      </x:c>
      <x:c r="H167" s="43" t="str">
        <x:v>Corrected transcription</x:v>
      </x:c>
      <x:c r="I167" s="43" t="str">
        <x:v>included_studies/abramova_2021_front/abramova_2021_front.xlsx, Лист1, handling=No handling</x:v>
      </x:c>
      <x:c r="J167" s="43" t="str">
        <x:v>Use the stable path to the saved author workbook.</x:v>
      </x:c>
    </x:row>
    <x:row r="168">
      <x:c r="A168" s="43" t="str">
        <x:v>6 – Abramova 2021 same-sex controls</x:v>
      </x:c>
      <x:c r="B168" s="43" t="str">
        <x:v>abramova_2021_front</x:v>
      </x:c>
      <x:c r="C168" s="43" t="str">
        <x:v>es085</x:v>
      </x:c>
      <x:c r="D168" s="43" t="str">
        <x:v>86</x:v>
      </x:c>
      <x:c r="E168" s="43" t="str">
        <x:v>data_source</x:v>
      </x:c>
      <x:c r="F168" s="43" t="str">
        <x:v>Raw data</x:v>
      </x:c>
      <x:c r="G168" s="43" t="str">
        <x:v>Author raw data</x:v>
      </x:c>
      <x:c r="H168" s="43" t="str">
        <x:v>Corrected transcription</x:v>
      </x:c>
      <x:c r="I168" s="43" t="str">
        <x:v>included_studies/abramova_2021_front/abramova_2021_front.xlsx, Лист1, handling=No handling</x:v>
      </x:c>
      <x:c r="J168" s="43" t="str">
        <x:v>All summaries in this package are calculated from the saved author workbook.</x:v>
      </x:c>
    </x:row>
    <x:row r="169">
      <x:c r="A169" s="43" t="str">
        <x:v>6 – Abramova 2021 same-sex controls</x:v>
      </x:c>
      <x:c r="B169" s="43" t="str">
        <x:v>abramova_2021_front</x:v>
      </x:c>
      <x:c r="C169" s="43" t="str">
        <x:v>es086</x:v>
      </x:c>
      <x:c r="D169" s="43" t="str">
        <x:v>87</x:v>
      </x:c>
      <x:c r="E169" s="43" t="str">
        <x:v>c_mean</x:v>
      </x:c>
      <x:c r="F169" s="43" t="str">
        <x:v>36.678</x:v>
      </x:c>
      <x:c r="G169" s="43" t="str">
        <x:v>39.256957</x:v>
      </x:c>
      <x:c r="H169" s="43" t="str">
        <x:v>Corrected transcription</x:v>
      </x:c>
      <x:c r="I169" s="43" t="str">
        <x:v>included_studies/abramova_2021_front/abramova_2021_front.xlsx, Лист1, handling=No handling</x:v>
      </x:c>
      <x:c r="J169" s="43" t="str">
        <x:v>Recalculate the control mean from the same-sex author raw subgroup (freez_totalTime).</x:v>
      </x:c>
    </x:row>
    <x:row r="170">
      <x:c r="A170" s="43" t="str">
        <x:v>6 – Abramova 2021 same-sex controls</x:v>
      </x:c>
      <x:c r="B170" s="43" t="str">
        <x:v>abramova_2021_front</x:v>
      </x:c>
      <x:c r="C170" s="43" t="str">
        <x:v>es086</x:v>
      </x:c>
      <x:c r="D170" s="43" t="str">
        <x:v>87</x:v>
      </x:c>
      <x:c r="E170" s="43" t="str">
        <x:v>c_n</x:v>
      </x:c>
      <x:c r="F170" s="43" t="str">
        <x:v>25</x:v>
      </x:c>
      <x:c r="G170" s="43" t="str">
        <x:v>23</x:v>
      </x:c>
      <x:c r="H170" s="43" t="str">
        <x:v>Corrected transcription</x:v>
      </x:c>
      <x:c r="I170" s="43" t="str">
        <x:v>included_studies/abramova_2021_front/abramova_2021_front.xlsx, Лист1, handling=No handling</x:v>
      </x:c>
      <x:c r="J170" s="43" t="str">
        <x:v>Use the females control subgroup matching offspring_sex.</x:v>
      </x:c>
    </x:row>
    <x:row r="171">
      <x:c r="A171" s="43" t="str">
        <x:v>6 – Abramova 2021 same-sex controls</x:v>
      </x:c>
      <x:c r="B171" s="43" t="str">
        <x:v>abramova_2021_front</x:v>
      </x:c>
      <x:c r="C171" s="43" t="str">
        <x:v>es086</x:v>
      </x:c>
      <x:c r="D171" s="43" t="str">
        <x:v>87</x:v>
      </x:c>
      <x:c r="E171" s="43" t="str">
        <x:v>c_sd</x:v>
      </x:c>
      <x:c r="F171" s="43" t="str">
        <x:v>36.638</x:v>
      </x:c>
      <x:c r="G171" s="43" t="str">
        <x:v>41.727392</x:v>
      </x:c>
      <x:c r="H171" s="43" t="str">
        <x:v>Corrected transcription</x:v>
      </x:c>
      <x:c r="I171" s="43" t="str">
        <x:v>included_studies/abramova_2021_front/abramova_2021_front.xlsx, Лист1, handling=No handling</x:v>
      </x:c>
      <x:c r="J171" s="43" t="str">
        <x:v>Recalculate the control SD from the same-sex author raw subgroup (freez_totalTime).</x:v>
      </x:c>
    </x:row>
    <x:row r="172">
      <x:c r="A172" s="43" t="str">
        <x:v>6 – Abramova 2021 same-sex controls</x:v>
      </x:c>
      <x:c r="B172" s="43" t="str">
        <x:v>abramova_2021_front</x:v>
      </x:c>
      <x:c r="C172" s="43" t="str">
        <x:v>es086</x:v>
      </x:c>
      <x:c r="D172" s="43" t="str">
        <x:v>87</x:v>
      </x:c>
      <x:c r="E172" s="43" t="str">
        <x:v>c_se_analysis</x:v>
      </x:c>
      <x:c r="F172" s="43" t="str">
        <x:v>7.3276</x:v>
      </x:c>
      <x:c r="G172" s="43" t="str">
        <x:v>8.700763</x:v>
      </x:c>
      <x:c r="H172" s="43" t="str">
        <x:v>Corrected derived value</x:v>
      </x:c>
      <x:c r="I172" s="43" t="str">
        <x:v>included_studies/abramova_2021_front/abramova_2021_front.xlsx, Лист1, handling=No handling</x:v>
      </x:c>
      <x:c r="J172" s="43" t="str">
        <x:v>Recalculate SE after replacing the opposite-sex control summary with the same-sex subgroup.</x:v>
      </x:c>
    </x:row>
    <x:row r="173">
      <x:c r="A173" s="43" t="str">
        <x:v>6 – Abramova 2021 same-sex controls</x:v>
      </x:c>
      <x:c r="B173" s="43" t="str">
        <x:v>abramova_2021_front</x:v>
      </x:c>
      <x:c r="C173" s="43" t="str">
        <x:v>es086</x:v>
      </x:c>
      <x:c r="D173" s="43" t="str">
        <x:v>87</x:v>
      </x:c>
      <x:c r="E173" s="43" t="str">
        <x:v>data_file</x:v>
      </x:c>
      <x:c r="F173" s="43" t="str">
        <x:v>OF-pups-abramova2027</x:v>
      </x:c>
      <x:c r="G173" s="43" t="str">
        <x:v>included_studies/abramova_2021_front/abramova_2021_front.xlsx</x:v>
      </x:c>
      <x:c r="H173" s="43" t="str">
        <x:v>Corrected transcription</x:v>
      </x:c>
      <x:c r="I173" s="43" t="str">
        <x:v>included_studies/abramova_2021_front/abramova_2021_front.xlsx, Лист1, handling=No handling</x:v>
      </x:c>
      <x:c r="J173" s="43" t="str">
        <x:v>Use the stable path to the saved author workbook.</x:v>
      </x:c>
    </x:row>
    <x:row r="174">
      <x:c r="A174" s="43" t="str">
        <x:v>6 – Abramova 2021 same-sex controls</x:v>
      </x:c>
      <x:c r="B174" s="43" t="str">
        <x:v>abramova_2021_front</x:v>
      </x:c>
      <x:c r="C174" s="43" t="str">
        <x:v>es086</x:v>
      </x:c>
      <x:c r="D174" s="43" t="str">
        <x:v>87</x:v>
      </x:c>
      <x:c r="E174" s="43" t="str">
        <x:v>data_source</x:v>
      </x:c>
      <x:c r="F174" s="43" t="str">
        <x:v>Figure 2c</x:v>
      </x:c>
      <x:c r="G174" s="43" t="str">
        <x:v>Author raw data</x:v>
      </x:c>
      <x:c r="H174" s="43" t="str">
        <x:v>Corrected transcription</x:v>
      </x:c>
      <x:c r="I174" s="43" t="str">
        <x:v>included_studies/abramova_2021_front/abramova_2021_front.xlsx, Лист1, handling=No handling</x:v>
      </x:c>
      <x:c r="J174" s="43" t="str">
        <x:v>All summaries in this package are calculated from the saved author workbook.</x:v>
      </x:c>
    </x:row>
    <x:row r="175">
      <x:c r="A175" s="43" t="str">
        <x:v>6 – Abramova 2021 same-sex controls</x:v>
      </x:c>
      <x:c r="B175" s="43" t="str">
        <x:v>abramova_2021_front</x:v>
      </x:c>
      <x:c r="C175" s="43" t="str">
        <x:v>es087</x:v>
      </x:c>
      <x:c r="D175" s="43" t="str">
        <x:v>88</x:v>
      </x:c>
      <x:c r="E175" s="43" t="str">
        <x:v>c_mean</x:v>
      </x:c>
      <x:c r="F175" s="43" t="str">
        <x:v>39.257</x:v>
      </x:c>
      <x:c r="G175" s="43" t="str">
        <x:v>36.678</x:v>
      </x:c>
      <x:c r="H175" s="43" t="str">
        <x:v>Corrected transcription</x:v>
      </x:c>
      <x:c r="I175" s="43" t="str">
        <x:v>included_studies/abramova_2021_front/abramova_2021_front.xlsx, Лист1, handling=No handling</x:v>
      </x:c>
      <x:c r="J175" s="43" t="str">
        <x:v>Recalculate the control mean from the same-sex author raw subgroup (freez_totalTime).</x:v>
      </x:c>
    </x:row>
    <x:row r="176">
      <x:c r="A176" s="43" t="str">
        <x:v>6 – Abramova 2021 same-sex controls</x:v>
      </x:c>
      <x:c r="B176" s="43" t="str">
        <x:v>abramova_2021_front</x:v>
      </x:c>
      <x:c r="C176" s="43" t="str">
        <x:v>es087</x:v>
      </x:c>
      <x:c r="D176" s="43" t="str">
        <x:v>88</x:v>
      </x:c>
      <x:c r="E176" s="43" t="str">
        <x:v>c_n</x:v>
      </x:c>
      <x:c r="F176" s="43" t="str">
        <x:v>23</x:v>
      </x:c>
      <x:c r="G176" s="43" t="str">
        <x:v>25</x:v>
      </x:c>
      <x:c r="H176" s="43" t="str">
        <x:v>Corrected transcription</x:v>
      </x:c>
      <x:c r="I176" s="43" t="str">
        <x:v>included_studies/abramova_2021_front/abramova_2021_front.xlsx, Лист1, handling=No handling</x:v>
      </x:c>
      <x:c r="J176" s="43" t="str">
        <x:v>Use the males control subgroup matching offspring_sex.</x:v>
      </x:c>
    </x:row>
    <x:row r="177">
      <x:c r="A177" s="43" t="str">
        <x:v>6 – Abramova 2021 same-sex controls</x:v>
      </x:c>
      <x:c r="B177" s="43" t="str">
        <x:v>abramova_2021_front</x:v>
      </x:c>
      <x:c r="C177" s="43" t="str">
        <x:v>es087</x:v>
      </x:c>
      <x:c r="D177" s="43" t="str">
        <x:v>88</x:v>
      </x:c>
      <x:c r="E177" s="43" t="str">
        <x:v>c_sd</x:v>
      </x:c>
      <x:c r="F177" s="43" t="str">
        <x:v>41.7274</x:v>
      </x:c>
      <x:c r="G177" s="43" t="str">
        <x:v>36.638022</x:v>
      </x:c>
      <x:c r="H177" s="43" t="str">
        <x:v>Corrected transcription</x:v>
      </x:c>
      <x:c r="I177" s="43" t="str">
        <x:v>included_studies/abramova_2021_front/abramova_2021_front.xlsx, Лист1, handling=No handling</x:v>
      </x:c>
      <x:c r="J177" s="43" t="str">
        <x:v>Recalculate the control SD from the same-sex author raw subgroup (freez_totalTime).</x:v>
      </x:c>
    </x:row>
    <x:row r="178">
      <x:c r="A178" s="43" t="str">
        <x:v>6 – Abramova 2021 same-sex controls</x:v>
      </x:c>
      <x:c r="B178" s="43" t="str">
        <x:v>abramova_2021_front</x:v>
      </x:c>
      <x:c r="C178" s="43" t="str">
        <x:v>es087</x:v>
      </x:c>
      <x:c r="D178" s="43" t="str">
        <x:v>88</x:v>
      </x:c>
      <x:c r="E178" s="43" t="str">
        <x:v>c_se_analysis</x:v>
      </x:c>
      <x:c r="F178" s="43" t="str">
        <x:v>8.7008</x:v>
      </x:c>
      <x:c r="G178" s="43" t="str">
        <x:v>7.327604</x:v>
      </x:c>
      <x:c r="H178" s="43" t="str">
        <x:v>Corrected derived value</x:v>
      </x:c>
      <x:c r="I178" s="43" t="str">
        <x:v>included_studies/abramova_2021_front/abramova_2021_front.xlsx, Лист1, handling=No handling</x:v>
      </x:c>
      <x:c r="J178" s="43" t="str">
        <x:v>Recalculate SE after replacing the opposite-sex control summary with the same-sex subgroup.</x:v>
      </x:c>
    </x:row>
    <x:row r="179">
      <x:c r="A179" s="43" t="str">
        <x:v>6 – Abramova 2021 same-sex controls</x:v>
      </x:c>
      <x:c r="B179" s="43" t="str">
        <x:v>abramova_2021_front</x:v>
      </x:c>
      <x:c r="C179" s="43" t="str">
        <x:v>es087</x:v>
      </x:c>
      <x:c r="D179" s="43" t="str">
        <x:v>88</x:v>
      </x:c>
      <x:c r="E179" s="43" t="str">
        <x:v>data_file</x:v>
      </x:c>
      <x:c r="F179" s="43" t="str">
        <x:v>OF-pups-abramova2028</x:v>
      </x:c>
      <x:c r="G179" s="43" t="str">
        <x:v>included_studies/abramova_2021_front/abramova_2021_front.xlsx</x:v>
      </x:c>
      <x:c r="H179" s="43" t="str">
        <x:v>Corrected transcription</x:v>
      </x:c>
      <x:c r="I179" s="43" t="str">
        <x:v>included_studies/abramova_2021_front/abramova_2021_front.xlsx, Лист1, handling=No handling</x:v>
      </x:c>
      <x:c r="J179" s="43" t="str">
        <x:v>Use the stable path to the saved author workbook.</x:v>
      </x:c>
    </x:row>
    <x:row r="180">
      <x:c r="A180" s="43" t="str">
        <x:v>6 – Abramova 2021 same-sex controls</x:v>
      </x:c>
      <x:c r="B180" s="43" t="str">
        <x:v>abramova_2021_front</x:v>
      </x:c>
      <x:c r="C180" s="43" t="str">
        <x:v>es087</x:v>
      </x:c>
      <x:c r="D180" s="43" t="str">
        <x:v>88</x:v>
      </x:c>
      <x:c r="E180" s="43" t="str">
        <x:v>data_source</x:v>
      </x:c>
      <x:c r="F180" s="43" t="str">
        <x:v>Figure 2c</x:v>
      </x:c>
      <x:c r="G180" s="43" t="str">
        <x:v>Author raw data</x:v>
      </x:c>
      <x:c r="H180" s="43" t="str">
        <x:v>Corrected transcription</x:v>
      </x:c>
      <x:c r="I180" s="43" t="str">
        <x:v>included_studies/abramova_2021_front/abramova_2021_front.xlsx, Лист1, handling=No handling</x:v>
      </x:c>
      <x:c r="J180" s="43" t="str">
        <x:v>All summaries in this package are calculated from the saved author workbook.</x:v>
      </x:c>
    </x:row>
    <x:row r="181">
      <x:c r="A181" s="43" t="str">
        <x:v>7 – Abramova 2023 identifiers and units</x:v>
      </x:c>
      <x:c r="B181" s="43" t="str">
        <x:v>abramova_2023_biopsy</x:v>
      </x:c>
      <x:c r="C181" s="43" t="str">
        <x:v>es164</x:v>
      </x:c>
      <x:c r="D181" s="43" t="str">
        <x:v>165</x:v>
      </x:c>
      <x:c r="E181" s="43" t="str">
        <x:v>data_file</x:v>
      </x:c>
      <x:c r="F181" s="43" t="str">
        <x:v>abramova_2023_biopsy_data.xlsx</x:v>
      </x:c>
      <x:c r="G181" s="43" t="str">
        <x:v>included_studies/abramova_2023_biopsy/abramova_2023_biopsy_data_calculations.xlsx</x:v>
      </x:c>
      <x:c r="H181" s="43" t="str">
        <x:v>Corrected transcription</x:v>
      </x:c>
      <x:c r="I181" s="43" t="str">
        <x:v>included_studies/abramova_2023_biopsy/abramova_2023_biopsy_data_calculations.xlsx, Table1_Extract</x:v>
      </x:c>
      <x:c r="J181" s="43" t="str">
        <x:v>Use the stable path to the saved extraction/calculation workbook.</x:v>
      </x:c>
    </x:row>
    <x:row r="182">
      <x:c r="A182" s="43" t="str">
        <x:v>7 – Abramova 2023 identifiers and units</x:v>
      </x:c>
      <x:c r="B182" s="43" t="str">
        <x:v>abramova_2023_biopsy</x:v>
      </x:c>
      <x:c r="C182" s="43" t="str">
        <x:v>es165</x:v>
      </x:c>
      <x:c r="D182" s="43" t="str">
        <x:v>166</x:v>
      </x:c>
      <x:c r="E182" s="43" t="str">
        <x:v>data_file</x:v>
      </x:c>
      <x:c r="F182" s="43" t="str">
        <x:v>abramova_2023_biopsy_data.xlsx</x:v>
      </x:c>
      <x:c r="G182" s="43" t="str">
        <x:v>included_studies/abramova_2023_biopsy/abramova_2023_biopsy_data_calculations.xlsx</x:v>
      </x:c>
      <x:c r="H182" s="43" t="str">
        <x:v>Corrected transcription</x:v>
      </x:c>
      <x:c r="I182" s="43" t="str">
        <x:v>included_studies/abramova_2023_biopsy/abramova_2023_biopsy_data_calculations.xlsx, Table1_Extract</x:v>
      </x:c>
      <x:c r="J182" s="43" t="str">
        <x:v>Use the stable path to the saved extraction/calculation workbook.</x:v>
      </x:c>
    </x:row>
    <x:row r="183">
      <x:c r="A183" s="43" t="str">
        <x:v>7 – Abramova 2023 identifiers and units</x:v>
      </x:c>
      <x:c r="B183" s="43" t="str">
        <x:v>abramova_2023_biopsy</x:v>
      </x:c>
      <x:c r="C183" s="43" t="str">
        <x:v>es166</x:v>
      </x:c>
      <x:c r="D183" s="43" t="str">
        <x:v>167</x:v>
      </x:c>
      <x:c r="E183" s="43" t="str">
        <x:v>data_file</x:v>
      </x:c>
      <x:c r="F183" s="43" t="str">
        <x:v>abramova_2023_biopsy_data.xlsx</x:v>
      </x:c>
      <x:c r="G183" s="43" t="str">
        <x:v>included_studies/abramova_2023_biopsy/abramova_2023_biopsy_data_calculations.xlsx</x:v>
      </x:c>
      <x:c r="H183" s="43" t="str">
        <x:v>Corrected transcription</x:v>
      </x:c>
      <x:c r="I183" s="43" t="str">
        <x:v>included_studies/abramova_2023_biopsy/abramova_2023_biopsy_data_calculations.xlsx, Table1_Extract</x:v>
      </x:c>
      <x:c r="J183" s="43" t="str">
        <x:v>Use the stable path to the saved extraction/calculation workbook.</x:v>
      </x:c>
    </x:row>
    <x:row r="184">
      <x:c r="A184" s="43" t="str">
        <x:v>7 – Abramova 2023 identifiers and units</x:v>
      </x:c>
      <x:c r="B184" s="43" t="str">
        <x:v>abramova_2023_biopsy</x:v>
      </x:c>
      <x:c r="C184" s="43" t="str">
        <x:v>es167</x:v>
      </x:c>
      <x:c r="D184" s="43" t="str">
        <x:v>168</x:v>
      </x:c>
      <x:c r="E184" s="43" t="str">
        <x:v>data_file</x:v>
      </x:c>
      <x:c r="F184" s="43" t="str">
        <x:v>abramova_2023_biopsy_data.xlsx</x:v>
      </x:c>
      <x:c r="G184" s="43" t="str">
        <x:v>included_studies/abramova_2023_biopsy/abramova_2023_biopsy_data_calculations.xlsx</x:v>
      </x:c>
      <x:c r="H184" s="43" t="str">
        <x:v>Corrected transcription</x:v>
      </x:c>
      <x:c r="I184" s="43" t="str">
        <x:v>included_studies/abramova_2023_biopsy/abramova_2023_biopsy_data_calculations.xlsx, Table1_Extract</x:v>
      </x:c>
      <x:c r="J184" s="43" t="str">
        <x:v>Use the stable path to the saved extraction/calculation workbook.</x:v>
      </x:c>
    </x:row>
    <x:row r="185">
      <x:c r="A185" s="43" t="str">
        <x:v>7 – Abramova 2023 identifiers and units</x:v>
      </x:c>
      <x:c r="B185" s="43" t="str">
        <x:v>abramova_2023_biopsy</x:v>
      </x:c>
      <x:c r="C185" s="43" t="str">
        <x:v>es168</x:v>
      </x:c>
      <x:c r="D185" s="43" t="str">
        <x:v>169</x:v>
      </x:c>
      <x:c r="E185" s="43" t="str">
        <x:v>data_file</x:v>
      </x:c>
      <x:c r="F185" s="43" t="str">
        <x:v>abramova_2023_biopsy_data.xlsx</x:v>
      </x:c>
      <x:c r="G185" s="43" t="str">
        <x:v>included_studies/abramova_2023_biopsy/abramova_2023_biopsy_data_calculations.xlsx</x:v>
      </x:c>
      <x:c r="H185" s="43" t="str">
        <x:v>Corrected transcription</x:v>
      </x:c>
      <x:c r="I185" s="43" t="str">
        <x:v>included_studies/abramova_2023_biopsy/abramova_2023_biopsy_data_calculations.xlsx, Table1_Extract</x:v>
      </x:c>
      <x:c r="J185" s="43" t="str">
        <x:v>Use the stable path to the saved extraction/calculation workbook.</x:v>
      </x:c>
    </x:row>
    <x:row r="186">
      <x:c r="A186" s="43" t="str">
        <x:v>7 – Abramova 2023 identifiers and units</x:v>
      </x:c>
      <x:c r="B186" s="43" t="str">
        <x:v>abramova_2023_biopsy</x:v>
      </x:c>
      <x:c r="C186" s="43" t="str">
        <x:v>es169</x:v>
      </x:c>
      <x:c r="D186" s="43" t="str">
        <x:v>170</x:v>
      </x:c>
      <x:c r="E186" s="43" t="str">
        <x:v>c_a_id</x:v>
      </x:c>
      <x:c r="F186" s="43" t="str">
        <x:v>KON_m_</x:v>
      </x:c>
      <x:c r="G186" s="43" t="str">
        <x:v>KON_f_</x:v>
      </x:c>
      <x:c r="H186" s="43" t="str">
        <x:v>Corrected transcription</x:v>
      </x:c>
      <x:c r="I186" s="43" t="str">
        <x:v>included_studies/abramova_2023_biopsy/abramova_2023_biopsy_data_calculations.xlsx, Table1_Extract</x:v>
      </x:c>
      <x:c r="J186" s="43" t="str">
        <x:v>Make the control identifier agree with the sex in the paired source row.</x:v>
      </x:c>
    </x:row>
    <x:row r="187">
      <x:c r="A187" s="43" t="str">
        <x:v>7 – Abramova 2023 identifiers and units</x:v>
      </x:c>
      <x:c r="B187" s="43" t="str">
        <x:v>abramova_2023_biopsy</x:v>
      </x:c>
      <x:c r="C187" s="43" t="str">
        <x:v>es169</x:v>
      </x:c>
      <x:c r="D187" s="43" t="str">
        <x:v>170</x:v>
      </x:c>
      <x:c r="E187" s="43" t="str">
        <x:v>comparison</x:v>
      </x:c>
      <x:c r="F187" s="43" t="str">
        <x:v>KON_PS_m_</x:v>
      </x:c>
      <x:c r="G187" s="43" t="str">
        <x:v>KON_PS_f_</x:v>
      </x:c>
      <x:c r="H187" s="43" t="str">
        <x:v>Corrected transcription</x:v>
      </x:c>
      <x:c r="I187" s="43" t="str">
        <x:v>included_studies/abramova_2023_biopsy/abramova_2023_biopsy_data_calculations.xlsx, Table1_Extract</x:v>
      </x:c>
      <x:c r="J187" s="43" t="str">
        <x:v>Make the comparison identifier agree with the sex in the paired source row.</x:v>
      </x:c>
    </x:row>
    <x:row r="188">
      <x:c r="A188" s="43" t="str">
        <x:v>7 – Abramova 2023 identifiers and units</x:v>
      </x:c>
      <x:c r="B188" s="43" t="str">
        <x:v>abramova_2023_biopsy</x:v>
      </x:c>
      <x:c r="C188" s="43" t="str">
        <x:v>es169</x:v>
      </x:c>
      <x:c r="D188" s="43" t="str">
        <x:v>170</x:v>
      </x:c>
      <x:c r="E188" s="43" t="str">
        <x:v>data_file</x:v>
      </x:c>
      <x:c r="F188" s="43" t="str">
        <x:v>abramova_2023_biopsy_data.xlsx</x:v>
      </x:c>
      <x:c r="G188" s="43" t="str">
        <x:v>included_studies/abramova_2023_biopsy/abramova_2023_biopsy_data_calculations.xlsx</x:v>
      </x:c>
      <x:c r="H188" s="43" t="str">
        <x:v>Corrected transcription</x:v>
      </x:c>
      <x:c r="I188" s="43" t="str">
        <x:v>included_studies/abramova_2023_biopsy/abramova_2023_biopsy_data_calculations.xlsx, Table1_Extract</x:v>
      </x:c>
      <x:c r="J188" s="43" t="str">
        <x:v>Use the stable path to the saved extraction/calculation workbook.</x:v>
      </x:c>
    </x:row>
    <x:row r="189">
      <x:c r="A189" s="43" t="str">
        <x:v>7 – Abramova 2023 identifiers and units</x:v>
      </x:c>
      <x:c r="B189" s="43" t="str">
        <x:v>abramova_2023_biopsy</x:v>
      </x:c>
      <x:c r="C189" s="43" t="str">
        <x:v>es169</x:v>
      </x:c>
      <x:c r="D189" s="43" t="str">
        <x:v>170</x:v>
      </x:c>
      <x:c r="E189" s="43" t="str">
        <x:v>ex_a_id</x:v>
      </x:c>
      <x:c r="F189" s="43" t="str">
        <x:v>PS_m_</x:v>
      </x:c>
      <x:c r="G189" s="43" t="str">
        <x:v>PS_f_</x:v>
      </x:c>
      <x:c r="H189" s="43" t="str">
        <x:v>Corrected transcription</x:v>
      </x:c>
      <x:c r="I189" s="43" t="str">
        <x:v>included_studies/abramova_2023_biopsy/abramova_2023_biopsy_data_calculations.xlsx, Table1_Extract</x:v>
      </x:c>
      <x:c r="J189" s="43" t="str">
        <x:v>Make the exposed identifier agree with the sex in the paired source row.</x:v>
      </x:c>
    </x:row>
    <x:row r="190">
      <x:c r="A190" s="43" t="str">
        <x:v>7 – Abramova 2023 identifiers and units</x:v>
      </x:c>
      <x:c r="B190" s="43" t="str">
        <x:v>abramova_2023_biopsy</x:v>
      </x:c>
      <x:c r="C190" s="43" t="str">
        <x:v>es170</x:v>
      </x:c>
      <x:c r="D190" s="43" t="str">
        <x:v>171</x:v>
      </x:c>
      <x:c r="E190" s="43" t="str">
        <x:v>c_a_id</x:v>
      </x:c>
      <x:c r="F190" s="43" t="str">
        <x:v>KON_f_</x:v>
      </x:c>
      <x:c r="G190" s="43" t="str">
        <x:v>KON_m_</x:v>
      </x:c>
      <x:c r="H190" s="43" t="str">
        <x:v>Corrected transcription</x:v>
      </x:c>
      <x:c r="I190" s="43" t="str">
        <x:v>included_studies/abramova_2023_biopsy/abramova_2023_biopsy_data_calculations.xlsx, Table1_Extract</x:v>
      </x:c>
      <x:c r="J190" s="43" t="str">
        <x:v>Make the control identifier agree with the sex in the paired source row.</x:v>
      </x:c>
    </x:row>
    <x:row r="191">
      <x:c r="A191" s="43" t="str">
        <x:v>7 – Abramova 2023 identifiers and units</x:v>
      </x:c>
      <x:c r="B191" s="43" t="str">
        <x:v>abramova_2023_biopsy</x:v>
      </x:c>
      <x:c r="C191" s="43" t="str">
        <x:v>es170</x:v>
      </x:c>
      <x:c r="D191" s="43" t="str">
        <x:v>171</x:v>
      </x:c>
      <x:c r="E191" s="43" t="str">
        <x:v>comparison</x:v>
      </x:c>
      <x:c r="F191" s="43" t="str">
        <x:v>KON_PS_f_</x:v>
      </x:c>
      <x:c r="G191" s="43" t="str">
        <x:v>KON_PS_m_</x:v>
      </x:c>
      <x:c r="H191" s="43" t="str">
        <x:v>Corrected transcription</x:v>
      </x:c>
      <x:c r="I191" s="43" t="str">
        <x:v>included_studies/abramova_2023_biopsy/abramova_2023_biopsy_data_calculations.xlsx, Table1_Extract</x:v>
      </x:c>
      <x:c r="J191" s="43" t="str">
        <x:v>Make the comparison identifier agree with the sex in the paired source row.</x:v>
      </x:c>
    </x:row>
    <x:row r="192">
      <x:c r="A192" s="43" t="str">
        <x:v>7 – Abramova 2023 identifiers and units</x:v>
      </x:c>
      <x:c r="B192" s="43" t="str">
        <x:v>abramova_2023_biopsy</x:v>
      </x:c>
      <x:c r="C192" s="43" t="str">
        <x:v>es170</x:v>
      </x:c>
      <x:c r="D192" s="43" t="str">
        <x:v>171</x:v>
      </x:c>
      <x:c r="E192" s="43" t="str">
        <x:v>data_file</x:v>
      </x:c>
      <x:c r="F192" s="43" t="str">
        <x:v>abramova_2023_biopsy_data.xlsx</x:v>
      </x:c>
      <x:c r="G192" s="43" t="str">
        <x:v>included_studies/abramova_2023_biopsy/abramova_2023_biopsy_data_calculations.xlsx</x:v>
      </x:c>
      <x:c r="H192" s="43" t="str">
        <x:v>Corrected transcription</x:v>
      </x:c>
      <x:c r="I192" s="43" t="str">
        <x:v>included_studies/abramova_2023_biopsy/abramova_2023_biopsy_data_calculations.xlsx, Table1_Extract</x:v>
      </x:c>
      <x:c r="J192" s="43" t="str">
        <x:v>Use the stable path to the saved extraction/calculation workbook.</x:v>
      </x:c>
    </x:row>
    <x:row r="193">
      <x:c r="A193" s="43" t="str">
        <x:v>7 – Abramova 2023 identifiers and units</x:v>
      </x:c>
      <x:c r="B193" s="43" t="str">
        <x:v>abramova_2023_biopsy</x:v>
      </x:c>
      <x:c r="C193" s="43" t="str">
        <x:v>es170</x:v>
      </x:c>
      <x:c r="D193" s="43" t="str">
        <x:v>171</x:v>
      </x:c>
      <x:c r="E193" s="43" t="str">
        <x:v>ex_a_id</x:v>
      </x:c>
      <x:c r="F193" s="43" t="str">
        <x:v>PS_f_</x:v>
      </x:c>
      <x:c r="G193" s="43" t="str">
        <x:v>PS_m_</x:v>
      </x:c>
      <x:c r="H193" s="43" t="str">
        <x:v>Corrected transcription</x:v>
      </x:c>
      <x:c r="I193" s="43" t="str">
        <x:v>included_studies/abramova_2023_biopsy/abramova_2023_biopsy_data_calculations.xlsx, Table1_Extract</x:v>
      </x:c>
      <x:c r="J193" s="43" t="str">
        <x:v>Make the exposed identifier agree with the sex in the paired source row.</x:v>
      </x:c>
    </x:row>
    <x:row r="194">
      <x:c r="A194" s="43" t="str">
        <x:v>7 – Abramova 2023 identifiers and units</x:v>
      </x:c>
      <x:c r="B194" s="43" t="str">
        <x:v>abramova_2023_biopsy</x:v>
      </x:c>
      <x:c r="C194" s="43" t="str">
        <x:v>es171</x:v>
      </x:c>
      <x:c r="D194" s="43" t="str">
        <x:v>172</x:v>
      </x:c>
      <x:c r="E194" s="43" t="str">
        <x:v>c_a_id</x:v>
      </x:c>
      <x:c r="F194" s="43" t="str">
        <x:v>KON_m_</x:v>
      </x:c>
      <x:c r="G194" s="43" t="str">
        <x:v>KON_f_</x:v>
      </x:c>
      <x:c r="H194" s="43" t="str">
        <x:v>Corrected transcription</x:v>
      </x:c>
      <x:c r="I194" s="43" t="str">
        <x:v>included_studies/abramova_2023_biopsy/abramova_2023_biopsy_data_calculations.xlsx, Table1_Extract</x:v>
      </x:c>
      <x:c r="J194" s="43" t="str">
        <x:v>Make the control identifier agree with the sex in the paired source row.</x:v>
      </x:c>
    </x:row>
    <x:row r="195">
      <x:c r="A195" s="43" t="str">
        <x:v>7 – Abramova 2023 identifiers and units</x:v>
      </x:c>
      <x:c r="B195" s="43" t="str">
        <x:v>abramova_2023_biopsy</x:v>
      </x:c>
      <x:c r="C195" s="43" t="str">
        <x:v>es171</x:v>
      </x:c>
      <x:c r="D195" s="43" t="str">
        <x:v>172</x:v>
      </x:c>
      <x:c r="E195" s="43" t="str">
        <x:v>comparison</x:v>
      </x:c>
      <x:c r="F195" s="43" t="str">
        <x:v>KON_PS_m_</x:v>
      </x:c>
      <x:c r="G195" s="43" t="str">
        <x:v>KON_PS_f_</x:v>
      </x:c>
      <x:c r="H195" s="43" t="str">
        <x:v>Corrected transcription</x:v>
      </x:c>
      <x:c r="I195" s="43" t="str">
        <x:v>included_studies/abramova_2023_biopsy/abramova_2023_biopsy_data_calculations.xlsx, Table1_Extract</x:v>
      </x:c>
      <x:c r="J195" s="43" t="str">
        <x:v>Make the comparison identifier agree with the sex in the paired source row.</x:v>
      </x:c>
    </x:row>
    <x:row r="196">
      <x:c r="A196" s="43" t="str">
        <x:v>7 – Abramova 2023 identifiers and units</x:v>
      </x:c>
      <x:c r="B196" s="43" t="str">
        <x:v>abramova_2023_biopsy</x:v>
      </x:c>
      <x:c r="C196" s="43" t="str">
        <x:v>es171</x:v>
      </x:c>
      <x:c r="D196" s="43" t="str">
        <x:v>172</x:v>
      </x:c>
      <x:c r="E196" s="43" t="str">
        <x:v>data_file</x:v>
      </x:c>
      <x:c r="F196" s="43" t="str">
        <x:v>abramova_2023_biopsy_data.xlsx</x:v>
      </x:c>
      <x:c r="G196" s="43" t="str">
        <x:v>included_studies/abramova_2023_biopsy/abramova_2023_biopsy_data_calculations.xlsx</x:v>
      </x:c>
      <x:c r="H196" s="43" t="str">
        <x:v>Corrected transcription</x:v>
      </x:c>
      <x:c r="I196" s="43" t="str">
        <x:v>included_studies/abramova_2023_biopsy/abramova_2023_biopsy_data_calculations.xlsx, Table1_Extract</x:v>
      </x:c>
      <x:c r="J196" s="43" t="str">
        <x:v>Use the stable path to the saved extraction/calculation workbook.</x:v>
      </x:c>
    </x:row>
    <x:row r="197">
      <x:c r="A197" s="43" t="str">
        <x:v>7 – Abramova 2023 identifiers and units</x:v>
      </x:c>
      <x:c r="B197" s="43" t="str">
        <x:v>abramova_2023_biopsy</x:v>
      </x:c>
      <x:c r="C197" s="43" t="str">
        <x:v>es171</x:v>
      </x:c>
      <x:c r="D197" s="43" t="str">
        <x:v>172</x:v>
      </x:c>
      <x:c r="E197" s="43" t="str">
        <x:v>ex_a_id</x:v>
      </x:c>
      <x:c r="F197" s="43" t="str">
        <x:v>PS_m_</x:v>
      </x:c>
      <x:c r="G197" s="43" t="str">
        <x:v>PS_f_</x:v>
      </x:c>
      <x:c r="H197" s="43" t="str">
        <x:v>Corrected transcription</x:v>
      </x:c>
      <x:c r="I197" s="43" t="str">
        <x:v>included_studies/abramova_2023_biopsy/abramova_2023_biopsy_data_calculations.xlsx, Table1_Extract</x:v>
      </x:c>
      <x:c r="J197" s="43" t="str">
        <x:v>Make the exposed identifier agree with the sex in the paired source row.</x:v>
      </x:c>
    </x:row>
    <x:row r="198">
      <x:c r="A198" s="43" t="str">
        <x:v>7 – Abramova 2023 identifiers and units</x:v>
      </x:c>
      <x:c r="B198" s="43" t="str">
        <x:v>abramova_2023_biopsy</x:v>
      </x:c>
      <x:c r="C198" s="43" t="str">
        <x:v>es172</x:v>
      </x:c>
      <x:c r="D198" s="43" t="str">
        <x:v>173</x:v>
      </x:c>
      <x:c r="E198" s="43" t="str">
        <x:v>c_a_id</x:v>
      </x:c>
      <x:c r="F198" s="43" t="str">
        <x:v>KON_f_</x:v>
      </x:c>
      <x:c r="G198" s="43" t="str">
        <x:v>KON_m_</x:v>
      </x:c>
      <x:c r="H198" s="43" t="str">
        <x:v>Corrected transcription</x:v>
      </x:c>
      <x:c r="I198" s="43" t="str">
        <x:v>included_studies/abramova_2023_biopsy/abramova_2023_biopsy_data_calculations.xlsx, Table1_Extract</x:v>
      </x:c>
      <x:c r="J198" s="43" t="str">
        <x:v>Make the control identifier agree with the sex in the paired source row.</x:v>
      </x:c>
    </x:row>
    <x:row r="199">
      <x:c r="A199" s="43" t="str">
        <x:v>7 – Abramova 2023 identifiers and units</x:v>
      </x:c>
      <x:c r="B199" s="43" t="str">
        <x:v>abramova_2023_biopsy</x:v>
      </x:c>
      <x:c r="C199" s="43" t="str">
        <x:v>es172</x:v>
      </x:c>
      <x:c r="D199" s="43" t="str">
        <x:v>173</x:v>
      </x:c>
      <x:c r="E199" s="43" t="str">
        <x:v>comparison</x:v>
      </x:c>
      <x:c r="F199" s="43" t="str">
        <x:v>KON_PS_f_</x:v>
      </x:c>
      <x:c r="G199" s="43" t="str">
        <x:v>KON_PS_m_</x:v>
      </x:c>
      <x:c r="H199" s="43" t="str">
        <x:v>Corrected transcription</x:v>
      </x:c>
      <x:c r="I199" s="43" t="str">
        <x:v>included_studies/abramova_2023_biopsy/abramova_2023_biopsy_data_calculations.xlsx, Table1_Extract</x:v>
      </x:c>
      <x:c r="J199" s="43" t="str">
        <x:v>Make the comparison identifier agree with the sex in the paired source row.</x:v>
      </x:c>
    </x:row>
    <x:row r="200">
      <x:c r="A200" s="43" t="str">
        <x:v>7 – Abramova 2023 identifiers and units</x:v>
      </x:c>
      <x:c r="B200" s="43" t="str">
        <x:v>abramova_2023_biopsy</x:v>
      </x:c>
      <x:c r="C200" s="43" t="str">
        <x:v>es172</x:v>
      </x:c>
      <x:c r="D200" s="43" t="str">
        <x:v>173</x:v>
      </x:c>
      <x:c r="E200" s="43" t="str">
        <x:v>data_file</x:v>
      </x:c>
      <x:c r="F200" s="43" t="str">
        <x:v>abramova_2023_biopsy_data.xlsx</x:v>
      </x:c>
      <x:c r="G200" s="43" t="str">
        <x:v>included_studies/abramova_2023_biopsy/abramova_2023_biopsy_data_calculations.xlsx</x:v>
      </x:c>
      <x:c r="H200" s="43" t="str">
        <x:v>Corrected transcription</x:v>
      </x:c>
      <x:c r="I200" s="43" t="str">
        <x:v>included_studies/abramova_2023_biopsy/abramova_2023_biopsy_data_calculations.xlsx, Table1_Extract</x:v>
      </x:c>
      <x:c r="J200" s="43" t="str">
        <x:v>Use the stable path to the saved extraction/calculation workbook.</x:v>
      </x:c>
    </x:row>
    <x:row r="201">
      <x:c r="A201" s="43" t="str">
        <x:v>7 – Abramova 2023 identifiers and units</x:v>
      </x:c>
      <x:c r="B201" s="43" t="str">
        <x:v>abramova_2023_biopsy</x:v>
      </x:c>
      <x:c r="C201" s="43" t="str">
        <x:v>es172</x:v>
      </x:c>
      <x:c r="D201" s="43" t="str">
        <x:v>173</x:v>
      </x:c>
      <x:c r="E201" s="43" t="str">
        <x:v>ex_a_id</x:v>
      </x:c>
      <x:c r="F201" s="43" t="str">
        <x:v>PS_f_</x:v>
      </x:c>
      <x:c r="G201" s="43" t="str">
        <x:v>PS_m_</x:v>
      </x:c>
      <x:c r="H201" s="43" t="str">
        <x:v>Corrected transcription</x:v>
      </x:c>
      <x:c r="I201" s="43" t="str">
        <x:v>included_studies/abramova_2023_biopsy/abramova_2023_biopsy_data_calculations.xlsx, Table1_Extract</x:v>
      </x:c>
      <x:c r="J201" s="43" t="str">
        <x:v>Make the exposed identifier agree with the sex in the paired source row.</x:v>
      </x:c>
    </x:row>
    <x:row r="202">
      <x:c r="A202" s="43" t="str">
        <x:v>7 – Abramova 2023 identifiers and units</x:v>
      </x:c>
      <x:c r="B202" s="43" t="str">
        <x:v>abramova_2023_biopsy</x:v>
      </x:c>
      <x:c r="C202" s="43" t="str">
        <x:v>es173</x:v>
      </x:c>
      <x:c r="D202" s="43" t="str">
        <x:v>174</x:v>
      </x:c>
      <x:c r="E202" s="43" t="str">
        <x:v>c_a_id</x:v>
      </x:c>
      <x:c r="F202" s="43" t="str">
        <x:v>KON_m_</x:v>
      </x:c>
      <x:c r="G202" s="43" t="str">
        <x:v>KON_f_</x:v>
      </x:c>
      <x:c r="H202" s="43" t="str">
        <x:v>Corrected transcription</x:v>
      </x:c>
      <x:c r="I202" s="43" t="str">
        <x:v>included_studies/abramova_2023_biopsy/abramova_2023_biopsy_data_calculations.xlsx, Table1_Extract</x:v>
      </x:c>
      <x:c r="J202" s="43" t="str">
        <x:v>Make the control identifier agree with the sex in the paired source row.</x:v>
      </x:c>
    </x:row>
    <x:row r="203">
      <x:c r="A203" s="43" t="str">
        <x:v>7 – Abramova 2023 identifiers and units</x:v>
      </x:c>
      <x:c r="B203" s="43" t="str">
        <x:v>abramova_2023_biopsy</x:v>
      </x:c>
      <x:c r="C203" s="43" t="str">
        <x:v>es173</x:v>
      </x:c>
      <x:c r="D203" s="43" t="str">
        <x:v>174</x:v>
      </x:c>
      <x:c r="E203" s="43" t="str">
        <x:v>comparison</x:v>
      </x:c>
      <x:c r="F203" s="43" t="str">
        <x:v>KON_PS_m_</x:v>
      </x:c>
      <x:c r="G203" s="43" t="str">
        <x:v>KON_PS_f_</x:v>
      </x:c>
      <x:c r="H203" s="43" t="str">
        <x:v>Corrected transcription</x:v>
      </x:c>
      <x:c r="I203" s="43" t="str">
        <x:v>included_studies/abramova_2023_biopsy/abramova_2023_biopsy_data_calculations.xlsx, Table1_Extract</x:v>
      </x:c>
      <x:c r="J203" s="43" t="str">
        <x:v>Make the comparison identifier agree with the sex in the paired source row.</x:v>
      </x:c>
    </x:row>
    <x:row r="204">
      <x:c r="A204" s="43" t="str">
        <x:v>7 – Abramova 2023 identifiers and units</x:v>
      </x:c>
      <x:c r="B204" s="43" t="str">
        <x:v>abramova_2023_biopsy</x:v>
      </x:c>
      <x:c r="C204" s="43" t="str">
        <x:v>es173</x:v>
      </x:c>
      <x:c r="D204" s="43" t="str">
        <x:v>174</x:v>
      </x:c>
      <x:c r="E204" s="43" t="str">
        <x:v>data_file</x:v>
      </x:c>
      <x:c r="F204" s="43" t="str">
        <x:v>abramova_2023_biopsy_data.xlsx</x:v>
      </x:c>
      <x:c r="G204" s="43" t="str">
        <x:v>included_studies/abramova_2023_biopsy/abramova_2023_biopsy_data_calculations.xlsx</x:v>
      </x:c>
      <x:c r="H204" s="43" t="str">
        <x:v>Corrected transcription</x:v>
      </x:c>
      <x:c r="I204" s="43" t="str">
        <x:v>included_studies/abramova_2023_biopsy/abramova_2023_biopsy_data_calculations.xlsx, Table1_Extract</x:v>
      </x:c>
      <x:c r="J204" s="43" t="str">
        <x:v>Use the stable path to the saved extraction/calculation workbook.</x:v>
      </x:c>
    </x:row>
    <x:row r="205">
      <x:c r="A205" s="43" t="str">
        <x:v>7 – Abramova 2023 identifiers and units</x:v>
      </x:c>
      <x:c r="B205" s="43" t="str">
        <x:v>abramova_2023_biopsy</x:v>
      </x:c>
      <x:c r="C205" s="43" t="str">
        <x:v>es173</x:v>
      </x:c>
      <x:c r="D205" s="43" t="str">
        <x:v>174</x:v>
      </x:c>
      <x:c r="E205" s="43" t="str">
        <x:v>ex_a_id</x:v>
      </x:c>
      <x:c r="F205" s="43" t="str">
        <x:v>PS_m_</x:v>
      </x:c>
      <x:c r="G205" s="43" t="str">
        <x:v>PS_f_</x:v>
      </x:c>
      <x:c r="H205" s="43" t="str">
        <x:v>Corrected transcription</x:v>
      </x:c>
      <x:c r="I205" s="43" t="str">
        <x:v>included_studies/abramova_2023_biopsy/abramova_2023_biopsy_data_calculations.xlsx, Table1_Extract</x:v>
      </x:c>
      <x:c r="J205" s="43" t="str">
        <x:v>Make the exposed identifier agree with the sex in the paired source row.</x:v>
      </x:c>
    </x:row>
    <x:row r="206">
      <x:c r="A206" s="43" t="str">
        <x:v>7 – Abramova 2023 identifiers and units</x:v>
      </x:c>
      <x:c r="B206" s="43" t="str">
        <x:v>abramova_2023_biopsy</x:v>
      </x:c>
      <x:c r="C206" s="43" t="str">
        <x:v>es174</x:v>
      </x:c>
      <x:c r="D206" s="43" t="str">
        <x:v>175</x:v>
      </x:c>
      <x:c r="E206" s="43" t="str">
        <x:v>c_a_id</x:v>
      </x:c>
      <x:c r="F206" s="43" t="str">
        <x:v>KON_f_</x:v>
      </x:c>
      <x:c r="G206" s="43" t="str">
        <x:v>KON_m_</x:v>
      </x:c>
      <x:c r="H206" s="43" t="str">
        <x:v>Corrected transcription</x:v>
      </x:c>
      <x:c r="I206" s="43" t="str">
        <x:v>included_studies/abramova_2023_biopsy/abramova_2023_biopsy_data_calculations.xlsx, Table1_Extract</x:v>
      </x:c>
      <x:c r="J206" s="43" t="str">
        <x:v>Make the control identifier agree with the sex in the paired source row.</x:v>
      </x:c>
    </x:row>
    <x:row r="207">
      <x:c r="A207" s="43" t="str">
        <x:v>7 – Abramova 2023 identifiers and units</x:v>
      </x:c>
      <x:c r="B207" s="43" t="str">
        <x:v>abramova_2023_biopsy</x:v>
      </x:c>
      <x:c r="C207" s="43" t="str">
        <x:v>es174</x:v>
      </x:c>
      <x:c r="D207" s="43" t="str">
        <x:v>175</x:v>
      </x:c>
      <x:c r="E207" s="43" t="str">
        <x:v>comparison</x:v>
      </x:c>
      <x:c r="F207" s="43" t="str">
        <x:v>KON_PS_f_</x:v>
      </x:c>
      <x:c r="G207" s="43" t="str">
        <x:v>KON_PS_m_</x:v>
      </x:c>
      <x:c r="H207" s="43" t="str">
        <x:v>Corrected transcription</x:v>
      </x:c>
      <x:c r="I207" s="43" t="str">
        <x:v>included_studies/abramova_2023_biopsy/abramova_2023_biopsy_data_calculations.xlsx, Table1_Extract</x:v>
      </x:c>
      <x:c r="J207" s="43" t="str">
        <x:v>Make the comparison identifier agree with the sex in the paired source row.</x:v>
      </x:c>
    </x:row>
    <x:row r="208">
      <x:c r="A208" s="43" t="str">
        <x:v>7 – Abramova 2023 identifiers and units</x:v>
      </x:c>
      <x:c r="B208" s="43" t="str">
        <x:v>abramova_2023_biopsy</x:v>
      </x:c>
      <x:c r="C208" s="43" t="str">
        <x:v>es174</x:v>
      </x:c>
      <x:c r="D208" s="43" t="str">
        <x:v>175</x:v>
      </x:c>
      <x:c r="E208" s="43" t="str">
        <x:v>data_file</x:v>
      </x:c>
      <x:c r="F208" s="43" t="str">
        <x:v>abramova_2023_biopsy_data.xlsx</x:v>
      </x:c>
      <x:c r="G208" s="43" t="str">
        <x:v>included_studies/abramova_2023_biopsy/abramova_2023_biopsy_data_calculations.xlsx</x:v>
      </x:c>
      <x:c r="H208" s="43" t="str">
        <x:v>Corrected transcription</x:v>
      </x:c>
      <x:c r="I208" s="43" t="str">
        <x:v>included_studies/abramova_2023_biopsy/abramova_2023_biopsy_data_calculations.xlsx, Table1_Extract</x:v>
      </x:c>
      <x:c r="J208" s="43" t="str">
        <x:v>Use the stable path to the saved extraction/calculation workbook.</x:v>
      </x:c>
    </x:row>
    <x:row r="209">
      <x:c r="A209" s="43" t="str">
        <x:v>7 – Abramova 2023 identifiers and units</x:v>
      </x:c>
      <x:c r="B209" s="43" t="str">
        <x:v>abramova_2023_biopsy</x:v>
      </x:c>
      <x:c r="C209" s="43" t="str">
        <x:v>es174</x:v>
      </x:c>
      <x:c r="D209" s="43" t="str">
        <x:v>175</x:v>
      </x:c>
      <x:c r="E209" s="43" t="str">
        <x:v>ex_a_id</x:v>
      </x:c>
      <x:c r="F209" s="43" t="str">
        <x:v>PS_f_</x:v>
      </x:c>
      <x:c r="G209" s="43" t="str">
        <x:v>PS_m_</x:v>
      </x:c>
      <x:c r="H209" s="43" t="str">
        <x:v>Corrected transcription</x:v>
      </x:c>
      <x:c r="I209" s="43" t="str">
        <x:v>included_studies/abramova_2023_biopsy/abramova_2023_biopsy_data_calculations.xlsx, Table1_Extract</x:v>
      </x:c>
      <x:c r="J209" s="43" t="str">
        <x:v>Make the exposed identifier agree with the sex in the paired source row.</x:v>
      </x:c>
    </x:row>
    <x:row r="210">
      <x:c r="A210" s="43" t="str">
        <x:v>7 – Abramova 2023 identifiers and units</x:v>
      </x:c>
      <x:c r="B210" s="43" t="str">
        <x:v>abramova_2023_biopsy</x:v>
      </x:c>
      <x:c r="C210" s="43" t="str">
        <x:v>es175</x:v>
      </x:c>
      <x:c r="D210" s="43" t="str">
        <x:v>176</x:v>
      </x:c>
      <x:c r="E210" s="43" t="str">
        <x:v>c_a_id</x:v>
      </x:c>
      <x:c r="F210" s="43" t="str">
        <x:v>KON_m_</x:v>
      </x:c>
      <x:c r="G210" s="43" t="str">
        <x:v>KON_f_</x:v>
      </x:c>
      <x:c r="H210" s="43" t="str">
        <x:v>Corrected transcription</x:v>
      </x:c>
      <x:c r="I210" s="43" t="str">
        <x:v>included_studies/abramova_2023_biopsy/abramova_2023_biopsy_data_calculations.xlsx, Table1_Extract</x:v>
      </x:c>
      <x:c r="J210" s="43" t="str">
        <x:v>Make the control identifier agree with the sex in the paired source row.</x:v>
      </x:c>
    </x:row>
    <x:row r="211">
      <x:c r="A211" s="43" t="str">
        <x:v>7 – Abramova 2023 identifiers and units</x:v>
      </x:c>
      <x:c r="B211" s="43" t="str">
        <x:v>abramova_2023_biopsy</x:v>
      </x:c>
      <x:c r="C211" s="43" t="str">
        <x:v>es175</x:v>
      </x:c>
      <x:c r="D211" s="43" t="str">
        <x:v>176</x:v>
      </x:c>
      <x:c r="E211" s="43" t="str">
        <x:v>comparison</x:v>
      </x:c>
      <x:c r="F211" s="43" t="str">
        <x:v>KON_PS_m_</x:v>
      </x:c>
      <x:c r="G211" s="43" t="str">
        <x:v>KON_PS_f_</x:v>
      </x:c>
      <x:c r="H211" s="43" t="str">
        <x:v>Corrected transcription</x:v>
      </x:c>
      <x:c r="I211" s="43" t="str">
        <x:v>included_studies/abramova_2023_biopsy/abramova_2023_biopsy_data_calculations.xlsx, Table1_Extract</x:v>
      </x:c>
      <x:c r="J211" s="43" t="str">
        <x:v>Make the comparison identifier agree with the sex in the paired source row.</x:v>
      </x:c>
    </x:row>
    <x:row r="212">
      <x:c r="A212" s="43" t="str">
        <x:v>7 – Abramova 2023 identifiers and units</x:v>
      </x:c>
      <x:c r="B212" s="43" t="str">
        <x:v>abramova_2023_biopsy</x:v>
      </x:c>
      <x:c r="C212" s="43" t="str">
        <x:v>es175</x:v>
      </x:c>
      <x:c r="D212" s="43" t="str">
        <x:v>176</x:v>
      </x:c>
      <x:c r="E212" s="43" t="str">
        <x:v>data_file</x:v>
      </x:c>
      <x:c r="F212" s="43" t="str">
        <x:v>abramova_2023_biopsy_data.xlsx</x:v>
      </x:c>
      <x:c r="G212" s="43" t="str">
        <x:v>included_studies/abramova_2023_biopsy/abramova_2023_biopsy_data_calculations.xlsx</x:v>
      </x:c>
      <x:c r="H212" s="43" t="str">
        <x:v>Corrected transcription</x:v>
      </x:c>
      <x:c r="I212" s="43" t="str">
        <x:v>included_studies/abramova_2023_biopsy/abramova_2023_biopsy_data_calculations.xlsx, Table1_Extract</x:v>
      </x:c>
      <x:c r="J212" s="43" t="str">
        <x:v>Use the stable path to the saved extraction/calculation workbook.</x:v>
      </x:c>
    </x:row>
    <x:row r="213">
      <x:c r="A213" s="43" t="str">
        <x:v>7 – Abramova 2023 identifiers and units</x:v>
      </x:c>
      <x:c r="B213" s="43" t="str">
        <x:v>abramova_2023_biopsy</x:v>
      </x:c>
      <x:c r="C213" s="43" t="str">
        <x:v>es175</x:v>
      </x:c>
      <x:c r="D213" s="43" t="str">
        <x:v>176</x:v>
      </x:c>
      <x:c r="E213" s="43" t="str">
        <x:v>ex_a_id</x:v>
      </x:c>
      <x:c r="F213" s="43" t="str">
        <x:v>PS_m_</x:v>
      </x:c>
      <x:c r="G213" s="43" t="str">
        <x:v>PS_f_</x:v>
      </x:c>
      <x:c r="H213" s="43" t="str">
        <x:v>Corrected transcription</x:v>
      </x:c>
      <x:c r="I213" s="43" t="str">
        <x:v>included_studies/abramova_2023_biopsy/abramova_2023_biopsy_data_calculations.xlsx, Table1_Extract</x:v>
      </x:c>
      <x:c r="J213" s="43" t="str">
        <x:v>Make the exposed identifier agree with the sex in the paired source row.</x:v>
      </x:c>
    </x:row>
    <x:row r="214">
      <x:c r="A214" s="43" t="str">
        <x:v>7 – Abramova 2023 identifiers and units</x:v>
      </x:c>
      <x:c r="B214" s="43" t="str">
        <x:v>abramova_2023_biopsy</x:v>
      </x:c>
      <x:c r="C214" s="43" t="str">
        <x:v>es176</x:v>
      </x:c>
      <x:c r="D214" s="43" t="str">
        <x:v>177</x:v>
      </x:c>
      <x:c r="E214" s="43" t="str">
        <x:v>c_a_id</x:v>
      </x:c>
      <x:c r="F214" s="43" t="str">
        <x:v>KON_f_</x:v>
      </x:c>
      <x:c r="G214" s="43" t="str">
        <x:v>KON_m_</x:v>
      </x:c>
      <x:c r="H214" s="43" t="str">
        <x:v>Corrected transcription</x:v>
      </x:c>
      <x:c r="I214" s="43" t="str">
        <x:v>included_studies/abramova_2023_biopsy/abramova_2023_biopsy_data_calculations.xlsx, Table1_Extract</x:v>
      </x:c>
      <x:c r="J214" s="43" t="str">
        <x:v>Make the control identifier agree with the sex in the paired source row.</x:v>
      </x:c>
    </x:row>
    <x:row r="215">
      <x:c r="A215" s="43" t="str">
        <x:v>7 – Abramova 2023 identifiers and units</x:v>
      </x:c>
      <x:c r="B215" s="43" t="str">
        <x:v>abramova_2023_biopsy</x:v>
      </x:c>
      <x:c r="C215" s="43" t="str">
        <x:v>es176</x:v>
      </x:c>
      <x:c r="D215" s="43" t="str">
        <x:v>177</x:v>
      </x:c>
      <x:c r="E215" s="43" t="str">
        <x:v>comparison</x:v>
      </x:c>
      <x:c r="F215" s="43" t="str">
        <x:v>KON_PS_f_</x:v>
      </x:c>
      <x:c r="G215" s="43" t="str">
        <x:v>KON_PS_m_</x:v>
      </x:c>
      <x:c r="H215" s="43" t="str">
        <x:v>Corrected transcription</x:v>
      </x:c>
      <x:c r="I215" s="43" t="str">
        <x:v>included_studies/abramova_2023_biopsy/abramova_2023_biopsy_data_calculations.xlsx, Table1_Extract</x:v>
      </x:c>
      <x:c r="J215" s="43" t="str">
        <x:v>Make the comparison identifier agree with the sex in the paired source row.</x:v>
      </x:c>
    </x:row>
    <x:row r="216">
      <x:c r="A216" s="43" t="str">
        <x:v>7 – Abramova 2023 identifiers and units</x:v>
      </x:c>
      <x:c r="B216" s="43" t="str">
        <x:v>abramova_2023_biopsy</x:v>
      </x:c>
      <x:c r="C216" s="43" t="str">
        <x:v>es176</x:v>
      </x:c>
      <x:c r="D216" s="43" t="str">
        <x:v>177</x:v>
      </x:c>
      <x:c r="E216" s="43" t="str">
        <x:v>data_file</x:v>
      </x:c>
      <x:c r="F216" s="43" t="str">
        <x:v>abramova_2023_biopsy_data.xlsx</x:v>
      </x:c>
      <x:c r="G216" s="43" t="str">
        <x:v>included_studies/abramova_2023_biopsy/abramova_2023_biopsy_data_calculations.xlsx</x:v>
      </x:c>
      <x:c r="H216" s="43" t="str">
        <x:v>Corrected transcription</x:v>
      </x:c>
      <x:c r="I216" s="43" t="str">
        <x:v>included_studies/abramova_2023_biopsy/abramova_2023_biopsy_data_calculations.xlsx, Table1_Extract</x:v>
      </x:c>
      <x:c r="J216" s="43" t="str">
        <x:v>Use the stable path to the saved extraction/calculation workbook.</x:v>
      </x:c>
    </x:row>
    <x:row r="217">
      <x:c r="A217" s="43" t="str">
        <x:v>7 – Abramova 2023 identifiers and units</x:v>
      </x:c>
      <x:c r="B217" s="43" t="str">
        <x:v>abramova_2023_biopsy</x:v>
      </x:c>
      <x:c r="C217" s="43" t="str">
        <x:v>es176</x:v>
      </x:c>
      <x:c r="D217" s="43" t="str">
        <x:v>177</x:v>
      </x:c>
      <x:c r="E217" s="43" t="str">
        <x:v>data_type</x:v>
      </x:c>
      <x:c r="F217" s="43" t="str">
        <x:v>Percentage</x:v>
      </x:c>
      <x:c r="G217" s="43" t="str">
        <x:v>Time</x:v>
      </x:c>
      <x:c r="H217" s="43" t="str">
        <x:v>Corrected transcription</x:v>
      </x:c>
      <x:c r="I217" s="43" t="str">
        <x:v>included_studies/abramova_2023_biopsy/abramova_2023_biopsy_data_calculations.xlsx, Table1_Extract</x:v>
      </x:c>
      <x:c r="J217" s="43" t="str">
        <x:v>Mean grooming duration is a duration, not a percentage.</x:v>
      </x:c>
    </x:row>
    <x:row r="218">
      <x:c r="A218" s="43" t="str">
        <x:v>7 – Abramova 2023 identifiers and units</x:v>
      </x:c>
      <x:c r="B218" s="43" t="str">
        <x:v>abramova_2023_biopsy</x:v>
      </x:c>
      <x:c r="C218" s="43" t="str">
        <x:v>es176</x:v>
      </x:c>
      <x:c r="D218" s="43" t="str">
        <x:v>177</x:v>
      </x:c>
      <x:c r="E218" s="43" t="str">
        <x:v>data_units</x:v>
      </x:c>
      <x:c r="F218" s="43" t="str">
        <x:v>%</x:v>
      </x:c>
      <x:c r="G218" s="43" t="str">
        <x:v>s</x:v>
      </x:c>
      <x:c r="H218" s="43" t="str">
        <x:v>Corrected transcription</x:v>
      </x:c>
      <x:c r="I218" s="43" t="str">
        <x:v>included_studies/abramova_2023_biopsy/abramova_2023_biopsy_data_calculations.xlsx, Table1_Extract</x:v>
      </x:c>
      <x:c r="J218" s="43" t="str">
        <x:v>The source table reports mean grooming duration in seconds.</x:v>
      </x:c>
    </x:row>
    <x:row r="219">
      <x:c r="A219" s="43" t="str">
        <x:v>7 – Abramova 2023 identifiers and units</x:v>
      </x:c>
      <x:c r="B219" s="43" t="str">
        <x:v>abramova_2023_biopsy</x:v>
      </x:c>
      <x:c r="C219" s="43" t="str">
        <x:v>es176</x:v>
      </x:c>
      <x:c r="D219" s="43" t="str">
        <x:v>177</x:v>
      </x:c>
      <x:c r="E219" s="43" t="str">
        <x:v>ex_a_id</x:v>
      </x:c>
      <x:c r="F219" s="43" t="str">
        <x:v>PS_f_</x:v>
      </x:c>
      <x:c r="G219" s="43" t="str">
        <x:v>PS_m_</x:v>
      </x:c>
      <x:c r="H219" s="43" t="str">
        <x:v>Corrected transcription</x:v>
      </x:c>
      <x:c r="I219" s="43" t="str">
        <x:v>included_studies/abramova_2023_biopsy/abramova_2023_biopsy_data_calculations.xlsx, Table1_Extract</x:v>
      </x:c>
      <x:c r="J219" s="43" t="str">
        <x:v>Make the exposed identifier agree with the sex in the paired source row.</x:v>
      </x:c>
    </x:row>
    <x:row r="220">
      <x:c r="A220" s="43" t="str">
        <x:v>7 – Abramova 2023 identifiers and units</x:v>
      </x:c>
      <x:c r="B220" s="43" t="str">
        <x:v>abramova_2023_biopsy</x:v>
      </x:c>
      <x:c r="C220" s="43" t="str">
        <x:v>es177</x:v>
      </x:c>
      <x:c r="D220" s="43" t="str">
        <x:v>178</x:v>
      </x:c>
      <x:c r="E220" s="43" t="str">
        <x:v>c_a_id</x:v>
      </x:c>
      <x:c r="F220" s="43" t="str">
        <x:v>KON_m_</x:v>
      </x:c>
      <x:c r="G220" s="43" t="str">
        <x:v>KON_f_</x:v>
      </x:c>
      <x:c r="H220" s="43" t="str">
        <x:v>Corrected transcription</x:v>
      </x:c>
      <x:c r="I220" s="43" t="str">
        <x:v>included_studies/abramova_2023_biopsy/abramova_2023_biopsy_data_calculations.xlsx, Table1_Extract</x:v>
      </x:c>
      <x:c r="J220" s="43" t="str">
        <x:v>Make the control identifier agree with the sex in the paired source row.</x:v>
      </x:c>
    </x:row>
    <x:row r="221">
      <x:c r="A221" s="43" t="str">
        <x:v>7 – Abramova 2023 identifiers and units</x:v>
      </x:c>
      <x:c r="B221" s="43" t="str">
        <x:v>abramova_2023_biopsy</x:v>
      </x:c>
      <x:c r="C221" s="43" t="str">
        <x:v>es177</x:v>
      </x:c>
      <x:c r="D221" s="43" t="str">
        <x:v>178</x:v>
      </x:c>
      <x:c r="E221" s="43" t="str">
        <x:v>comparison</x:v>
      </x:c>
      <x:c r="F221" s="43" t="str">
        <x:v>KON_PS_m_</x:v>
      </x:c>
      <x:c r="G221" s="43" t="str">
        <x:v>KON_PS_f_</x:v>
      </x:c>
      <x:c r="H221" s="43" t="str">
        <x:v>Corrected transcription</x:v>
      </x:c>
      <x:c r="I221" s="43" t="str">
        <x:v>included_studies/abramova_2023_biopsy/abramova_2023_biopsy_data_calculations.xlsx, Table1_Extract</x:v>
      </x:c>
      <x:c r="J221" s="43" t="str">
        <x:v>Make the comparison identifier agree with the sex in the paired source row.</x:v>
      </x:c>
    </x:row>
    <x:row r="222">
      <x:c r="A222" s="43" t="str">
        <x:v>7 – Abramova 2023 identifiers and units</x:v>
      </x:c>
      <x:c r="B222" s="43" t="str">
        <x:v>abramova_2023_biopsy</x:v>
      </x:c>
      <x:c r="C222" s="43" t="str">
        <x:v>es177</x:v>
      </x:c>
      <x:c r="D222" s="43" t="str">
        <x:v>178</x:v>
      </x:c>
      <x:c r="E222" s="43" t="str">
        <x:v>data_file</x:v>
      </x:c>
      <x:c r="F222" s="43" t="str">
        <x:v>abramova_2023_biopsy_data.xlsx</x:v>
      </x:c>
      <x:c r="G222" s="43" t="str">
        <x:v>included_studies/abramova_2023_biopsy/abramova_2023_biopsy_data_calculations.xlsx</x:v>
      </x:c>
      <x:c r="H222" s="43" t="str">
        <x:v>Corrected transcription</x:v>
      </x:c>
      <x:c r="I222" s="43" t="str">
        <x:v>included_studies/abramova_2023_biopsy/abramova_2023_biopsy_data_calculations.xlsx, Table1_Extract</x:v>
      </x:c>
      <x:c r="J222" s="43" t="str">
        <x:v>Use the stable path to the saved extraction/calculation workbook.</x:v>
      </x:c>
    </x:row>
    <x:row r="223">
      <x:c r="A223" s="43" t="str">
        <x:v>7 – Abramova 2023 identifiers and units</x:v>
      </x:c>
      <x:c r="B223" s="43" t="str">
        <x:v>abramova_2023_biopsy</x:v>
      </x:c>
      <x:c r="C223" s="43" t="str">
        <x:v>es177</x:v>
      </x:c>
      <x:c r="D223" s="43" t="str">
        <x:v>178</x:v>
      </x:c>
      <x:c r="E223" s="43" t="str">
        <x:v>data_type</x:v>
      </x:c>
      <x:c r="F223" s="43" t="str">
        <x:v>Percentage</x:v>
      </x:c>
      <x:c r="G223" s="43" t="str">
        <x:v>Time</x:v>
      </x:c>
      <x:c r="H223" s="43" t="str">
        <x:v>Corrected transcription</x:v>
      </x:c>
      <x:c r="I223" s="43" t="str">
        <x:v>included_studies/abramova_2023_biopsy/abramova_2023_biopsy_data_calculations.xlsx, Table1_Extract</x:v>
      </x:c>
      <x:c r="J223" s="43" t="str">
        <x:v>Mean grooming duration is a duration, not a percentage.</x:v>
      </x:c>
    </x:row>
    <x:row r="224">
      <x:c r="A224" s="43" t="str">
        <x:v>7 – Abramova 2023 identifiers and units</x:v>
      </x:c>
      <x:c r="B224" s="43" t="str">
        <x:v>abramova_2023_biopsy</x:v>
      </x:c>
      <x:c r="C224" s="43" t="str">
        <x:v>es177</x:v>
      </x:c>
      <x:c r="D224" s="43" t="str">
        <x:v>178</x:v>
      </x:c>
      <x:c r="E224" s="43" t="str">
        <x:v>data_units</x:v>
      </x:c>
      <x:c r="F224" s="43" t="str">
        <x:v>%</x:v>
      </x:c>
      <x:c r="G224" s="43" t="str">
        <x:v>s</x:v>
      </x:c>
      <x:c r="H224" s="43" t="str">
        <x:v>Corrected transcription</x:v>
      </x:c>
      <x:c r="I224" s="43" t="str">
        <x:v>included_studies/abramova_2023_biopsy/abramova_2023_biopsy_data_calculations.xlsx, Table1_Extract</x:v>
      </x:c>
      <x:c r="J224" s="43" t="str">
        <x:v>The source table reports mean grooming duration in seconds.</x:v>
      </x:c>
    </x:row>
    <x:row r="225">
      <x:c r="A225" s="43" t="str">
        <x:v>7 – Abramova 2023 identifiers and units</x:v>
      </x:c>
      <x:c r="B225" s="43" t="str">
        <x:v>abramova_2023_biopsy</x:v>
      </x:c>
      <x:c r="C225" s="43" t="str">
        <x:v>es177</x:v>
      </x:c>
      <x:c r="D225" s="43" t="str">
        <x:v>178</x:v>
      </x:c>
      <x:c r="E225" s="43" t="str">
        <x:v>ex_a_id</x:v>
      </x:c>
      <x:c r="F225" s="43" t="str">
        <x:v>PS_m_</x:v>
      </x:c>
      <x:c r="G225" s="43" t="str">
        <x:v>PS_f_</x:v>
      </x:c>
      <x:c r="H225" s="43" t="str">
        <x:v>Corrected transcription</x:v>
      </x:c>
      <x:c r="I225" s="43" t="str">
        <x:v>included_studies/abramova_2023_biopsy/abramova_2023_biopsy_data_calculations.xlsx, Table1_Extract</x:v>
      </x:c>
      <x:c r="J225" s="43" t="str">
        <x:v>Make the exposed identifier agree with the sex in the paired source row.</x:v>
      </x:c>
    </x:row>
    <x:row r="226">
      <x:c r="A226" s="43" t="str">
        <x:v>7 – Abramova 2023 identifiers and units</x:v>
      </x:c>
      <x:c r="B226" s="43" t="str">
        <x:v>abramova_2023_biopsy</x:v>
      </x:c>
      <x:c r="C226" s="43" t="str">
        <x:v>es178</x:v>
      </x:c>
      <x:c r="D226" s="43" t="str">
        <x:v>179</x:v>
      </x:c>
      <x:c r="E226" s="43" t="str">
        <x:v>c_a_id</x:v>
      </x:c>
      <x:c r="F226" s="43" t="str">
        <x:v>KON_f_</x:v>
      </x:c>
      <x:c r="G226" s="43" t="str">
        <x:v>KON_m_</x:v>
      </x:c>
      <x:c r="H226" s="43" t="str">
        <x:v>Corrected transcription</x:v>
      </x:c>
      <x:c r="I226" s="43" t="str">
        <x:v>included_studies/abramova_2023_biopsy/abramova_2023_biopsy_data_calculations.xlsx, Table1_Extract</x:v>
      </x:c>
      <x:c r="J226" s="43" t="str">
        <x:v>Make the control identifier agree with the sex in the paired source row.</x:v>
      </x:c>
    </x:row>
    <x:row r="227">
      <x:c r="A227" s="43" t="str">
        <x:v>7 – Abramova 2023 identifiers and units</x:v>
      </x:c>
      <x:c r="B227" s="43" t="str">
        <x:v>abramova_2023_biopsy</x:v>
      </x:c>
      <x:c r="C227" s="43" t="str">
        <x:v>es178</x:v>
      </x:c>
      <x:c r="D227" s="43" t="str">
        <x:v>179</x:v>
      </x:c>
      <x:c r="E227" s="43" t="str">
        <x:v>comparison</x:v>
      </x:c>
      <x:c r="F227" s="43" t="str">
        <x:v>KON_PS_f_</x:v>
      </x:c>
      <x:c r="G227" s="43" t="str">
        <x:v>KON_PS_m_</x:v>
      </x:c>
      <x:c r="H227" s="43" t="str">
        <x:v>Corrected transcription</x:v>
      </x:c>
      <x:c r="I227" s="43" t="str">
        <x:v>included_studies/abramova_2023_biopsy/abramova_2023_biopsy_data_calculations.xlsx, Table1_Extract</x:v>
      </x:c>
      <x:c r="J227" s="43" t="str">
        <x:v>Make the comparison identifier agree with the sex in the paired source row.</x:v>
      </x:c>
    </x:row>
    <x:row r="228">
      <x:c r="A228" s="43" t="str">
        <x:v>7 – Abramova 2023 identifiers and units</x:v>
      </x:c>
      <x:c r="B228" s="43" t="str">
        <x:v>abramova_2023_biopsy</x:v>
      </x:c>
      <x:c r="C228" s="43" t="str">
        <x:v>es178</x:v>
      </x:c>
      <x:c r="D228" s="43" t="str">
        <x:v>179</x:v>
      </x:c>
      <x:c r="E228" s="43" t="str">
        <x:v>data_file</x:v>
      </x:c>
      <x:c r="F228" s="43" t="str">
        <x:v>abramova_2023_biopsy_data.xlsx</x:v>
      </x:c>
      <x:c r="G228" s="43" t="str">
        <x:v>included_studies/abramova_2023_biopsy/abramova_2023_biopsy_data_calculations.xlsx</x:v>
      </x:c>
      <x:c r="H228" s="43" t="str">
        <x:v>Corrected transcription</x:v>
      </x:c>
      <x:c r="I228" s="43" t="str">
        <x:v>included_studies/abramova_2023_biopsy/abramova_2023_biopsy_data_calculations.xlsx, Table1_Extract</x:v>
      </x:c>
      <x:c r="J228" s="43" t="str">
        <x:v>Use the stable path to the saved extraction/calculation workbook.</x:v>
      </x:c>
    </x:row>
    <x:row r="229">
      <x:c r="A229" s="43" t="str">
        <x:v>7 – Abramova 2023 identifiers and units</x:v>
      </x:c>
      <x:c r="B229" s="43" t="str">
        <x:v>abramova_2023_biopsy</x:v>
      </x:c>
      <x:c r="C229" s="43" t="str">
        <x:v>es178</x:v>
      </x:c>
      <x:c r="D229" s="43" t="str">
        <x:v>179</x:v>
      </x:c>
      <x:c r="E229" s="43" t="str">
        <x:v>ex_a_id</x:v>
      </x:c>
      <x:c r="F229" s="43" t="str">
        <x:v>PS_f_</x:v>
      </x:c>
      <x:c r="G229" s="43" t="str">
        <x:v>PS_m_</x:v>
      </x:c>
      <x:c r="H229" s="43" t="str">
        <x:v>Corrected transcription</x:v>
      </x:c>
      <x:c r="I229" s="43" t="str">
        <x:v>included_studies/abramova_2023_biopsy/abramova_2023_biopsy_data_calculations.xlsx, Table1_Extract</x:v>
      </x:c>
      <x:c r="J229" s="43" t="str">
        <x:v>Make the exposed identifier agree with the sex in the paired source row.</x:v>
      </x:c>
    </x:row>
    <x:row r="230">
      <x:c r="A230" s="43" t="str">
        <x:v>7 – Abramova 2023 identifiers and units</x:v>
      </x:c>
      <x:c r="B230" s="43" t="str">
        <x:v>abramova_2023_biopsy</x:v>
      </x:c>
      <x:c r="C230" s="43" t="str">
        <x:v>es179</x:v>
      </x:c>
      <x:c r="D230" s="43" t="str">
        <x:v>180</x:v>
      </x:c>
      <x:c r="E230" s="43" t="str">
        <x:v>c_a_id</x:v>
      </x:c>
      <x:c r="F230" s="43" t="str">
        <x:v>KON_m_</x:v>
      </x:c>
      <x:c r="G230" s="43" t="str">
        <x:v>KON_f_</x:v>
      </x:c>
      <x:c r="H230" s="43" t="str">
        <x:v>Corrected transcription</x:v>
      </x:c>
      <x:c r="I230" s="43" t="str">
        <x:v>included_studies/abramova_2023_biopsy/abramova_2023_biopsy_data_calculations.xlsx, Table1_Extract</x:v>
      </x:c>
      <x:c r="J230" s="43" t="str">
        <x:v>Make the control identifier agree with the sex in the paired source row.</x:v>
      </x:c>
    </x:row>
    <x:row r="231">
      <x:c r="A231" s="43" t="str">
        <x:v>7 – Abramova 2023 identifiers and units</x:v>
      </x:c>
      <x:c r="B231" s="43" t="str">
        <x:v>abramova_2023_biopsy</x:v>
      </x:c>
      <x:c r="C231" s="43" t="str">
        <x:v>es179</x:v>
      </x:c>
      <x:c r="D231" s="43" t="str">
        <x:v>180</x:v>
      </x:c>
      <x:c r="E231" s="43" t="str">
        <x:v>comparison</x:v>
      </x:c>
      <x:c r="F231" s="43" t="str">
        <x:v>KON_PS_m_</x:v>
      </x:c>
      <x:c r="G231" s="43" t="str">
        <x:v>KON_PS_f_</x:v>
      </x:c>
      <x:c r="H231" s="43" t="str">
        <x:v>Corrected transcription</x:v>
      </x:c>
      <x:c r="I231" s="43" t="str">
        <x:v>included_studies/abramova_2023_biopsy/abramova_2023_biopsy_data_calculations.xlsx, Table1_Extract</x:v>
      </x:c>
      <x:c r="J231" s="43" t="str">
        <x:v>Make the comparison identifier agree with the sex in the paired source row.</x:v>
      </x:c>
    </x:row>
    <x:row r="232">
      <x:c r="A232" s="43" t="str">
        <x:v>7 – Abramova 2023 identifiers and units</x:v>
      </x:c>
      <x:c r="B232" s="43" t="str">
        <x:v>abramova_2023_biopsy</x:v>
      </x:c>
      <x:c r="C232" s="43" t="str">
        <x:v>es179</x:v>
      </x:c>
      <x:c r="D232" s="43" t="str">
        <x:v>180</x:v>
      </x:c>
      <x:c r="E232" s="43" t="str">
        <x:v>data_file</x:v>
      </x:c>
      <x:c r="F232" s="43" t="str">
        <x:v>abramova_2023_biopsy_data.xlsx</x:v>
      </x:c>
      <x:c r="G232" s="43" t="str">
        <x:v>included_studies/abramova_2023_biopsy/abramova_2023_biopsy_data_calculations.xlsx</x:v>
      </x:c>
      <x:c r="H232" s="43" t="str">
        <x:v>Corrected transcription</x:v>
      </x:c>
      <x:c r="I232" s="43" t="str">
        <x:v>included_studies/abramova_2023_biopsy/abramova_2023_biopsy_data_calculations.xlsx, Table1_Extract</x:v>
      </x:c>
      <x:c r="J232" s="43" t="str">
        <x:v>Use the stable path to the saved extraction/calculation workbook.</x:v>
      </x:c>
    </x:row>
    <x:row r="233">
      <x:c r="A233" s="43" t="str">
        <x:v>7 – Abramova 2023 identifiers and units</x:v>
      </x:c>
      <x:c r="B233" s="43" t="str">
        <x:v>abramova_2023_biopsy</x:v>
      </x:c>
      <x:c r="C233" s="43" t="str">
        <x:v>es179</x:v>
      </x:c>
      <x:c r="D233" s="43" t="str">
        <x:v>180</x:v>
      </x:c>
      <x:c r="E233" s="43" t="str">
        <x:v>ex_a_id</x:v>
      </x:c>
      <x:c r="F233" s="43" t="str">
        <x:v>PS_m_</x:v>
      </x:c>
      <x:c r="G233" s="43" t="str">
        <x:v>PS_f_</x:v>
      </x:c>
      <x:c r="H233" s="43" t="str">
        <x:v>Corrected transcription</x:v>
      </x:c>
      <x:c r="I233" s="43" t="str">
        <x:v>included_studies/abramova_2023_biopsy/abramova_2023_biopsy_data_calculations.xlsx, Table1_Extract</x:v>
      </x:c>
      <x:c r="J233" s="43" t="str">
        <x:v>Make the exposed identifier agree with the sex in the paired source row.</x:v>
      </x:c>
    </x:row>
    <x:row r="234">
      <x:c r="A234" s="43" t="str">
        <x:v>7 – Abramova 2023 identifiers and units</x:v>
      </x:c>
      <x:c r="B234" s="43" t="str">
        <x:v>abramova_2023_biopsy</x:v>
      </x:c>
      <x:c r="C234" s="43" t="str">
        <x:v>es180</x:v>
      </x:c>
      <x:c r="D234" s="43" t="str">
        <x:v>181</x:v>
      </x:c>
      <x:c r="E234" s="43" t="str">
        <x:v>c_a_id</x:v>
      </x:c>
      <x:c r="F234" s="43" t="str">
        <x:v>KON_f_</x:v>
      </x:c>
      <x:c r="G234" s="43" t="str">
        <x:v>KON_m_</x:v>
      </x:c>
      <x:c r="H234" s="43" t="str">
        <x:v>Corrected transcription</x:v>
      </x:c>
      <x:c r="I234" s="43" t="str">
        <x:v>included_studies/abramova_2023_biopsy/abramova_2023_biopsy_data_calculations.xlsx, Table1_Extract</x:v>
      </x:c>
      <x:c r="J234" s="43" t="str">
        <x:v>Make the control identifier agree with the sex in the paired source row.</x:v>
      </x:c>
    </x:row>
    <x:row r="235">
      <x:c r="A235" s="43" t="str">
        <x:v>7 – Abramova 2023 identifiers and units</x:v>
      </x:c>
      <x:c r="B235" s="43" t="str">
        <x:v>abramova_2023_biopsy</x:v>
      </x:c>
      <x:c r="C235" s="43" t="str">
        <x:v>es180</x:v>
      </x:c>
      <x:c r="D235" s="43" t="str">
        <x:v>181</x:v>
      </x:c>
      <x:c r="E235" s="43" t="str">
        <x:v>comparison</x:v>
      </x:c>
      <x:c r="F235" s="43" t="str">
        <x:v>KON_PS_f_</x:v>
      </x:c>
      <x:c r="G235" s="43" t="str">
        <x:v>KON_PS_m_</x:v>
      </x:c>
      <x:c r="H235" s="43" t="str">
        <x:v>Corrected transcription</x:v>
      </x:c>
      <x:c r="I235" s="43" t="str">
        <x:v>included_studies/abramova_2023_biopsy/abramova_2023_biopsy_data_calculations.xlsx, Table1_Extract</x:v>
      </x:c>
      <x:c r="J235" s="43" t="str">
        <x:v>Make the comparison identifier agree with the sex in the paired source row.</x:v>
      </x:c>
    </x:row>
    <x:row r="236">
      <x:c r="A236" s="43" t="str">
        <x:v>7 – Abramova 2023 identifiers and units</x:v>
      </x:c>
      <x:c r="B236" s="43" t="str">
        <x:v>abramova_2023_biopsy</x:v>
      </x:c>
      <x:c r="C236" s="43" t="str">
        <x:v>es180</x:v>
      </x:c>
      <x:c r="D236" s="43" t="str">
        <x:v>181</x:v>
      </x:c>
      <x:c r="E236" s="43" t="str">
        <x:v>data_file</x:v>
      </x:c>
      <x:c r="F236" s="43" t="str">
        <x:v>abramova_2023_biopsy_data.xlsx</x:v>
      </x:c>
      <x:c r="G236" s="43" t="str">
        <x:v>included_studies/abramova_2023_biopsy/abramova_2023_biopsy_data_calculations.xlsx</x:v>
      </x:c>
      <x:c r="H236" s="43" t="str">
        <x:v>Corrected transcription</x:v>
      </x:c>
      <x:c r="I236" s="43" t="str">
        <x:v>included_studies/abramova_2023_biopsy/abramova_2023_biopsy_data_calculations.xlsx, Table1_Extract</x:v>
      </x:c>
      <x:c r="J236" s="43" t="str">
        <x:v>Use the stable path to the saved extraction/calculation workbook.</x:v>
      </x:c>
    </x:row>
    <x:row r="237">
      <x:c r="A237" s="43" t="str">
        <x:v>7 – Abramova 2023 identifiers and units</x:v>
      </x:c>
      <x:c r="B237" s="43" t="str">
        <x:v>abramova_2023_biopsy</x:v>
      </x:c>
      <x:c r="C237" s="43" t="str">
        <x:v>es180</x:v>
      </x:c>
      <x:c r="D237" s="43" t="str">
        <x:v>181</x:v>
      </x:c>
      <x:c r="E237" s="43" t="str">
        <x:v>ex_a_id</x:v>
      </x:c>
      <x:c r="F237" s="43" t="str">
        <x:v>PS_f_</x:v>
      </x:c>
      <x:c r="G237" s="43" t="str">
        <x:v>PS_m_</x:v>
      </x:c>
      <x:c r="H237" s="43" t="str">
        <x:v>Corrected transcription</x:v>
      </x:c>
      <x:c r="I237" s="43" t="str">
        <x:v>included_studies/abramova_2023_biopsy/abramova_2023_biopsy_data_calculations.xlsx, Table1_Extract</x:v>
      </x:c>
      <x:c r="J237" s="43" t="str">
        <x:v>Make the exposed identifier agree with the sex in the paired source row.</x:v>
      </x:c>
    </x:row>
    <x:row r="238">
      <x:c r="A238" s="43" t="str">
        <x:v>7 – Abramova 2023 identifiers and units</x:v>
      </x:c>
      <x:c r="B238" s="43" t="str">
        <x:v>abramova_2023_biopsy</x:v>
      </x:c>
      <x:c r="C238" s="43" t="str">
        <x:v>es181</x:v>
      </x:c>
      <x:c r="D238" s="43" t="str">
        <x:v>182</x:v>
      </x:c>
      <x:c r="E238" s="43" t="str">
        <x:v>c_a_id</x:v>
      </x:c>
      <x:c r="F238" s="43" t="str">
        <x:v>KON_m_</x:v>
      </x:c>
      <x:c r="G238" s="43" t="str">
        <x:v>KON_f_</x:v>
      </x:c>
      <x:c r="H238" s="43" t="str">
        <x:v>Corrected transcription</x:v>
      </x:c>
      <x:c r="I238" s="43" t="str">
        <x:v>included_studies/abramova_2023_biopsy/abramova_2023_biopsy_data_calculations.xlsx, Table1_Extract</x:v>
      </x:c>
      <x:c r="J238" s="43" t="str">
        <x:v>Make the control identifier agree with the sex in the paired source row.</x:v>
      </x:c>
    </x:row>
    <x:row r="239">
      <x:c r="A239" s="43" t="str">
        <x:v>7 – Abramova 2023 identifiers and units</x:v>
      </x:c>
      <x:c r="B239" s="43" t="str">
        <x:v>abramova_2023_biopsy</x:v>
      </x:c>
      <x:c r="C239" s="43" t="str">
        <x:v>es181</x:v>
      </x:c>
      <x:c r="D239" s="43" t="str">
        <x:v>182</x:v>
      </x:c>
      <x:c r="E239" s="43" t="str">
        <x:v>comparison</x:v>
      </x:c>
      <x:c r="F239" s="43" t="str">
        <x:v>KON_PS_m_</x:v>
      </x:c>
      <x:c r="G239" s="43" t="str">
        <x:v>KON_PS_f_</x:v>
      </x:c>
      <x:c r="H239" s="43" t="str">
        <x:v>Corrected transcription</x:v>
      </x:c>
      <x:c r="I239" s="43" t="str">
        <x:v>included_studies/abramova_2023_biopsy/abramova_2023_biopsy_data_calculations.xlsx, Table1_Extract</x:v>
      </x:c>
      <x:c r="J239" s="43" t="str">
        <x:v>Make the comparison identifier agree with the sex in the paired source row.</x:v>
      </x:c>
    </x:row>
    <x:row r="240">
      <x:c r="A240" s="43" t="str">
        <x:v>7 – Abramova 2023 identifiers and units</x:v>
      </x:c>
      <x:c r="B240" s="43" t="str">
        <x:v>abramova_2023_biopsy</x:v>
      </x:c>
      <x:c r="C240" s="43" t="str">
        <x:v>es181</x:v>
      </x:c>
      <x:c r="D240" s="43" t="str">
        <x:v>182</x:v>
      </x:c>
      <x:c r="E240" s="43" t="str">
        <x:v>data_file</x:v>
      </x:c>
      <x:c r="F240" s="43" t="str">
        <x:v>abramova_2023_biopsy_data.xlsx</x:v>
      </x:c>
      <x:c r="G240" s="43" t="str">
        <x:v>included_studies/abramova_2023_biopsy/abramova_2023_biopsy_data_calculations.xlsx</x:v>
      </x:c>
      <x:c r="H240" s="43" t="str">
        <x:v>Corrected transcription</x:v>
      </x:c>
      <x:c r="I240" s="43" t="str">
        <x:v>included_studies/abramova_2023_biopsy/abramova_2023_biopsy_data_calculations.xlsx, Table1_Extract</x:v>
      </x:c>
      <x:c r="J240" s="43" t="str">
        <x:v>Use the stable path to the saved extraction/calculation workbook.</x:v>
      </x:c>
    </x:row>
    <x:row r="241">
      <x:c r="A241" s="43" t="str">
        <x:v>7 – Abramova 2023 identifiers and units</x:v>
      </x:c>
      <x:c r="B241" s="43" t="str">
        <x:v>abramova_2023_biopsy</x:v>
      </x:c>
      <x:c r="C241" s="43" t="str">
        <x:v>es181</x:v>
      </x:c>
      <x:c r="D241" s="43" t="str">
        <x:v>182</x:v>
      </x:c>
      <x:c r="E241" s="43" t="str">
        <x:v>ex_a_id</x:v>
      </x:c>
      <x:c r="F241" s="43" t="str">
        <x:v>PS_m_</x:v>
      </x:c>
      <x:c r="G241" s="43" t="str">
        <x:v>PS_f_</x:v>
      </x:c>
      <x:c r="H241" s="43" t="str">
        <x:v>Corrected transcription</x:v>
      </x:c>
      <x:c r="I241" s="43" t="str">
        <x:v>included_studies/abramova_2023_biopsy/abramova_2023_biopsy_data_calculations.xlsx, Table1_Extract</x:v>
      </x:c>
      <x:c r="J241" s="43" t="str">
        <x:v>Make the exposed identifier agree with the sex in the paired source row.</x:v>
      </x:c>
    </x:row>
    <x:row r="242">
      <x:c r="A242" s="43" t="str">
        <x:v>7 – Abramova 2023 identifiers and units</x:v>
      </x:c>
      <x:c r="B242" s="43" t="str">
        <x:v>abramova_2023_biopsy</x:v>
      </x:c>
      <x:c r="C242" s="43" t="str">
        <x:v>es182</x:v>
      </x:c>
      <x:c r="D242" s="43" t="str">
        <x:v>183</x:v>
      </x:c>
      <x:c r="E242" s="43" t="str">
        <x:v>c_a_id</x:v>
      </x:c>
      <x:c r="F242" s="43" t="str">
        <x:v>KON_f_</x:v>
      </x:c>
      <x:c r="G242" s="43" t="str">
        <x:v>KON_m_</x:v>
      </x:c>
      <x:c r="H242" s="43" t="str">
        <x:v>Corrected transcription</x:v>
      </x:c>
      <x:c r="I242" s="43" t="str">
        <x:v>included_studies/abramova_2023_biopsy/abramova_2023_biopsy_data_calculations.xlsx, Table1_Extract</x:v>
      </x:c>
      <x:c r="J242" s="43" t="str">
        <x:v>Make the control identifier agree with the sex in the paired source row.</x:v>
      </x:c>
    </x:row>
    <x:row r="243">
      <x:c r="A243" s="43" t="str">
        <x:v>7 – Abramova 2023 identifiers and units</x:v>
      </x:c>
      <x:c r="B243" s="43" t="str">
        <x:v>abramova_2023_biopsy</x:v>
      </x:c>
      <x:c r="C243" s="43" t="str">
        <x:v>es182</x:v>
      </x:c>
      <x:c r="D243" s="43" t="str">
        <x:v>183</x:v>
      </x:c>
      <x:c r="E243" s="43" t="str">
        <x:v>comparison</x:v>
      </x:c>
      <x:c r="F243" s="43" t="str">
        <x:v>KON_PS_f_</x:v>
      </x:c>
      <x:c r="G243" s="43" t="str">
        <x:v>KON_PS_m_</x:v>
      </x:c>
      <x:c r="H243" s="43" t="str">
        <x:v>Corrected transcription</x:v>
      </x:c>
      <x:c r="I243" s="43" t="str">
        <x:v>included_studies/abramova_2023_biopsy/abramova_2023_biopsy_data_calculations.xlsx, Table1_Extract</x:v>
      </x:c>
      <x:c r="J243" s="43" t="str">
        <x:v>Make the comparison identifier agree with the sex in the paired source row.</x:v>
      </x:c>
    </x:row>
    <x:row r="244">
      <x:c r="A244" s="43" t="str">
        <x:v>7 – Abramova 2023 identifiers and units</x:v>
      </x:c>
      <x:c r="B244" s="43" t="str">
        <x:v>abramova_2023_biopsy</x:v>
      </x:c>
      <x:c r="C244" s="43" t="str">
        <x:v>es182</x:v>
      </x:c>
      <x:c r="D244" s="43" t="str">
        <x:v>183</x:v>
      </x:c>
      <x:c r="E244" s="43" t="str">
        <x:v>data_file</x:v>
      </x:c>
      <x:c r="F244" s="43" t="str">
        <x:v>abramova_2023_biopsy_data.xlsx</x:v>
      </x:c>
      <x:c r="G244" s="43" t="str">
        <x:v>included_studies/abramova_2023_biopsy/abramova_2023_biopsy_data_calculations.xlsx</x:v>
      </x:c>
      <x:c r="H244" s="43" t="str">
        <x:v>Corrected transcription</x:v>
      </x:c>
      <x:c r="I244" s="43" t="str">
        <x:v>included_studies/abramova_2023_biopsy/abramova_2023_biopsy_data_calculations.xlsx, Table1_Extract</x:v>
      </x:c>
      <x:c r="J244" s="43" t="str">
        <x:v>Use the stable path to the saved extraction/calculation workbook.</x:v>
      </x:c>
    </x:row>
    <x:row r="245">
      <x:c r="A245" s="43" t="str">
        <x:v>7 – Abramova 2023 identifiers and units</x:v>
      </x:c>
      <x:c r="B245" s="43" t="str">
        <x:v>abramova_2023_biopsy</x:v>
      </x:c>
      <x:c r="C245" s="43" t="str">
        <x:v>es182</x:v>
      </x:c>
      <x:c r="D245" s="43" t="str">
        <x:v>183</x:v>
      </x:c>
      <x:c r="E245" s="43" t="str">
        <x:v>ex_a_id</x:v>
      </x:c>
      <x:c r="F245" s="43" t="str">
        <x:v>PS_f_</x:v>
      </x:c>
      <x:c r="G245" s="43" t="str">
        <x:v>PS_m_</x:v>
      </x:c>
      <x:c r="H245" s="43" t="str">
        <x:v>Corrected transcription</x:v>
      </x:c>
      <x:c r="I245" s="43" t="str">
        <x:v>included_studies/abramova_2023_biopsy/abramova_2023_biopsy_data_calculations.xlsx, Table1_Extract</x:v>
      </x:c>
      <x:c r="J245" s="43" t="str">
        <x:v>Make the exposed identifier agree with the sex in the paired source row.</x:v>
      </x:c>
    </x:row>
    <x:row r="246">
      <x:c r="A246" s="43" t="str">
        <x:v>7 – Abramova 2023 identifiers and units</x:v>
      </x:c>
      <x:c r="B246" s="43" t="str">
        <x:v>abramova_2023_biopsy</x:v>
      </x:c>
      <x:c r="C246" s="43" t="str">
        <x:v>es183</x:v>
      </x:c>
      <x:c r="D246" s="43" t="str">
        <x:v>184</x:v>
      </x:c>
      <x:c r="E246" s="43" t="str">
        <x:v>c_a_id</x:v>
      </x:c>
      <x:c r="F246" s="43" t="str">
        <x:v>KON_m_</x:v>
      </x:c>
      <x:c r="G246" s="43" t="str">
        <x:v>KON_f_</x:v>
      </x:c>
      <x:c r="H246" s="43" t="str">
        <x:v>Corrected transcription</x:v>
      </x:c>
      <x:c r="I246" s="43" t="str">
        <x:v>included_studies/abramova_2023_biopsy/abramova_2023_biopsy_data_calculations.xlsx, Table1_Extract</x:v>
      </x:c>
      <x:c r="J246" s="43" t="str">
        <x:v>Make the control identifier agree with the sex in the paired source row.</x:v>
      </x:c>
    </x:row>
    <x:row r="247">
      <x:c r="A247" s="43" t="str">
        <x:v>7 – Abramova 2023 identifiers and units</x:v>
      </x:c>
      <x:c r="B247" s="43" t="str">
        <x:v>abramova_2023_biopsy</x:v>
      </x:c>
      <x:c r="C247" s="43" t="str">
        <x:v>es183</x:v>
      </x:c>
      <x:c r="D247" s="43" t="str">
        <x:v>184</x:v>
      </x:c>
      <x:c r="E247" s="43" t="str">
        <x:v>comparison</x:v>
      </x:c>
      <x:c r="F247" s="43" t="str">
        <x:v>KON_PS_m_</x:v>
      </x:c>
      <x:c r="G247" s="43" t="str">
        <x:v>KON_PS_f_</x:v>
      </x:c>
      <x:c r="H247" s="43" t="str">
        <x:v>Corrected transcription</x:v>
      </x:c>
      <x:c r="I247" s="43" t="str">
        <x:v>included_studies/abramova_2023_biopsy/abramova_2023_biopsy_data_calculations.xlsx, Table1_Extract</x:v>
      </x:c>
      <x:c r="J247" s="43" t="str">
        <x:v>Make the comparison identifier agree with the sex in the paired source row.</x:v>
      </x:c>
    </x:row>
    <x:row r="248">
      <x:c r="A248" s="43" t="str">
        <x:v>7 – Abramova 2023 identifiers and units</x:v>
      </x:c>
      <x:c r="B248" s="43" t="str">
        <x:v>abramova_2023_biopsy</x:v>
      </x:c>
      <x:c r="C248" s="43" t="str">
        <x:v>es183</x:v>
      </x:c>
      <x:c r="D248" s="43" t="str">
        <x:v>184</x:v>
      </x:c>
      <x:c r="E248" s="43" t="str">
        <x:v>data_file</x:v>
      </x:c>
      <x:c r="F248" s="43" t="str">
        <x:v>abramova_2023_biopsy_data.xlsx</x:v>
      </x:c>
      <x:c r="G248" s="43" t="str">
        <x:v>included_studies/abramova_2023_biopsy/abramova_2023_biopsy_data_calculations.xlsx</x:v>
      </x:c>
      <x:c r="H248" s="43" t="str">
        <x:v>Corrected transcription</x:v>
      </x:c>
      <x:c r="I248" s="43" t="str">
        <x:v>included_studies/abramova_2023_biopsy/abramova_2023_biopsy_data_calculations.xlsx, Table1_Extract</x:v>
      </x:c>
      <x:c r="J248" s="43" t="str">
        <x:v>Use the stable path to the saved extraction/calculation workbook.</x:v>
      </x:c>
    </x:row>
    <x:row r="249">
      <x:c r="A249" s="43" t="str">
        <x:v>7 – Abramova 2023 identifiers and units</x:v>
      </x:c>
      <x:c r="B249" s="43" t="str">
        <x:v>abramova_2023_biopsy</x:v>
      </x:c>
      <x:c r="C249" s="43" t="str">
        <x:v>es183</x:v>
      </x:c>
      <x:c r="D249" s="43" t="str">
        <x:v>184</x:v>
      </x:c>
      <x:c r="E249" s="43" t="str">
        <x:v>ex_a_id</x:v>
      </x:c>
      <x:c r="F249" s="43" t="str">
        <x:v>PS_m_</x:v>
      </x:c>
      <x:c r="G249" s="43" t="str">
        <x:v>PS_f_</x:v>
      </x:c>
      <x:c r="H249" s="43" t="str">
        <x:v>Corrected transcription</x:v>
      </x:c>
      <x:c r="I249" s="43" t="str">
        <x:v>included_studies/abramova_2023_biopsy/abramova_2023_biopsy_data_calculations.xlsx, Table1_Extract</x:v>
      </x:c>
      <x:c r="J249" s="43" t="str">
        <x:v>Make the exposed identifier agree with the sex in the paired source row.</x:v>
      </x:c>
    </x:row>
    <x:row r="250">
      <x:c r="A250" s="43" t="str">
        <x:v>7 – Abramova 2023 identifiers and units</x:v>
      </x:c>
      <x:c r="B250" s="43" t="str">
        <x:v>abramova_2023_biopsy</x:v>
      </x:c>
      <x:c r="C250" s="43" t="str">
        <x:v>es184</x:v>
      </x:c>
      <x:c r="D250" s="43" t="str">
        <x:v>185</x:v>
      </x:c>
      <x:c r="E250" s="43" t="str">
        <x:v>c_a_id</x:v>
      </x:c>
      <x:c r="F250" s="43" t="str">
        <x:v>KON_f_</x:v>
      </x:c>
      <x:c r="G250" s="43" t="str">
        <x:v>KON_m_</x:v>
      </x:c>
      <x:c r="H250" s="43" t="str">
        <x:v>Corrected transcription</x:v>
      </x:c>
      <x:c r="I250" s="43" t="str">
        <x:v>included_studies/abramova_2023_biopsy/abramova_2023_biopsy_data_calculations.xlsx, Table1_Extract</x:v>
      </x:c>
      <x:c r="J250" s="43" t="str">
        <x:v>Make the control identifier agree with the sex in the paired source row.</x:v>
      </x:c>
    </x:row>
    <x:row r="251">
      <x:c r="A251" s="43" t="str">
        <x:v>7 – Abramova 2023 identifiers and units</x:v>
      </x:c>
      <x:c r="B251" s="43" t="str">
        <x:v>abramova_2023_biopsy</x:v>
      </x:c>
      <x:c r="C251" s="43" t="str">
        <x:v>es184</x:v>
      </x:c>
      <x:c r="D251" s="43" t="str">
        <x:v>185</x:v>
      </x:c>
      <x:c r="E251" s="43" t="str">
        <x:v>comparison</x:v>
      </x:c>
      <x:c r="F251" s="43" t="str">
        <x:v>KON_PS_f_</x:v>
      </x:c>
      <x:c r="G251" s="43" t="str">
        <x:v>KON_PS_m_</x:v>
      </x:c>
      <x:c r="H251" s="43" t="str">
        <x:v>Corrected transcription</x:v>
      </x:c>
      <x:c r="I251" s="43" t="str">
        <x:v>included_studies/abramova_2023_biopsy/abramova_2023_biopsy_data_calculations.xlsx, Table1_Extract</x:v>
      </x:c>
      <x:c r="J251" s="43" t="str">
        <x:v>Make the comparison identifier agree with the sex in the paired source row.</x:v>
      </x:c>
    </x:row>
    <x:row r="252">
      <x:c r="A252" s="43" t="str">
        <x:v>7 – Abramova 2023 identifiers and units</x:v>
      </x:c>
      <x:c r="B252" s="43" t="str">
        <x:v>abramova_2023_biopsy</x:v>
      </x:c>
      <x:c r="C252" s="43" t="str">
        <x:v>es184</x:v>
      </x:c>
      <x:c r="D252" s="43" t="str">
        <x:v>185</x:v>
      </x:c>
      <x:c r="E252" s="43" t="str">
        <x:v>data_file</x:v>
      </x:c>
      <x:c r="F252" s="43" t="str">
        <x:v>abramova_2023_biopsy_data.xlsx</x:v>
      </x:c>
      <x:c r="G252" s="43" t="str">
        <x:v>included_studies/abramova_2023_biopsy/abramova_2023_biopsy_data_calculations.xlsx</x:v>
      </x:c>
      <x:c r="H252" s="43" t="str">
        <x:v>Corrected transcription</x:v>
      </x:c>
      <x:c r="I252" s="43" t="str">
        <x:v>included_studies/abramova_2023_biopsy/abramova_2023_biopsy_data_calculations.xlsx, Table1_Extract</x:v>
      </x:c>
      <x:c r="J252" s="43" t="str">
        <x:v>Use the stable path to the saved extraction/calculation workbook.</x:v>
      </x:c>
    </x:row>
    <x:row r="253">
      <x:c r="A253" s="43" t="str">
        <x:v>7 – Abramova 2023 identifiers and units</x:v>
      </x:c>
      <x:c r="B253" s="43" t="str">
        <x:v>abramova_2023_biopsy</x:v>
      </x:c>
      <x:c r="C253" s="43" t="str">
        <x:v>es184</x:v>
      </x:c>
      <x:c r="D253" s="43" t="str">
        <x:v>185</x:v>
      </x:c>
      <x:c r="E253" s="43" t="str">
        <x:v>ex_a_id</x:v>
      </x:c>
      <x:c r="F253" s="43" t="str">
        <x:v>PS_f_</x:v>
      </x:c>
      <x:c r="G253" s="43" t="str">
        <x:v>PS_m_</x:v>
      </x:c>
      <x:c r="H253" s="43" t="str">
        <x:v>Corrected transcription</x:v>
      </x:c>
      <x:c r="I253" s="43" t="str">
        <x:v>included_studies/abramova_2023_biopsy/abramova_2023_biopsy_data_calculations.xlsx, Table1_Extract</x:v>
      </x:c>
      <x:c r="J253" s="43" t="str">
        <x:v>Make the exposed identifier agree with the sex in the paired source row.</x:v>
      </x:c>
    </x:row>
    <x:row r="254">
      <x:c r="A254" s="43" t="str">
        <x:v>7 – Abramova 2023 identifiers and units</x:v>
      </x:c>
      <x:c r="B254" s="43" t="str">
        <x:v>abramova_2023_biopsy</x:v>
      </x:c>
      <x:c r="C254" s="43" t="str">
        <x:v>es185</x:v>
      </x:c>
      <x:c r="D254" s="43" t="str">
        <x:v>186</x:v>
      </x:c>
      <x:c r="E254" s="43" t="str">
        <x:v>c_a_id</x:v>
      </x:c>
      <x:c r="F254" s="43" t="str">
        <x:v>KON_m_</x:v>
      </x:c>
      <x:c r="G254" s="43" t="str">
        <x:v>KON_f_</x:v>
      </x:c>
      <x:c r="H254" s="43" t="str">
        <x:v>Corrected transcription</x:v>
      </x:c>
      <x:c r="I254" s="43" t="str">
        <x:v>included_studies/abramova_2023_biopsy/abramova_2023_biopsy_data_calculations.xlsx, Table1_Extract</x:v>
      </x:c>
      <x:c r="J254" s="43" t="str">
        <x:v>Make the control identifier agree with the sex in the paired source row.</x:v>
      </x:c>
    </x:row>
    <x:row r="255">
      <x:c r="A255" s="43" t="str">
        <x:v>7 – Abramova 2023 identifiers and units</x:v>
      </x:c>
      <x:c r="B255" s="43" t="str">
        <x:v>abramova_2023_biopsy</x:v>
      </x:c>
      <x:c r="C255" s="43" t="str">
        <x:v>es185</x:v>
      </x:c>
      <x:c r="D255" s="43" t="str">
        <x:v>186</x:v>
      </x:c>
      <x:c r="E255" s="43" t="str">
        <x:v>comparison</x:v>
      </x:c>
      <x:c r="F255" s="43" t="str">
        <x:v>KON_PS_m_</x:v>
      </x:c>
      <x:c r="G255" s="43" t="str">
        <x:v>KON_PS_f_</x:v>
      </x:c>
      <x:c r="H255" s="43" t="str">
        <x:v>Corrected transcription</x:v>
      </x:c>
      <x:c r="I255" s="43" t="str">
        <x:v>included_studies/abramova_2023_biopsy/abramova_2023_biopsy_data_calculations.xlsx, Table1_Extract</x:v>
      </x:c>
      <x:c r="J255" s="43" t="str">
        <x:v>Make the comparison identifier agree with the sex in the paired source row.</x:v>
      </x:c>
    </x:row>
    <x:row r="256">
      <x:c r="A256" s="43" t="str">
        <x:v>7 – Abramova 2023 identifiers and units</x:v>
      </x:c>
      <x:c r="B256" s="43" t="str">
        <x:v>abramova_2023_biopsy</x:v>
      </x:c>
      <x:c r="C256" s="43" t="str">
        <x:v>es185</x:v>
      </x:c>
      <x:c r="D256" s="43" t="str">
        <x:v>186</x:v>
      </x:c>
      <x:c r="E256" s="43" t="str">
        <x:v>data_file</x:v>
      </x:c>
      <x:c r="F256" s="43" t="str">
        <x:v>abramova_2023_biopsy_data.xlsx</x:v>
      </x:c>
      <x:c r="G256" s="43" t="str">
        <x:v>included_studies/abramova_2023_biopsy/abramova_2023_biopsy_data_calculations.xlsx</x:v>
      </x:c>
      <x:c r="H256" s="43" t="str">
        <x:v>Corrected transcription</x:v>
      </x:c>
      <x:c r="I256" s="43" t="str">
        <x:v>included_studies/abramova_2023_biopsy/abramova_2023_biopsy_data_calculations.xlsx, Table1_Extract</x:v>
      </x:c>
      <x:c r="J256" s="43" t="str">
        <x:v>Use the stable path to the saved extraction/calculation workbook.</x:v>
      </x:c>
    </x:row>
    <x:row r="257">
      <x:c r="A257" s="43" t="str">
        <x:v>7 – Abramova 2023 identifiers and units</x:v>
      </x:c>
      <x:c r="B257" s="43" t="str">
        <x:v>abramova_2023_biopsy</x:v>
      </x:c>
      <x:c r="C257" s="43" t="str">
        <x:v>es185</x:v>
      </x:c>
      <x:c r="D257" s="43" t="str">
        <x:v>186</x:v>
      </x:c>
      <x:c r="E257" s="43" t="str">
        <x:v>ex_a_id</x:v>
      </x:c>
      <x:c r="F257" s="43" t="str">
        <x:v>PS_m_</x:v>
      </x:c>
      <x:c r="G257" s="43" t="str">
        <x:v>PS_f_</x:v>
      </x:c>
      <x:c r="H257" s="43" t="str">
        <x:v>Corrected transcription</x:v>
      </x:c>
      <x:c r="I257" s="43" t="str">
        <x:v>included_studies/abramova_2023_biopsy/abramova_2023_biopsy_data_calculations.xlsx, Table1_Extract</x:v>
      </x:c>
      <x:c r="J257" s="43" t="str">
        <x:v>Make the exposed identifier agree with the sex in the paired source row.</x:v>
      </x:c>
    </x:row>
    <x:row r="258">
      <x:c r="A258" s="43" t="str">
        <x:v>7 – Abramova 2023 identifiers and units</x:v>
      </x:c>
      <x:c r="B258" s="43" t="str">
        <x:v>abramova_2023_biopsy</x:v>
      </x:c>
      <x:c r="C258" s="43" t="str">
        <x:v>es186</x:v>
      </x:c>
      <x:c r="D258" s="43" t="str">
        <x:v>187</x:v>
      </x:c>
      <x:c r="E258" s="43" t="str">
        <x:v>c_a_id</x:v>
      </x:c>
      <x:c r="F258" s="43" t="str">
        <x:v>KON_f_</x:v>
      </x:c>
      <x:c r="G258" s="43" t="str">
        <x:v>KON_m_</x:v>
      </x:c>
      <x:c r="H258" s="43" t="str">
        <x:v>Corrected transcription</x:v>
      </x:c>
      <x:c r="I258" s="43" t="str">
        <x:v>included_studies/abramova_2023_biopsy/abramova_2023_biopsy_data_calculations.xlsx, Table1_Extract</x:v>
      </x:c>
      <x:c r="J258" s="43" t="str">
        <x:v>Make the control identifier agree with the sex in the paired source row.</x:v>
      </x:c>
    </x:row>
    <x:row r="259">
      <x:c r="A259" s="43" t="str">
        <x:v>7 – Abramova 2023 identifiers and units</x:v>
      </x:c>
      <x:c r="B259" s="43" t="str">
        <x:v>abramova_2023_biopsy</x:v>
      </x:c>
      <x:c r="C259" s="43" t="str">
        <x:v>es186</x:v>
      </x:c>
      <x:c r="D259" s="43" t="str">
        <x:v>187</x:v>
      </x:c>
      <x:c r="E259" s="43" t="str">
        <x:v>comparison</x:v>
      </x:c>
      <x:c r="F259" s="43" t="str">
        <x:v>KON_PS_f_</x:v>
      </x:c>
      <x:c r="G259" s="43" t="str">
        <x:v>KON_PS_m_</x:v>
      </x:c>
      <x:c r="H259" s="43" t="str">
        <x:v>Corrected transcription</x:v>
      </x:c>
      <x:c r="I259" s="43" t="str">
        <x:v>included_studies/abramova_2023_biopsy/abramova_2023_biopsy_data_calculations.xlsx, Table1_Extract</x:v>
      </x:c>
      <x:c r="J259" s="43" t="str">
        <x:v>Make the comparison identifier agree with the sex in the paired source row.</x:v>
      </x:c>
    </x:row>
    <x:row r="260">
      <x:c r="A260" s="43" t="str">
        <x:v>7 – Abramova 2023 identifiers and units</x:v>
      </x:c>
      <x:c r="B260" s="43" t="str">
        <x:v>abramova_2023_biopsy</x:v>
      </x:c>
      <x:c r="C260" s="43" t="str">
        <x:v>es186</x:v>
      </x:c>
      <x:c r="D260" s="43" t="str">
        <x:v>187</x:v>
      </x:c>
      <x:c r="E260" s="43" t="str">
        <x:v>data_file</x:v>
      </x:c>
      <x:c r="F260" s="43" t="str">
        <x:v>abramova_2023_biopsy_data.xlsx</x:v>
      </x:c>
      <x:c r="G260" s="43" t="str">
        <x:v>included_studies/abramova_2023_biopsy/abramova_2023_biopsy_data_calculations.xlsx</x:v>
      </x:c>
      <x:c r="H260" s="43" t="str">
        <x:v>Corrected transcription</x:v>
      </x:c>
      <x:c r="I260" s="43" t="str">
        <x:v>included_studies/abramova_2023_biopsy/abramova_2023_biopsy_data_calculations.xlsx, Table1_Extract</x:v>
      </x:c>
      <x:c r="J260" s="43" t="str">
        <x:v>Use the stable path to the saved extraction/calculation workbook.</x:v>
      </x:c>
    </x:row>
    <x:row r="261">
      <x:c r="A261" s="43" t="str">
        <x:v>7 – Abramova 2023 identifiers and units</x:v>
      </x:c>
      <x:c r="B261" s="43" t="str">
        <x:v>abramova_2023_biopsy</x:v>
      </x:c>
      <x:c r="C261" s="43" t="str">
        <x:v>es186</x:v>
      </x:c>
      <x:c r="D261" s="43" t="str">
        <x:v>187</x:v>
      </x:c>
      <x:c r="E261" s="43" t="str">
        <x:v>ex_a_id</x:v>
      </x:c>
      <x:c r="F261" s="43" t="str">
        <x:v>PS_f_</x:v>
      </x:c>
      <x:c r="G261" s="43" t="str">
        <x:v>PS_m_</x:v>
      </x:c>
      <x:c r="H261" s="43" t="str">
        <x:v>Corrected transcription</x:v>
      </x:c>
      <x:c r="I261" s="43" t="str">
        <x:v>included_studies/abramova_2023_biopsy/abramova_2023_biopsy_data_calculations.xlsx, Table1_Extract</x:v>
      </x:c>
      <x:c r="J261" s="43" t="str">
        <x:v>Make the exposed identifier agree with the sex in the paired source row.</x:v>
      </x:c>
    </x:row>
    <x:row r="262">
      <x:c r="A262" s="43" t="str">
        <x:v>7 – Abramova 2023 identifiers and units</x:v>
      </x:c>
      <x:c r="B262" s="43" t="str">
        <x:v>abramova_2023_biopsy</x:v>
      </x:c>
      <x:c r="C262" s="43" t="str">
        <x:v>es187</x:v>
      </x:c>
      <x:c r="D262" s="43" t="str">
        <x:v>188</x:v>
      </x:c>
      <x:c r="E262" s="43" t="str">
        <x:v>c_a_id</x:v>
      </x:c>
      <x:c r="F262" s="43" t="str">
        <x:v>KON_m_</x:v>
      </x:c>
      <x:c r="G262" s="43" t="str">
        <x:v>KON_f_</x:v>
      </x:c>
      <x:c r="H262" s="43" t="str">
        <x:v>Corrected transcription</x:v>
      </x:c>
      <x:c r="I262" s="43" t="str">
        <x:v>included_studies/abramova_2023_biopsy/abramova_2023_biopsy_data_calculations.xlsx, Table1_Extract</x:v>
      </x:c>
      <x:c r="J262" s="43" t="str">
        <x:v>Make the control identifier agree with the sex in the paired source row.</x:v>
      </x:c>
    </x:row>
    <x:row r="263">
      <x:c r="A263" s="43" t="str">
        <x:v>7 – Abramova 2023 identifiers and units</x:v>
      </x:c>
      <x:c r="B263" s="43" t="str">
        <x:v>abramova_2023_biopsy</x:v>
      </x:c>
      <x:c r="C263" s="43" t="str">
        <x:v>es187</x:v>
      </x:c>
      <x:c r="D263" s="43" t="str">
        <x:v>188</x:v>
      </x:c>
      <x:c r="E263" s="43" t="str">
        <x:v>comparison</x:v>
      </x:c>
      <x:c r="F263" s="43" t="str">
        <x:v>KON_PS_m_</x:v>
      </x:c>
      <x:c r="G263" s="43" t="str">
        <x:v>KON_PS_f_</x:v>
      </x:c>
      <x:c r="H263" s="43" t="str">
        <x:v>Corrected transcription</x:v>
      </x:c>
      <x:c r="I263" s="43" t="str">
        <x:v>included_studies/abramova_2023_biopsy/abramova_2023_biopsy_data_calculations.xlsx, Table1_Extract</x:v>
      </x:c>
      <x:c r="J263" s="43" t="str">
        <x:v>Make the comparison identifier agree with the sex in the paired source row.</x:v>
      </x:c>
    </x:row>
    <x:row r="264">
      <x:c r="A264" s="43" t="str">
        <x:v>7 – Abramova 2023 identifiers and units</x:v>
      </x:c>
      <x:c r="B264" s="43" t="str">
        <x:v>abramova_2023_biopsy</x:v>
      </x:c>
      <x:c r="C264" s="43" t="str">
        <x:v>es187</x:v>
      </x:c>
      <x:c r="D264" s="43" t="str">
        <x:v>188</x:v>
      </x:c>
      <x:c r="E264" s="43" t="str">
        <x:v>data_file</x:v>
      </x:c>
      <x:c r="F264" s="43" t="str">
        <x:v>abramova_2023_biopsy_data.xlsx</x:v>
      </x:c>
      <x:c r="G264" s="43" t="str">
        <x:v>included_studies/abramova_2023_biopsy/abramova_2023_biopsy_data_calculations.xlsx</x:v>
      </x:c>
      <x:c r="H264" s="43" t="str">
        <x:v>Corrected transcription</x:v>
      </x:c>
      <x:c r="I264" s="43" t="str">
        <x:v>included_studies/abramova_2023_biopsy/abramova_2023_biopsy_data_calculations.xlsx, Table1_Extract</x:v>
      </x:c>
      <x:c r="J264" s="43" t="str">
        <x:v>Use the stable path to the saved extraction/calculation workbook.</x:v>
      </x:c>
    </x:row>
    <x:row r="265">
      <x:c r="A265" s="43" t="str">
        <x:v>7 – Abramova 2023 identifiers and units</x:v>
      </x:c>
      <x:c r="B265" s="43" t="str">
        <x:v>abramova_2023_biopsy</x:v>
      </x:c>
      <x:c r="C265" s="43" t="str">
        <x:v>es187</x:v>
      </x:c>
      <x:c r="D265" s="43" t="str">
        <x:v>188</x:v>
      </x:c>
      <x:c r="E265" s="43" t="str">
        <x:v>ex_a_id</x:v>
      </x:c>
      <x:c r="F265" s="43" t="str">
        <x:v>PS_m_</x:v>
      </x:c>
      <x:c r="G265" s="43" t="str">
        <x:v>PS_f_</x:v>
      </x:c>
      <x:c r="H265" s="43" t="str">
        <x:v>Corrected transcription</x:v>
      </x:c>
      <x:c r="I265" s="43" t="str">
        <x:v>included_studies/abramova_2023_biopsy/abramova_2023_biopsy_data_calculations.xlsx, Table1_Extract</x:v>
      </x:c>
      <x:c r="J265" s="43" t="str">
        <x:v>Make the exposed identifier agree with the sex in the paired source row.</x:v>
      </x:c>
    </x:row>
    <x:row r="266">
      <x:c r="A266" s="43" t="str">
        <x:v>7 – Abramova 2023 identifiers and units</x:v>
      </x:c>
      <x:c r="B266" s="43" t="str">
        <x:v>abramova_2023_biopsy</x:v>
      </x:c>
      <x:c r="C266" s="43" t="str">
        <x:v>es188</x:v>
      </x:c>
      <x:c r="D266" s="43" t="str">
        <x:v>189</x:v>
      </x:c>
      <x:c r="E266" s="43" t="str">
        <x:v>c_a_id</x:v>
      </x:c>
      <x:c r="F266" s="43" t="str">
        <x:v>KON_f_</x:v>
      </x:c>
      <x:c r="G266" s="43" t="str">
        <x:v>KON_m_</x:v>
      </x:c>
      <x:c r="H266" s="43" t="str">
        <x:v>Corrected transcription</x:v>
      </x:c>
      <x:c r="I266" s="43" t="str">
        <x:v>included_studies/abramova_2023_biopsy/abramova_2023_biopsy_data_calculations.xlsx, Table1_Extract</x:v>
      </x:c>
      <x:c r="J266" s="43" t="str">
        <x:v>Make the control identifier agree with the sex in the paired source row.</x:v>
      </x:c>
    </x:row>
    <x:row r="267">
      <x:c r="A267" s="43" t="str">
        <x:v>7 – Abramova 2023 identifiers and units</x:v>
      </x:c>
      <x:c r="B267" s="43" t="str">
        <x:v>abramova_2023_biopsy</x:v>
      </x:c>
      <x:c r="C267" s="43" t="str">
        <x:v>es188</x:v>
      </x:c>
      <x:c r="D267" s="43" t="str">
        <x:v>189</x:v>
      </x:c>
      <x:c r="E267" s="43" t="str">
        <x:v>comparison</x:v>
      </x:c>
      <x:c r="F267" s="43" t="str">
        <x:v>KON_PS_f_</x:v>
      </x:c>
      <x:c r="G267" s="43" t="str">
        <x:v>KON_PS_m_</x:v>
      </x:c>
      <x:c r="H267" s="43" t="str">
        <x:v>Corrected transcription</x:v>
      </x:c>
      <x:c r="I267" s="43" t="str">
        <x:v>included_studies/abramova_2023_biopsy/abramova_2023_biopsy_data_calculations.xlsx, Table1_Extract</x:v>
      </x:c>
      <x:c r="J267" s="43" t="str">
        <x:v>Make the comparison identifier agree with the sex in the paired source row.</x:v>
      </x:c>
    </x:row>
    <x:row r="268">
      <x:c r="A268" s="43" t="str">
        <x:v>7 – Abramova 2023 identifiers and units</x:v>
      </x:c>
      <x:c r="B268" s="43" t="str">
        <x:v>abramova_2023_biopsy</x:v>
      </x:c>
      <x:c r="C268" s="43" t="str">
        <x:v>es188</x:v>
      </x:c>
      <x:c r="D268" s="43" t="str">
        <x:v>189</x:v>
      </x:c>
      <x:c r="E268" s="43" t="str">
        <x:v>data_file</x:v>
      </x:c>
      <x:c r="F268" s="43" t="str">
        <x:v>abramova_2023_biopsy_data.xlsx</x:v>
      </x:c>
      <x:c r="G268" s="43" t="str">
        <x:v>included_studies/abramova_2023_biopsy/abramova_2023_biopsy_data_calculations.xlsx</x:v>
      </x:c>
      <x:c r="H268" s="43" t="str">
        <x:v>Corrected transcription</x:v>
      </x:c>
      <x:c r="I268" s="43" t="str">
        <x:v>included_studies/abramova_2023_biopsy/abramova_2023_biopsy_data_calculations.xlsx, Table1_Extract</x:v>
      </x:c>
      <x:c r="J268" s="43" t="str">
        <x:v>Use the stable path to the saved extraction/calculation workbook.</x:v>
      </x:c>
    </x:row>
    <x:row r="269">
      <x:c r="A269" s="43" t="str">
        <x:v>7 – Abramova 2023 identifiers and units</x:v>
      </x:c>
      <x:c r="B269" s="43" t="str">
        <x:v>abramova_2023_biopsy</x:v>
      </x:c>
      <x:c r="C269" s="43" t="str">
        <x:v>es188</x:v>
      </x:c>
      <x:c r="D269" s="43" t="str">
        <x:v>189</x:v>
      </x:c>
      <x:c r="E269" s="43" t="str">
        <x:v>ex_a_id</x:v>
      </x:c>
      <x:c r="F269" s="43" t="str">
        <x:v>PS_f_</x:v>
      </x:c>
      <x:c r="G269" s="43" t="str">
        <x:v>PS_m_</x:v>
      </x:c>
      <x:c r="H269" s="43" t="str">
        <x:v>Corrected transcription</x:v>
      </x:c>
      <x:c r="I269" s="43" t="str">
        <x:v>included_studies/abramova_2023_biopsy/abramova_2023_biopsy_data_calculations.xlsx, Table1_Extract</x:v>
      </x:c>
      <x:c r="J269" s="43" t="str">
        <x:v>Make the exposed identifier agree with the sex in the paired source row.</x:v>
      </x:c>
    </x:row>
    <x:row r="270">
      <x:c r="A270" s="43" t="str">
        <x:v>7 – Abramova 2023 identifiers and units</x:v>
      </x:c>
      <x:c r="B270" s="43" t="str">
        <x:v>abramova_2023_biopsy</x:v>
      </x:c>
      <x:c r="C270" s="43" t="str">
        <x:v>es189</x:v>
      </x:c>
      <x:c r="D270" s="43" t="str">
        <x:v>190</x:v>
      </x:c>
      <x:c r="E270" s="43" t="str">
        <x:v>c_a_id</x:v>
      </x:c>
      <x:c r="F270" s="43" t="str">
        <x:v>KON_m_</x:v>
      </x:c>
      <x:c r="G270" s="43" t="str">
        <x:v>KON_f_</x:v>
      </x:c>
      <x:c r="H270" s="43" t="str">
        <x:v>Corrected transcription</x:v>
      </x:c>
      <x:c r="I270" s="43" t="str">
        <x:v>included_studies/abramova_2023_biopsy/abramova_2023_biopsy_data_calculations.xlsx, Table1_Extract</x:v>
      </x:c>
      <x:c r="J270" s="43" t="str">
        <x:v>Make the control identifier agree with the sex in the paired source row.</x:v>
      </x:c>
    </x:row>
    <x:row r="271">
      <x:c r="A271" s="43" t="str">
        <x:v>7 – Abramova 2023 identifiers and units</x:v>
      </x:c>
      <x:c r="B271" s="43" t="str">
        <x:v>abramova_2023_biopsy</x:v>
      </x:c>
      <x:c r="C271" s="43" t="str">
        <x:v>es189</x:v>
      </x:c>
      <x:c r="D271" s="43" t="str">
        <x:v>190</x:v>
      </x:c>
      <x:c r="E271" s="43" t="str">
        <x:v>comparison</x:v>
      </x:c>
      <x:c r="F271" s="43" t="str">
        <x:v>KON_PS_m_</x:v>
      </x:c>
      <x:c r="G271" s="43" t="str">
        <x:v>KON_PS_f_</x:v>
      </x:c>
      <x:c r="H271" s="43" t="str">
        <x:v>Corrected transcription</x:v>
      </x:c>
      <x:c r="I271" s="43" t="str">
        <x:v>included_studies/abramova_2023_biopsy/abramova_2023_biopsy_data_calculations.xlsx, Table1_Extract</x:v>
      </x:c>
      <x:c r="J271" s="43" t="str">
        <x:v>Make the comparison identifier agree with the sex in the paired source row.</x:v>
      </x:c>
    </x:row>
    <x:row r="272">
      <x:c r="A272" s="43" t="str">
        <x:v>7 – Abramova 2023 identifiers and units</x:v>
      </x:c>
      <x:c r="B272" s="43" t="str">
        <x:v>abramova_2023_biopsy</x:v>
      </x:c>
      <x:c r="C272" s="43" t="str">
        <x:v>es189</x:v>
      </x:c>
      <x:c r="D272" s="43" t="str">
        <x:v>190</x:v>
      </x:c>
      <x:c r="E272" s="43" t="str">
        <x:v>data_file</x:v>
      </x:c>
      <x:c r="F272" s="43" t="str">
        <x:v>abramova_2023_biopsy_data.xlsx</x:v>
      </x:c>
      <x:c r="G272" s="43" t="str">
        <x:v>included_studies/abramova_2023_biopsy/abramova_2023_biopsy_data_calculations.xlsx</x:v>
      </x:c>
      <x:c r="H272" s="43" t="str">
        <x:v>Corrected transcription</x:v>
      </x:c>
      <x:c r="I272" s="43" t="str">
        <x:v>included_studies/abramova_2023_biopsy/abramova_2023_biopsy_data_calculations.xlsx, Table1_Extract</x:v>
      </x:c>
      <x:c r="J272" s="43" t="str">
        <x:v>Use the stable path to the saved extraction/calculation workbook.</x:v>
      </x:c>
    </x:row>
    <x:row r="273">
      <x:c r="A273" s="43" t="str">
        <x:v>7 – Abramova 2023 identifiers and units</x:v>
      </x:c>
      <x:c r="B273" s="43" t="str">
        <x:v>abramova_2023_biopsy</x:v>
      </x:c>
      <x:c r="C273" s="43" t="str">
        <x:v>es189</x:v>
      </x:c>
      <x:c r="D273" s="43" t="str">
        <x:v>190</x:v>
      </x:c>
      <x:c r="E273" s="43" t="str">
        <x:v>ex_a_id</x:v>
      </x:c>
      <x:c r="F273" s="43" t="str">
        <x:v>PS_m_</x:v>
      </x:c>
      <x:c r="G273" s="43" t="str">
        <x:v>PS_f_</x:v>
      </x:c>
      <x:c r="H273" s="43" t="str">
        <x:v>Corrected transcription</x:v>
      </x:c>
      <x:c r="I273" s="43" t="str">
        <x:v>included_studies/abramova_2023_biopsy/abramova_2023_biopsy_data_calculations.xlsx, Table1_Extract</x:v>
      </x:c>
      <x:c r="J273" s="43" t="str">
        <x:v>Make the exposed identifier agree with the sex in the paired source row.</x:v>
      </x:c>
    </x:row>
    <x:row r="274">
      <x:c r="A274" s="43" t="str">
        <x:v>7 – Abramova 2023 identifiers and units</x:v>
      </x:c>
      <x:c r="B274" s="43" t="str">
        <x:v>abramova_2023_biopsy</x:v>
      </x:c>
      <x:c r="C274" s="43" t="str">
        <x:v>es190</x:v>
      </x:c>
      <x:c r="D274" s="43" t="str">
        <x:v>191</x:v>
      </x:c>
      <x:c r="E274" s="43" t="str">
        <x:v>c_a_id</x:v>
      </x:c>
      <x:c r="F274" s="43" t="str">
        <x:v>KON_f_</x:v>
      </x:c>
      <x:c r="G274" s="43" t="str">
        <x:v>KON_m_</x:v>
      </x:c>
      <x:c r="H274" s="43" t="str">
        <x:v>Corrected transcription</x:v>
      </x:c>
      <x:c r="I274" s="43" t="str">
        <x:v>included_studies/abramova_2023_biopsy/abramova_2023_biopsy_data_calculations.xlsx, Table1_Extract</x:v>
      </x:c>
      <x:c r="J274" s="43" t="str">
        <x:v>Make the control identifier agree with the sex in the paired source row.</x:v>
      </x:c>
    </x:row>
    <x:row r="275">
      <x:c r="A275" s="43" t="str">
        <x:v>7 – Abramova 2023 identifiers and units</x:v>
      </x:c>
      <x:c r="B275" s="43" t="str">
        <x:v>abramova_2023_biopsy</x:v>
      </x:c>
      <x:c r="C275" s="43" t="str">
        <x:v>es190</x:v>
      </x:c>
      <x:c r="D275" s="43" t="str">
        <x:v>191</x:v>
      </x:c>
      <x:c r="E275" s="43" t="str">
        <x:v>comparison</x:v>
      </x:c>
      <x:c r="F275" s="43" t="str">
        <x:v>KON_PS_f_</x:v>
      </x:c>
      <x:c r="G275" s="43" t="str">
        <x:v>KON_PS_m_</x:v>
      </x:c>
      <x:c r="H275" s="43" t="str">
        <x:v>Corrected transcription</x:v>
      </x:c>
      <x:c r="I275" s="43" t="str">
        <x:v>included_studies/abramova_2023_biopsy/abramova_2023_biopsy_data_calculations.xlsx, Table1_Extract</x:v>
      </x:c>
      <x:c r="J275" s="43" t="str">
        <x:v>Make the comparison identifier agree with the sex in the paired source row.</x:v>
      </x:c>
    </x:row>
    <x:row r="276">
      <x:c r="A276" s="43" t="str">
        <x:v>7 – Abramova 2023 identifiers and units</x:v>
      </x:c>
      <x:c r="B276" s="43" t="str">
        <x:v>abramova_2023_biopsy</x:v>
      </x:c>
      <x:c r="C276" s="43" t="str">
        <x:v>es190</x:v>
      </x:c>
      <x:c r="D276" s="43" t="str">
        <x:v>191</x:v>
      </x:c>
      <x:c r="E276" s="43" t="str">
        <x:v>data_file</x:v>
      </x:c>
      <x:c r="F276" s="43" t="str">
        <x:v>abramova_2023_biopsy_data.xlsx</x:v>
      </x:c>
      <x:c r="G276" s="43" t="str">
        <x:v>included_studies/abramova_2023_biopsy/abramova_2023_biopsy_data_calculations.xlsx</x:v>
      </x:c>
      <x:c r="H276" s="43" t="str">
        <x:v>Corrected transcription</x:v>
      </x:c>
      <x:c r="I276" s="43" t="str">
        <x:v>included_studies/abramova_2023_biopsy/abramova_2023_biopsy_data_calculations.xlsx, Table1_Extract</x:v>
      </x:c>
      <x:c r="J276" s="43" t="str">
        <x:v>Use the stable path to the saved extraction/calculation workbook.</x:v>
      </x:c>
    </x:row>
    <x:row r="277">
      <x:c r="A277" s="43" t="str">
        <x:v>7 – Abramova 2023 identifiers and units</x:v>
      </x:c>
      <x:c r="B277" s="43" t="str">
        <x:v>abramova_2023_biopsy</x:v>
      </x:c>
      <x:c r="C277" s="43" t="str">
        <x:v>es190</x:v>
      </x:c>
      <x:c r="D277" s="43" t="str">
        <x:v>191</x:v>
      </x:c>
      <x:c r="E277" s="43" t="str">
        <x:v>ex_a_id</x:v>
      </x:c>
      <x:c r="F277" s="43" t="str">
        <x:v>PS_f_</x:v>
      </x:c>
      <x:c r="G277" s="43" t="str">
        <x:v>PS_m_</x:v>
      </x:c>
      <x:c r="H277" s="43" t="str">
        <x:v>Corrected transcription</x:v>
      </x:c>
      <x:c r="I277" s="43" t="str">
        <x:v>included_studies/abramova_2023_biopsy/abramova_2023_biopsy_data_calculations.xlsx, Table1_Extract</x:v>
      </x:c>
      <x:c r="J277" s="43" t="str">
        <x:v>Make the exposed identifier agree with the sex in the paired source row.</x:v>
      </x:c>
    </x:row>
    <x:row r="278">
      <x:c r="A278" s="43" t="str">
        <x:v>7 – Abramova 2023 identifiers and units</x:v>
      </x:c>
      <x:c r="B278" s="43" t="str">
        <x:v>abramova_2023_biopsy</x:v>
      </x:c>
      <x:c r="C278" s="43" t="str">
        <x:v>es191</x:v>
      </x:c>
      <x:c r="D278" s="43" t="str">
        <x:v>192</x:v>
      </x:c>
      <x:c r="E278" s="43" t="str">
        <x:v>c_a_id</x:v>
      </x:c>
      <x:c r="F278" s="43" t="str">
        <x:v>KON_m_</x:v>
      </x:c>
      <x:c r="G278" s="43" t="str">
        <x:v>KON_f_</x:v>
      </x:c>
      <x:c r="H278" s="43" t="str">
        <x:v>Corrected transcription</x:v>
      </x:c>
      <x:c r="I278" s="43" t="str">
        <x:v>included_studies/abramova_2023_biopsy/abramova_2023_biopsy_data_calculations.xlsx, Table1_Extract</x:v>
      </x:c>
      <x:c r="J278" s="43" t="str">
        <x:v>Make the control identifier agree with the sex in the paired source row.</x:v>
      </x:c>
    </x:row>
    <x:row r="279">
      <x:c r="A279" s="43" t="str">
        <x:v>7 – Abramova 2023 identifiers and units</x:v>
      </x:c>
      <x:c r="B279" s="43" t="str">
        <x:v>abramova_2023_biopsy</x:v>
      </x:c>
      <x:c r="C279" s="43" t="str">
        <x:v>es191</x:v>
      </x:c>
      <x:c r="D279" s="43" t="str">
        <x:v>192</x:v>
      </x:c>
      <x:c r="E279" s="43" t="str">
        <x:v>comparison</x:v>
      </x:c>
      <x:c r="F279" s="43" t="str">
        <x:v>KON_PS_m_</x:v>
      </x:c>
      <x:c r="G279" s="43" t="str">
        <x:v>KON_PS_f_</x:v>
      </x:c>
      <x:c r="H279" s="43" t="str">
        <x:v>Corrected transcription</x:v>
      </x:c>
      <x:c r="I279" s="43" t="str">
        <x:v>included_studies/abramova_2023_biopsy/abramova_2023_biopsy_data_calculations.xlsx, Table1_Extract</x:v>
      </x:c>
      <x:c r="J279" s="43" t="str">
        <x:v>Make the comparison identifier agree with the sex in the paired source row.</x:v>
      </x:c>
    </x:row>
    <x:row r="280">
      <x:c r="A280" s="43" t="str">
        <x:v>7 – Abramova 2023 identifiers and units</x:v>
      </x:c>
      <x:c r="B280" s="43" t="str">
        <x:v>abramova_2023_biopsy</x:v>
      </x:c>
      <x:c r="C280" s="43" t="str">
        <x:v>es191</x:v>
      </x:c>
      <x:c r="D280" s="43" t="str">
        <x:v>192</x:v>
      </x:c>
      <x:c r="E280" s="43" t="str">
        <x:v>data_file</x:v>
      </x:c>
      <x:c r="F280" s="43" t="str">
        <x:v>abramova_2023_biopsy_data.xlsx</x:v>
      </x:c>
      <x:c r="G280" s="43" t="str">
        <x:v>included_studies/abramova_2023_biopsy/abramova_2023_biopsy_data_calculations.xlsx</x:v>
      </x:c>
      <x:c r="H280" s="43" t="str">
        <x:v>Corrected transcription</x:v>
      </x:c>
      <x:c r="I280" s="43" t="str">
        <x:v>included_studies/abramova_2023_biopsy/abramova_2023_biopsy_data_calculations.xlsx, Table1_Extract</x:v>
      </x:c>
      <x:c r="J280" s="43" t="str">
        <x:v>Use the stable path to the saved extraction/calculation workbook.</x:v>
      </x:c>
    </x:row>
    <x:row r="281">
      <x:c r="A281" s="43" t="str">
        <x:v>7 – Abramova 2023 identifiers and units</x:v>
      </x:c>
      <x:c r="B281" s="43" t="str">
        <x:v>abramova_2023_biopsy</x:v>
      </x:c>
      <x:c r="C281" s="43" t="str">
        <x:v>es191</x:v>
      </x:c>
      <x:c r="D281" s="43" t="str">
        <x:v>192</x:v>
      </x:c>
      <x:c r="E281" s="43" t="str">
        <x:v>ex_a_id</x:v>
      </x:c>
      <x:c r="F281" s="43" t="str">
        <x:v>PS_m_</x:v>
      </x:c>
      <x:c r="G281" s="43" t="str">
        <x:v>PS_f_</x:v>
      </x:c>
      <x:c r="H281" s="43" t="str">
        <x:v>Corrected transcription</x:v>
      </x:c>
      <x:c r="I281" s="43" t="str">
        <x:v>included_studies/abramova_2023_biopsy/abramova_2023_biopsy_data_calculations.xlsx, Table1_Extract</x:v>
      </x:c>
      <x:c r="J281" s="43" t="str">
        <x:v>Make the exposed identifier agree with the sex in the paired source row.</x:v>
      </x:c>
    </x:row>
    <x:row r="282">
      <x:c r="A282" s="43" t="str">
        <x:v>7 – Abramova 2023 identifiers and units</x:v>
      </x:c>
      <x:c r="B282" s="43" t="str">
        <x:v>abramova_2023_biopsy</x:v>
      </x:c>
      <x:c r="C282" s="43" t="str">
        <x:v>es192</x:v>
      </x:c>
      <x:c r="D282" s="43" t="str">
        <x:v>193</x:v>
      </x:c>
      <x:c r="E282" s="43" t="str">
        <x:v>c_a_id</x:v>
      </x:c>
      <x:c r="F282" s="43" t="str">
        <x:v>KON_f_</x:v>
      </x:c>
      <x:c r="G282" s="43" t="str">
        <x:v>KON_m_</x:v>
      </x:c>
      <x:c r="H282" s="43" t="str">
        <x:v>Corrected transcription</x:v>
      </x:c>
      <x:c r="I282" s="43" t="str">
        <x:v>included_studies/abramova_2023_biopsy/abramova_2023_biopsy_data_calculations.xlsx, Table1_Extract</x:v>
      </x:c>
      <x:c r="J282" s="43" t="str">
        <x:v>Make the control identifier agree with the sex in the paired source row.</x:v>
      </x:c>
    </x:row>
    <x:row r="283">
      <x:c r="A283" s="43" t="str">
        <x:v>7 – Abramova 2023 identifiers and units</x:v>
      </x:c>
      <x:c r="B283" s="43" t="str">
        <x:v>abramova_2023_biopsy</x:v>
      </x:c>
      <x:c r="C283" s="43" t="str">
        <x:v>es192</x:v>
      </x:c>
      <x:c r="D283" s="43" t="str">
        <x:v>193</x:v>
      </x:c>
      <x:c r="E283" s="43" t="str">
        <x:v>comparison</x:v>
      </x:c>
      <x:c r="F283" s="43" t="str">
        <x:v>KON_PS_f_</x:v>
      </x:c>
      <x:c r="G283" s="43" t="str">
        <x:v>KON_PS_m_</x:v>
      </x:c>
      <x:c r="H283" s="43" t="str">
        <x:v>Corrected transcription</x:v>
      </x:c>
      <x:c r="I283" s="43" t="str">
        <x:v>included_studies/abramova_2023_biopsy/abramova_2023_biopsy_data_calculations.xlsx, Table1_Extract</x:v>
      </x:c>
      <x:c r="J283" s="43" t="str">
        <x:v>Make the comparison identifier agree with the sex in the paired source row.</x:v>
      </x:c>
    </x:row>
    <x:row r="284">
      <x:c r="A284" s="43" t="str">
        <x:v>7 – Abramova 2023 identifiers and units</x:v>
      </x:c>
      <x:c r="B284" s="43" t="str">
        <x:v>abramova_2023_biopsy</x:v>
      </x:c>
      <x:c r="C284" s="43" t="str">
        <x:v>es192</x:v>
      </x:c>
      <x:c r="D284" s="43" t="str">
        <x:v>193</x:v>
      </x:c>
      <x:c r="E284" s="43" t="str">
        <x:v>data_file</x:v>
      </x:c>
      <x:c r="F284" s="43" t="str">
        <x:v>abramova_2023_biopsy_data.xlsx</x:v>
      </x:c>
      <x:c r="G284" s="43" t="str">
        <x:v>included_studies/abramova_2023_biopsy/abramova_2023_biopsy_data_calculations.xlsx</x:v>
      </x:c>
      <x:c r="H284" s="43" t="str">
        <x:v>Corrected transcription</x:v>
      </x:c>
      <x:c r="I284" s="43" t="str">
        <x:v>included_studies/abramova_2023_biopsy/abramova_2023_biopsy_data_calculations.xlsx, Table1_Extract</x:v>
      </x:c>
      <x:c r="J284" s="43" t="str">
        <x:v>Use the stable path to the saved extraction/calculation workbook.</x:v>
      </x:c>
    </x:row>
    <x:row r="285">
      <x:c r="A285" s="43" t="str">
        <x:v>7 – Abramova 2023 identifiers and units</x:v>
      </x:c>
      <x:c r="B285" s="43" t="str">
        <x:v>abramova_2023_biopsy</x:v>
      </x:c>
      <x:c r="C285" s="43" t="str">
        <x:v>es192</x:v>
      </x:c>
      <x:c r="D285" s="43" t="str">
        <x:v>193</x:v>
      </x:c>
      <x:c r="E285" s="43" t="str">
        <x:v>ex_a_id</x:v>
      </x:c>
      <x:c r="F285" s="43" t="str">
        <x:v>PS_f_</x:v>
      </x:c>
      <x:c r="G285" s="43" t="str">
        <x:v>PS_m_</x:v>
      </x:c>
      <x:c r="H285" s="43" t="str">
        <x:v>Corrected transcription</x:v>
      </x:c>
      <x:c r="I285" s="43" t="str">
        <x:v>included_studies/abramova_2023_biopsy/abramova_2023_biopsy_data_calculations.xlsx, Table1_Extract</x:v>
      </x:c>
      <x:c r="J285" s="43" t="str">
        <x:v>Make the exposed identifier agree with the sex in the paired source row.</x:v>
      </x:c>
    </x:row>
    <x:row r="286">
      <x:c r="A286" s="43" t="str">
        <x:v>7 – Abramova 2023 identifiers and units</x:v>
      </x:c>
      <x:c r="B286" s="43" t="str">
        <x:v>abramova_2023_biopsy</x:v>
      </x:c>
      <x:c r="C286" s="43" t="str">
        <x:v>es193</x:v>
      </x:c>
      <x:c r="D286" s="43" t="str">
        <x:v>194</x:v>
      </x:c>
      <x:c r="E286" s="43" t="str">
        <x:v>c_a_id</x:v>
      </x:c>
      <x:c r="F286" s="43" t="str">
        <x:v>KON_m_</x:v>
      </x:c>
      <x:c r="G286" s="43" t="str">
        <x:v>KON_f_</x:v>
      </x:c>
      <x:c r="H286" s="43" t="str">
        <x:v>Corrected transcription</x:v>
      </x:c>
      <x:c r="I286" s="43" t="str">
        <x:v>included_studies/abramova_2023_biopsy/abramova_2023_biopsy_data_calculations.xlsx, Table1_Extract</x:v>
      </x:c>
      <x:c r="J286" s="43" t="str">
        <x:v>Make the control identifier agree with the sex in the paired source row.</x:v>
      </x:c>
    </x:row>
    <x:row r="287">
      <x:c r="A287" s="43" t="str">
        <x:v>7 – Abramova 2023 identifiers and units</x:v>
      </x:c>
      <x:c r="B287" s="43" t="str">
        <x:v>abramova_2023_biopsy</x:v>
      </x:c>
      <x:c r="C287" s="43" t="str">
        <x:v>es193</x:v>
      </x:c>
      <x:c r="D287" s="43" t="str">
        <x:v>194</x:v>
      </x:c>
      <x:c r="E287" s="43" t="str">
        <x:v>comparison</x:v>
      </x:c>
      <x:c r="F287" s="43" t="str">
        <x:v>KON_PS_m_</x:v>
      </x:c>
      <x:c r="G287" s="43" t="str">
        <x:v>KON_PS_f_</x:v>
      </x:c>
      <x:c r="H287" s="43" t="str">
        <x:v>Corrected transcription</x:v>
      </x:c>
      <x:c r="I287" s="43" t="str">
        <x:v>included_studies/abramova_2023_biopsy/abramova_2023_biopsy_data_calculations.xlsx, Table1_Extract</x:v>
      </x:c>
      <x:c r="J287" s="43" t="str">
        <x:v>Make the comparison identifier agree with the sex in the paired source row.</x:v>
      </x:c>
    </x:row>
    <x:row r="288">
      <x:c r="A288" s="43" t="str">
        <x:v>7 – Abramova 2023 identifiers and units</x:v>
      </x:c>
      <x:c r="B288" s="43" t="str">
        <x:v>abramova_2023_biopsy</x:v>
      </x:c>
      <x:c r="C288" s="43" t="str">
        <x:v>es193</x:v>
      </x:c>
      <x:c r="D288" s="43" t="str">
        <x:v>194</x:v>
      </x:c>
      <x:c r="E288" s="43" t="str">
        <x:v>data_file</x:v>
      </x:c>
      <x:c r="F288" s="43" t="str">
        <x:v>abramova_2023_biopsy_data.xlsx</x:v>
      </x:c>
      <x:c r="G288" s="43" t="str">
        <x:v>included_studies/abramova_2023_biopsy/abramova_2023_biopsy_data_calculations.xlsx</x:v>
      </x:c>
      <x:c r="H288" s="43" t="str">
        <x:v>Corrected transcription</x:v>
      </x:c>
      <x:c r="I288" s="43" t="str">
        <x:v>included_studies/abramova_2023_biopsy/abramova_2023_biopsy_data_calculations.xlsx, Table1_Extract</x:v>
      </x:c>
      <x:c r="J288" s="43" t="str">
        <x:v>Use the stable path to the saved extraction/calculation workbook.</x:v>
      </x:c>
    </x:row>
    <x:row r="289">
      <x:c r="A289" s="43" t="str">
        <x:v>7 – Abramova 2023 identifiers and units</x:v>
      </x:c>
      <x:c r="B289" s="43" t="str">
        <x:v>abramova_2023_biopsy</x:v>
      </x:c>
      <x:c r="C289" s="43" t="str">
        <x:v>es193</x:v>
      </x:c>
      <x:c r="D289" s="43" t="str">
        <x:v>194</x:v>
      </x:c>
      <x:c r="E289" s="43" t="str">
        <x:v>ex_a_id</x:v>
      </x:c>
      <x:c r="F289" s="43" t="str">
        <x:v>PS_m_</x:v>
      </x:c>
      <x:c r="G289" s="43" t="str">
        <x:v>PS_f_</x:v>
      </x:c>
      <x:c r="H289" s="43" t="str">
        <x:v>Corrected transcription</x:v>
      </x:c>
      <x:c r="I289" s="43" t="str">
        <x:v>included_studies/abramova_2023_biopsy/abramova_2023_biopsy_data_calculations.xlsx, Table1_Extract</x:v>
      </x:c>
      <x:c r="J289" s="43" t="str">
        <x:v>Make the exposed identifier agree with the sex in the paired source row.</x:v>
      </x:c>
    </x:row>
    <x:row r="290">
      <x:c r="A290" s="43" t="str">
        <x:v>7 – Abramova 2023 identifiers and units</x:v>
      </x:c>
      <x:c r="B290" s="43" t="str">
        <x:v>abramova_2023_biopsy</x:v>
      </x:c>
      <x:c r="C290" s="43" t="str">
        <x:v>es194</x:v>
      </x:c>
      <x:c r="D290" s="43" t="str">
        <x:v>195</x:v>
      </x:c>
      <x:c r="E290" s="43" t="str">
        <x:v>c_a_id</x:v>
      </x:c>
      <x:c r="F290" s="43" t="str">
        <x:v>KON_f_</x:v>
      </x:c>
      <x:c r="G290" s="43" t="str">
        <x:v>KON_m_</x:v>
      </x:c>
      <x:c r="H290" s="43" t="str">
        <x:v>Corrected transcription</x:v>
      </x:c>
      <x:c r="I290" s="43" t="str">
        <x:v>included_studies/abramova_2023_biopsy/abramova_2023_biopsy_data_calculations.xlsx, Table1_Extract</x:v>
      </x:c>
      <x:c r="J290" s="43" t="str">
        <x:v>Make the control identifier agree with the sex in the paired source row.</x:v>
      </x:c>
    </x:row>
    <x:row r="291">
      <x:c r="A291" s="43" t="str">
        <x:v>7 – Abramova 2023 identifiers and units</x:v>
      </x:c>
      <x:c r="B291" s="43" t="str">
        <x:v>abramova_2023_biopsy</x:v>
      </x:c>
      <x:c r="C291" s="43" t="str">
        <x:v>es194</x:v>
      </x:c>
      <x:c r="D291" s="43" t="str">
        <x:v>195</x:v>
      </x:c>
      <x:c r="E291" s="43" t="str">
        <x:v>comparison</x:v>
      </x:c>
      <x:c r="F291" s="43" t="str">
        <x:v>KON_PS_f_</x:v>
      </x:c>
      <x:c r="G291" s="43" t="str">
        <x:v>KON_PS_m_</x:v>
      </x:c>
      <x:c r="H291" s="43" t="str">
        <x:v>Corrected transcription</x:v>
      </x:c>
      <x:c r="I291" s="43" t="str">
        <x:v>included_studies/abramova_2023_biopsy/abramova_2023_biopsy_data_calculations.xlsx, Table1_Extract</x:v>
      </x:c>
      <x:c r="J291" s="43" t="str">
        <x:v>Make the comparison identifier agree with the sex in the paired source row.</x:v>
      </x:c>
    </x:row>
    <x:row r="292">
      <x:c r="A292" s="43" t="str">
        <x:v>7 – Abramova 2023 identifiers and units</x:v>
      </x:c>
      <x:c r="B292" s="43" t="str">
        <x:v>abramova_2023_biopsy</x:v>
      </x:c>
      <x:c r="C292" s="43" t="str">
        <x:v>es194</x:v>
      </x:c>
      <x:c r="D292" s="43" t="str">
        <x:v>195</x:v>
      </x:c>
      <x:c r="E292" s="43" t="str">
        <x:v>data_file</x:v>
      </x:c>
      <x:c r="F292" s="43" t="str">
        <x:v>abramova_2023_biopsy_data.xlsx</x:v>
      </x:c>
      <x:c r="G292" s="43" t="str">
        <x:v>included_studies/abramova_2023_biopsy/abramova_2023_biopsy_data_calculations.xlsx</x:v>
      </x:c>
      <x:c r="H292" s="43" t="str">
        <x:v>Corrected transcription</x:v>
      </x:c>
      <x:c r="I292" s="43" t="str">
        <x:v>included_studies/abramova_2023_biopsy/abramova_2023_biopsy_data_calculations.xlsx, Table1_Extract</x:v>
      </x:c>
      <x:c r="J292" s="43" t="str">
        <x:v>Use the stable path to the saved extraction/calculation workbook.</x:v>
      </x:c>
    </x:row>
    <x:row r="293">
      <x:c r="A293" s="43" t="str">
        <x:v>7 – Abramova 2023 identifiers and units</x:v>
      </x:c>
      <x:c r="B293" s="43" t="str">
        <x:v>abramova_2023_biopsy</x:v>
      </x:c>
      <x:c r="C293" s="43" t="str">
        <x:v>es194</x:v>
      </x:c>
      <x:c r="D293" s="43" t="str">
        <x:v>195</x:v>
      </x:c>
      <x:c r="E293" s="43" t="str">
        <x:v>ex_a_id</x:v>
      </x:c>
      <x:c r="F293" s="43" t="str">
        <x:v>PS_f_</x:v>
      </x:c>
      <x:c r="G293" s="43" t="str">
        <x:v>PS_m_</x:v>
      </x:c>
      <x:c r="H293" s="43" t="str">
        <x:v>Corrected transcription</x:v>
      </x:c>
      <x:c r="I293" s="43" t="str">
        <x:v>included_studies/abramova_2023_biopsy/abramova_2023_biopsy_data_calculations.xlsx, Table1_Extract</x:v>
      </x:c>
      <x:c r="J293" s="43" t="str">
        <x:v>Make the exposed identifier agree with the sex in the paired source row.</x:v>
      </x:c>
    </x:row>
    <x:row r="294">
      <x:c r="A294" s="43" t="str">
        <x:v>7 – Abramova 2023 identifiers and units</x:v>
      </x:c>
      <x:c r="B294" s="43" t="str">
        <x:v>abramova_2023_biopsy</x:v>
      </x:c>
      <x:c r="C294" s="43" t="str">
        <x:v>es195</x:v>
      </x:c>
      <x:c r="D294" s="43" t="str">
        <x:v>196</x:v>
      </x:c>
      <x:c r="E294" s="43" t="str">
        <x:v>c_a_id</x:v>
      </x:c>
      <x:c r="F294" s="43" t="str">
        <x:v>KON_m_</x:v>
      </x:c>
      <x:c r="G294" s="43" t="str">
        <x:v>KON_f_</x:v>
      </x:c>
      <x:c r="H294" s="43" t="str">
        <x:v>Corrected transcription</x:v>
      </x:c>
      <x:c r="I294" s="43" t="str">
        <x:v>included_studies/abramova_2023_biopsy/abramova_2023_biopsy_data_calculations.xlsx, Table1_Extract</x:v>
      </x:c>
      <x:c r="J294" s="43" t="str">
        <x:v>Make the control identifier agree with the sex in the paired source row.</x:v>
      </x:c>
    </x:row>
    <x:row r="295">
      <x:c r="A295" s="43" t="str">
        <x:v>7 – Abramova 2023 identifiers and units</x:v>
      </x:c>
      <x:c r="B295" s="43" t="str">
        <x:v>abramova_2023_biopsy</x:v>
      </x:c>
      <x:c r="C295" s="43" t="str">
        <x:v>es195</x:v>
      </x:c>
      <x:c r="D295" s="43" t="str">
        <x:v>196</x:v>
      </x:c>
      <x:c r="E295" s="43" t="str">
        <x:v>comparison</x:v>
      </x:c>
      <x:c r="F295" s="43" t="str">
        <x:v>KON_PS_m_</x:v>
      </x:c>
      <x:c r="G295" s="43" t="str">
        <x:v>KON_PS_f_</x:v>
      </x:c>
      <x:c r="H295" s="43" t="str">
        <x:v>Corrected transcription</x:v>
      </x:c>
      <x:c r="I295" s="43" t="str">
        <x:v>included_studies/abramova_2023_biopsy/abramova_2023_biopsy_data_calculations.xlsx, Table1_Extract</x:v>
      </x:c>
      <x:c r="J295" s="43" t="str">
        <x:v>Make the comparison identifier agree with the sex in the paired source row.</x:v>
      </x:c>
    </x:row>
    <x:row r="296">
      <x:c r="A296" s="43" t="str">
        <x:v>7 – Abramova 2023 identifiers and units</x:v>
      </x:c>
      <x:c r="B296" s="43" t="str">
        <x:v>abramova_2023_biopsy</x:v>
      </x:c>
      <x:c r="C296" s="43" t="str">
        <x:v>es195</x:v>
      </x:c>
      <x:c r="D296" s="43" t="str">
        <x:v>196</x:v>
      </x:c>
      <x:c r="E296" s="43" t="str">
        <x:v>data_file</x:v>
      </x:c>
      <x:c r="F296" s="43" t="str">
        <x:v>abramova_2023_biopsy_data.xlsx</x:v>
      </x:c>
      <x:c r="G296" s="43" t="str">
        <x:v>included_studies/abramova_2023_biopsy/abramova_2023_biopsy_data_calculations.xlsx</x:v>
      </x:c>
      <x:c r="H296" s="43" t="str">
        <x:v>Corrected transcription</x:v>
      </x:c>
      <x:c r="I296" s="43" t="str">
        <x:v>included_studies/abramova_2023_biopsy/abramova_2023_biopsy_data_calculations.xlsx, Table1_Extract</x:v>
      </x:c>
      <x:c r="J296" s="43" t="str">
        <x:v>Use the stable path to the saved extraction/calculation workbook.</x:v>
      </x:c>
    </x:row>
    <x:row r="297">
      <x:c r="A297" s="43" t="str">
        <x:v>7 – Abramova 2023 identifiers and units</x:v>
      </x:c>
      <x:c r="B297" s="43" t="str">
        <x:v>abramova_2023_biopsy</x:v>
      </x:c>
      <x:c r="C297" s="43" t="str">
        <x:v>es195</x:v>
      </x:c>
      <x:c r="D297" s="43" t="str">
        <x:v>196</x:v>
      </x:c>
      <x:c r="E297" s="43" t="str">
        <x:v>ex_a_id</x:v>
      </x:c>
      <x:c r="F297" s="43" t="str">
        <x:v>PS_m_</x:v>
      </x:c>
      <x:c r="G297" s="43" t="str">
        <x:v>PS_f_</x:v>
      </x:c>
      <x:c r="H297" s="43" t="str">
        <x:v>Corrected transcription</x:v>
      </x:c>
      <x:c r="I297" s="43" t="str">
        <x:v>included_studies/abramova_2023_biopsy/abramova_2023_biopsy_data_calculations.xlsx, Table1_Extract</x:v>
      </x:c>
      <x:c r="J297" s="43" t="str">
        <x:v>Make the exposed identifier agree with the sex in the paired source row.</x:v>
      </x:c>
    </x:row>
    <x:row r="298">
      <x:c r="A298" s="43" t="str">
        <x:v>7 – Abramova 2023 identifiers and units</x:v>
      </x:c>
      <x:c r="B298" s="43" t="str">
        <x:v>abramova_2023_biopsy</x:v>
      </x:c>
      <x:c r="C298" s="43" t="str">
        <x:v>es196</x:v>
      </x:c>
      <x:c r="D298" s="43" t="str">
        <x:v>197</x:v>
      </x:c>
      <x:c r="E298" s="43" t="str">
        <x:v>c_a_id</x:v>
      </x:c>
      <x:c r="F298" s="43" t="str">
        <x:v>KON_f_</x:v>
      </x:c>
      <x:c r="G298" s="43" t="str">
        <x:v>KON_m_</x:v>
      </x:c>
      <x:c r="H298" s="43" t="str">
        <x:v>Corrected transcription</x:v>
      </x:c>
      <x:c r="I298" s="43" t="str">
        <x:v>included_studies/abramova_2023_biopsy/abramova_2023_biopsy_data_calculations.xlsx, Table1_Extract</x:v>
      </x:c>
      <x:c r="J298" s="43" t="str">
        <x:v>Make the control identifier agree with the sex in the paired source row.</x:v>
      </x:c>
    </x:row>
    <x:row r="299">
      <x:c r="A299" s="43" t="str">
        <x:v>7 – Abramova 2023 identifiers and units</x:v>
      </x:c>
      <x:c r="B299" s="43" t="str">
        <x:v>abramova_2023_biopsy</x:v>
      </x:c>
      <x:c r="C299" s="43" t="str">
        <x:v>es196</x:v>
      </x:c>
      <x:c r="D299" s="43" t="str">
        <x:v>197</x:v>
      </x:c>
      <x:c r="E299" s="43" t="str">
        <x:v>comparison</x:v>
      </x:c>
      <x:c r="F299" s="43" t="str">
        <x:v>KON_PS_f_</x:v>
      </x:c>
      <x:c r="G299" s="43" t="str">
        <x:v>KON_PS_m_</x:v>
      </x:c>
      <x:c r="H299" s="43" t="str">
        <x:v>Corrected transcription</x:v>
      </x:c>
      <x:c r="I299" s="43" t="str">
        <x:v>included_studies/abramova_2023_biopsy/abramova_2023_biopsy_data_calculations.xlsx, Table1_Extract</x:v>
      </x:c>
      <x:c r="J299" s="43" t="str">
        <x:v>Make the comparison identifier agree with the sex in the paired source row.</x:v>
      </x:c>
    </x:row>
    <x:row r="300">
      <x:c r="A300" s="43" t="str">
        <x:v>7 – Abramova 2023 identifiers and units</x:v>
      </x:c>
      <x:c r="B300" s="43" t="str">
        <x:v>abramova_2023_biopsy</x:v>
      </x:c>
      <x:c r="C300" s="43" t="str">
        <x:v>es196</x:v>
      </x:c>
      <x:c r="D300" s="43" t="str">
        <x:v>197</x:v>
      </x:c>
      <x:c r="E300" s="43" t="str">
        <x:v>data_file</x:v>
      </x:c>
      <x:c r="F300" s="43" t="str">
        <x:v>abramova_2023_biopsy_data.xlsx</x:v>
      </x:c>
      <x:c r="G300" s="43" t="str">
        <x:v>included_studies/abramova_2023_biopsy/abramova_2023_biopsy_data_calculations.xlsx</x:v>
      </x:c>
      <x:c r="H300" s="43" t="str">
        <x:v>Corrected transcription</x:v>
      </x:c>
      <x:c r="I300" s="43" t="str">
        <x:v>included_studies/abramova_2023_biopsy/abramova_2023_biopsy_data_calculations.xlsx, Table1_Extract</x:v>
      </x:c>
      <x:c r="J300" s="43" t="str">
        <x:v>Use the stable path to the saved extraction/calculation workbook.</x:v>
      </x:c>
    </x:row>
    <x:row r="301">
      <x:c r="A301" s="43" t="str">
        <x:v>7 – Abramova 2023 identifiers and units</x:v>
      </x:c>
      <x:c r="B301" s="43" t="str">
        <x:v>abramova_2023_biopsy</x:v>
      </x:c>
      <x:c r="C301" s="43" t="str">
        <x:v>es196</x:v>
      </x:c>
      <x:c r="D301" s="43" t="str">
        <x:v>197</x:v>
      </x:c>
      <x:c r="E301" s="43" t="str">
        <x:v>data_type</x:v>
      </x:c>
      <x:c r="F301" s="43" t="str">
        <x:v>Percentage</x:v>
      </x:c>
      <x:c r="G301" s="43" t="str">
        <x:v>Time</x:v>
      </x:c>
      <x:c r="H301" s="43" t="str">
        <x:v>Corrected transcription</x:v>
      </x:c>
      <x:c r="I301" s="43" t="str">
        <x:v>included_studies/abramova_2023_biopsy/abramova_2023_biopsy_data_calculations.xlsx, Table1_Extract</x:v>
      </x:c>
      <x:c r="J301" s="43" t="str">
        <x:v>Mean grooming duration is a duration, not a percentage.</x:v>
      </x:c>
    </x:row>
    <x:row r="302">
      <x:c r="A302" s="43" t="str">
        <x:v>7 – Abramova 2023 identifiers and units</x:v>
      </x:c>
      <x:c r="B302" s="43" t="str">
        <x:v>abramova_2023_biopsy</x:v>
      </x:c>
      <x:c r="C302" s="43" t="str">
        <x:v>es196</x:v>
      </x:c>
      <x:c r="D302" s="43" t="str">
        <x:v>197</x:v>
      </x:c>
      <x:c r="E302" s="43" t="str">
        <x:v>data_units</x:v>
      </x:c>
      <x:c r="F302" s="43" t="str">
        <x:v>%</x:v>
      </x:c>
      <x:c r="G302" s="43" t="str">
        <x:v>s</x:v>
      </x:c>
      <x:c r="H302" s="43" t="str">
        <x:v>Corrected transcription</x:v>
      </x:c>
      <x:c r="I302" s="43" t="str">
        <x:v>included_studies/abramova_2023_biopsy/abramova_2023_biopsy_data_calculations.xlsx, Table1_Extract</x:v>
      </x:c>
      <x:c r="J302" s="43" t="str">
        <x:v>The source table reports mean grooming duration in seconds.</x:v>
      </x:c>
    </x:row>
    <x:row r="303">
      <x:c r="A303" s="43" t="str">
        <x:v>7 – Abramova 2023 identifiers and units</x:v>
      </x:c>
      <x:c r="B303" s="43" t="str">
        <x:v>abramova_2023_biopsy</x:v>
      </x:c>
      <x:c r="C303" s="43" t="str">
        <x:v>es196</x:v>
      </x:c>
      <x:c r="D303" s="43" t="str">
        <x:v>197</x:v>
      </x:c>
      <x:c r="E303" s="43" t="str">
        <x:v>ex_a_id</x:v>
      </x:c>
      <x:c r="F303" s="43" t="str">
        <x:v>PS_f_</x:v>
      </x:c>
      <x:c r="G303" s="43" t="str">
        <x:v>PS_m_</x:v>
      </x:c>
      <x:c r="H303" s="43" t="str">
        <x:v>Corrected transcription</x:v>
      </x:c>
      <x:c r="I303" s="43" t="str">
        <x:v>included_studies/abramova_2023_biopsy/abramova_2023_biopsy_data_calculations.xlsx, Table1_Extract</x:v>
      </x:c>
      <x:c r="J303" s="43" t="str">
        <x:v>Make the exposed identifier agree with the sex in the paired source row.</x:v>
      </x:c>
    </x:row>
    <x:row r="304">
      <x:c r="A304" s="43" t="str">
        <x:v>7 – Abramova 2023 identifiers and units</x:v>
      </x:c>
      <x:c r="B304" s="43" t="str">
        <x:v>abramova_2023_biopsy</x:v>
      </x:c>
      <x:c r="C304" s="43" t="str">
        <x:v>es197</x:v>
      </x:c>
      <x:c r="D304" s="43" t="str">
        <x:v>198</x:v>
      </x:c>
      <x:c r="E304" s="43" t="str">
        <x:v>c_a_id</x:v>
      </x:c>
      <x:c r="F304" s="43" t="str">
        <x:v>KON_m_</x:v>
      </x:c>
      <x:c r="G304" s="43" t="str">
        <x:v>KON_f_</x:v>
      </x:c>
      <x:c r="H304" s="43" t="str">
        <x:v>Corrected transcription</x:v>
      </x:c>
      <x:c r="I304" s="43" t="str">
        <x:v>included_studies/abramova_2023_biopsy/abramova_2023_biopsy_data_calculations.xlsx, Table1_Extract</x:v>
      </x:c>
      <x:c r="J304" s="43" t="str">
        <x:v>Make the control identifier agree with the sex in the paired source row.</x:v>
      </x:c>
    </x:row>
    <x:row r="305">
      <x:c r="A305" s="43" t="str">
        <x:v>7 – Abramova 2023 identifiers and units</x:v>
      </x:c>
      <x:c r="B305" s="43" t="str">
        <x:v>abramova_2023_biopsy</x:v>
      </x:c>
      <x:c r="C305" s="43" t="str">
        <x:v>es197</x:v>
      </x:c>
      <x:c r="D305" s="43" t="str">
        <x:v>198</x:v>
      </x:c>
      <x:c r="E305" s="43" t="str">
        <x:v>comparison</x:v>
      </x:c>
      <x:c r="F305" s="43" t="str">
        <x:v>KON_PS_m_</x:v>
      </x:c>
      <x:c r="G305" s="43" t="str">
        <x:v>KON_PS_f_</x:v>
      </x:c>
      <x:c r="H305" s="43" t="str">
        <x:v>Corrected transcription</x:v>
      </x:c>
      <x:c r="I305" s="43" t="str">
        <x:v>included_studies/abramova_2023_biopsy/abramova_2023_biopsy_data_calculations.xlsx, Table1_Extract</x:v>
      </x:c>
      <x:c r="J305" s="43" t="str">
        <x:v>Make the comparison identifier agree with the sex in the paired source row.</x:v>
      </x:c>
    </x:row>
    <x:row r="306">
      <x:c r="A306" s="43" t="str">
        <x:v>7 – Abramova 2023 identifiers and units</x:v>
      </x:c>
      <x:c r="B306" s="43" t="str">
        <x:v>abramova_2023_biopsy</x:v>
      </x:c>
      <x:c r="C306" s="43" t="str">
        <x:v>es197</x:v>
      </x:c>
      <x:c r="D306" s="43" t="str">
        <x:v>198</x:v>
      </x:c>
      <x:c r="E306" s="43" t="str">
        <x:v>data_file</x:v>
      </x:c>
      <x:c r="F306" s="43" t="str">
        <x:v>abramova_2023_biopsy_data.xlsx</x:v>
      </x:c>
      <x:c r="G306" s="43" t="str">
        <x:v>included_studies/abramova_2023_biopsy/abramova_2023_biopsy_data_calculations.xlsx</x:v>
      </x:c>
      <x:c r="H306" s="43" t="str">
        <x:v>Corrected transcription</x:v>
      </x:c>
      <x:c r="I306" s="43" t="str">
        <x:v>included_studies/abramova_2023_biopsy/abramova_2023_biopsy_data_calculations.xlsx, Table1_Extract</x:v>
      </x:c>
      <x:c r="J306" s="43" t="str">
        <x:v>Use the stable path to the saved extraction/calculation workbook.</x:v>
      </x:c>
    </x:row>
    <x:row r="307">
      <x:c r="A307" s="43" t="str">
        <x:v>7 – Abramova 2023 identifiers and units</x:v>
      </x:c>
      <x:c r="B307" s="43" t="str">
        <x:v>abramova_2023_biopsy</x:v>
      </x:c>
      <x:c r="C307" s="43" t="str">
        <x:v>es197</x:v>
      </x:c>
      <x:c r="D307" s="43" t="str">
        <x:v>198</x:v>
      </x:c>
      <x:c r="E307" s="43" t="str">
        <x:v>data_type</x:v>
      </x:c>
      <x:c r="F307" s="43" t="str">
        <x:v>Percentage</x:v>
      </x:c>
      <x:c r="G307" s="43" t="str">
        <x:v>Time</x:v>
      </x:c>
      <x:c r="H307" s="43" t="str">
        <x:v>Corrected transcription</x:v>
      </x:c>
      <x:c r="I307" s="43" t="str">
        <x:v>included_studies/abramova_2023_biopsy/abramova_2023_biopsy_data_calculations.xlsx, Table1_Extract</x:v>
      </x:c>
      <x:c r="J307" s="43" t="str">
        <x:v>Mean grooming duration is a duration, not a percentage.</x:v>
      </x:c>
    </x:row>
    <x:row r="308">
      <x:c r="A308" s="43" t="str">
        <x:v>7 – Abramova 2023 identifiers and units</x:v>
      </x:c>
      <x:c r="B308" s="43" t="str">
        <x:v>abramova_2023_biopsy</x:v>
      </x:c>
      <x:c r="C308" s="43" t="str">
        <x:v>es197</x:v>
      </x:c>
      <x:c r="D308" s="43" t="str">
        <x:v>198</x:v>
      </x:c>
      <x:c r="E308" s="43" t="str">
        <x:v>data_units</x:v>
      </x:c>
      <x:c r="F308" s="43" t="str">
        <x:v>%</x:v>
      </x:c>
      <x:c r="G308" s="43" t="str">
        <x:v>s</x:v>
      </x:c>
      <x:c r="H308" s="43" t="str">
        <x:v>Corrected transcription</x:v>
      </x:c>
      <x:c r="I308" s="43" t="str">
        <x:v>included_studies/abramova_2023_biopsy/abramova_2023_biopsy_data_calculations.xlsx, Table1_Extract</x:v>
      </x:c>
      <x:c r="J308" s="43" t="str">
        <x:v>The source table reports mean grooming duration in seconds.</x:v>
      </x:c>
    </x:row>
    <x:row r="309">
      <x:c r="A309" s="43" t="str">
        <x:v>7 – Abramova 2023 identifiers and units</x:v>
      </x:c>
      <x:c r="B309" s="43" t="str">
        <x:v>abramova_2023_biopsy</x:v>
      </x:c>
      <x:c r="C309" s="43" t="str">
        <x:v>es197</x:v>
      </x:c>
      <x:c r="D309" s="43" t="str">
        <x:v>198</x:v>
      </x:c>
      <x:c r="E309" s="43" t="str">
        <x:v>ex_a_id</x:v>
      </x:c>
      <x:c r="F309" s="43" t="str">
        <x:v>PS_m_</x:v>
      </x:c>
      <x:c r="G309" s="43" t="str">
        <x:v>PS_f_</x:v>
      </x:c>
      <x:c r="H309" s="43" t="str">
        <x:v>Corrected transcription</x:v>
      </x:c>
      <x:c r="I309" s="43" t="str">
        <x:v>included_studies/abramova_2023_biopsy/abramova_2023_biopsy_data_calculations.xlsx, Table1_Extract</x:v>
      </x:c>
      <x:c r="J309" s="43" t="str">
        <x:v>Make the exposed identifier agree with the sex in the paired source row.</x:v>
      </x:c>
    </x:row>
    <x:row r="310">
      <x:c r="A310" s="43" t="str">
        <x:v>7 – Abramova 2023 identifiers and units</x:v>
      </x:c>
      <x:c r="B310" s="43" t="str">
        <x:v>abramova_2023_biopsy</x:v>
      </x:c>
      <x:c r="C310" s="43" t="str">
        <x:v>es198</x:v>
      </x:c>
      <x:c r="D310" s="43" t="str">
        <x:v>199</x:v>
      </x:c>
      <x:c r="E310" s="43" t="str">
        <x:v>c_a_id</x:v>
      </x:c>
      <x:c r="F310" s="43" t="str">
        <x:v>KON_f_</x:v>
      </x:c>
      <x:c r="G310" s="43" t="str">
        <x:v>KON_m_</x:v>
      </x:c>
      <x:c r="H310" s="43" t="str">
        <x:v>Corrected transcription</x:v>
      </x:c>
      <x:c r="I310" s="43" t="str">
        <x:v>included_studies/abramova_2023_biopsy/abramova_2023_biopsy_data_calculations.xlsx, Table1_Extract</x:v>
      </x:c>
      <x:c r="J310" s="43" t="str">
        <x:v>Make the control identifier agree with the sex in the paired source row.</x:v>
      </x:c>
    </x:row>
    <x:row r="311">
      <x:c r="A311" s="43" t="str">
        <x:v>7 – Abramova 2023 identifiers and units</x:v>
      </x:c>
      <x:c r="B311" s="43" t="str">
        <x:v>abramova_2023_biopsy</x:v>
      </x:c>
      <x:c r="C311" s="43" t="str">
        <x:v>es198</x:v>
      </x:c>
      <x:c r="D311" s="43" t="str">
        <x:v>199</x:v>
      </x:c>
      <x:c r="E311" s="43" t="str">
        <x:v>comparison</x:v>
      </x:c>
      <x:c r="F311" s="43" t="str">
        <x:v>KON_PS_f_</x:v>
      </x:c>
      <x:c r="G311" s="43" t="str">
        <x:v>KON_PS_m_</x:v>
      </x:c>
      <x:c r="H311" s="43" t="str">
        <x:v>Corrected transcription</x:v>
      </x:c>
      <x:c r="I311" s="43" t="str">
        <x:v>included_studies/abramova_2023_biopsy/abramova_2023_biopsy_data_calculations.xlsx, Table1_Extract</x:v>
      </x:c>
      <x:c r="J311" s="43" t="str">
        <x:v>Make the comparison identifier agree with the sex in the paired source row.</x:v>
      </x:c>
    </x:row>
    <x:row r="312">
      <x:c r="A312" s="43" t="str">
        <x:v>7 – Abramova 2023 identifiers and units</x:v>
      </x:c>
      <x:c r="B312" s="43" t="str">
        <x:v>abramova_2023_biopsy</x:v>
      </x:c>
      <x:c r="C312" s="43" t="str">
        <x:v>es198</x:v>
      </x:c>
      <x:c r="D312" s="43" t="str">
        <x:v>199</x:v>
      </x:c>
      <x:c r="E312" s="43" t="str">
        <x:v>data_file</x:v>
      </x:c>
      <x:c r="F312" s="43" t="str">
        <x:v>abramova_2023_biopsy_data.xlsx</x:v>
      </x:c>
      <x:c r="G312" s="43" t="str">
        <x:v>included_studies/abramova_2023_biopsy/abramova_2023_biopsy_data_calculations.xlsx</x:v>
      </x:c>
      <x:c r="H312" s="43" t="str">
        <x:v>Corrected transcription</x:v>
      </x:c>
      <x:c r="I312" s="43" t="str">
        <x:v>included_studies/abramova_2023_biopsy/abramova_2023_biopsy_data_calculations.xlsx, Table1_Extract</x:v>
      </x:c>
      <x:c r="J312" s="43" t="str">
        <x:v>Use the stable path to the saved extraction/calculation workbook.</x:v>
      </x:c>
    </x:row>
    <x:row r="313">
      <x:c r="A313" s="43" t="str">
        <x:v>7 – Abramova 2023 identifiers and units</x:v>
      </x:c>
      <x:c r="B313" s="43" t="str">
        <x:v>abramova_2023_biopsy</x:v>
      </x:c>
      <x:c r="C313" s="43" t="str">
        <x:v>es198</x:v>
      </x:c>
      <x:c r="D313" s="43" t="str">
        <x:v>199</x:v>
      </x:c>
      <x:c r="E313" s="43" t="str">
        <x:v>ex_a_id</x:v>
      </x:c>
      <x:c r="F313" s="43" t="str">
        <x:v>PS_f_</x:v>
      </x:c>
      <x:c r="G313" s="43" t="str">
        <x:v>PS_m_</x:v>
      </x:c>
      <x:c r="H313" s="43" t="str">
        <x:v>Corrected transcription</x:v>
      </x:c>
      <x:c r="I313" s="43" t="str">
        <x:v>included_studies/abramova_2023_biopsy/abramova_2023_biopsy_data_calculations.xlsx, Table1_Extract</x:v>
      </x:c>
      <x:c r="J313" s="43" t="str">
        <x:v>Make the exposed identifier agree with the sex in the paired source row.</x:v>
      </x:c>
    </x:row>
    <x:row r="314">
      <x:c r="A314" s="43" t="str">
        <x:v>7 – Abramova 2023 identifiers and units</x:v>
      </x:c>
      <x:c r="B314" s="43" t="str">
        <x:v>abramova_2023_biopsy</x:v>
      </x:c>
      <x:c r="C314" s="43" t="str">
        <x:v>es199</x:v>
      </x:c>
      <x:c r="D314" s="43" t="str">
        <x:v>200</x:v>
      </x:c>
      <x:c r="E314" s="43" t="str">
        <x:v>c_a_id</x:v>
      </x:c>
      <x:c r="F314" s="43" t="str">
        <x:v>KON_m_</x:v>
      </x:c>
      <x:c r="G314" s="43" t="str">
        <x:v>KON_f_</x:v>
      </x:c>
      <x:c r="H314" s="43" t="str">
        <x:v>Corrected transcription</x:v>
      </x:c>
      <x:c r="I314" s="43" t="str">
        <x:v>included_studies/abramova_2023_biopsy/abramova_2023_biopsy_data_calculations.xlsx, Table1_Extract</x:v>
      </x:c>
      <x:c r="J314" s="43" t="str">
        <x:v>Make the control identifier agree with the sex in the paired source row.</x:v>
      </x:c>
    </x:row>
    <x:row r="315">
      <x:c r="A315" s="43" t="str">
        <x:v>7 – Abramova 2023 identifiers and units</x:v>
      </x:c>
      <x:c r="B315" s="43" t="str">
        <x:v>abramova_2023_biopsy</x:v>
      </x:c>
      <x:c r="C315" s="43" t="str">
        <x:v>es199</x:v>
      </x:c>
      <x:c r="D315" s="43" t="str">
        <x:v>200</x:v>
      </x:c>
      <x:c r="E315" s="43" t="str">
        <x:v>comparison</x:v>
      </x:c>
      <x:c r="F315" s="43" t="str">
        <x:v>KON_PS_m_</x:v>
      </x:c>
      <x:c r="G315" s="43" t="str">
        <x:v>KON_PS_f_</x:v>
      </x:c>
      <x:c r="H315" s="43" t="str">
        <x:v>Corrected transcription</x:v>
      </x:c>
      <x:c r="I315" s="43" t="str">
        <x:v>included_studies/abramova_2023_biopsy/abramova_2023_biopsy_data_calculations.xlsx, Table1_Extract</x:v>
      </x:c>
      <x:c r="J315" s="43" t="str">
        <x:v>Make the comparison identifier agree with the sex in the paired source row.</x:v>
      </x:c>
    </x:row>
    <x:row r="316">
      <x:c r="A316" s="43" t="str">
        <x:v>7 – Abramova 2023 identifiers and units</x:v>
      </x:c>
      <x:c r="B316" s="43" t="str">
        <x:v>abramova_2023_biopsy</x:v>
      </x:c>
      <x:c r="C316" s="43" t="str">
        <x:v>es199</x:v>
      </x:c>
      <x:c r="D316" s="43" t="str">
        <x:v>200</x:v>
      </x:c>
      <x:c r="E316" s="43" t="str">
        <x:v>data_file</x:v>
      </x:c>
      <x:c r="F316" s="43" t="str">
        <x:v>abramova_2023_biopsy_data.xlsx</x:v>
      </x:c>
      <x:c r="G316" s="43" t="str">
        <x:v>included_studies/abramova_2023_biopsy/abramova_2023_biopsy_data_calculations.xlsx</x:v>
      </x:c>
      <x:c r="H316" s="43" t="str">
        <x:v>Corrected transcription</x:v>
      </x:c>
      <x:c r="I316" s="43" t="str">
        <x:v>included_studies/abramova_2023_biopsy/abramova_2023_biopsy_data_calculations.xlsx, Table1_Extract</x:v>
      </x:c>
      <x:c r="J316" s="43" t="str">
        <x:v>Use the stable path to the saved extraction/calculation workbook.</x:v>
      </x:c>
    </x:row>
    <x:row r="317">
      <x:c r="A317" s="43" t="str">
        <x:v>7 – Abramova 2023 identifiers and units</x:v>
      </x:c>
      <x:c r="B317" s="43" t="str">
        <x:v>abramova_2023_biopsy</x:v>
      </x:c>
      <x:c r="C317" s="43" t="str">
        <x:v>es199</x:v>
      </x:c>
      <x:c r="D317" s="43" t="str">
        <x:v>200</x:v>
      </x:c>
      <x:c r="E317" s="43" t="str">
        <x:v>ex_a_id</x:v>
      </x:c>
      <x:c r="F317" s="43" t="str">
        <x:v>PS_m_</x:v>
      </x:c>
      <x:c r="G317" s="43" t="str">
        <x:v>PS_f_</x:v>
      </x:c>
      <x:c r="H317" s="43" t="str">
        <x:v>Corrected transcription</x:v>
      </x:c>
      <x:c r="I317" s="43" t="str">
        <x:v>included_studies/abramova_2023_biopsy/abramova_2023_biopsy_data_calculations.xlsx, Table1_Extract</x:v>
      </x:c>
      <x:c r="J317" s="43" t="str">
        <x:v>Make the exposed identifier agree with the sex in the paired source row.</x:v>
      </x:c>
    </x:row>
    <x:row r="318">
      <x:c r="A318" s="43" t="str">
        <x:v>7 – Abramova 2023 identifiers and units</x:v>
      </x:c>
      <x:c r="B318" s="43" t="str">
        <x:v>abramova_2023_biopsy</x:v>
      </x:c>
      <x:c r="C318" s="43" t="str">
        <x:v>es200</x:v>
      </x:c>
      <x:c r="D318" s="43" t="str">
        <x:v>201</x:v>
      </x:c>
      <x:c r="E318" s="43" t="str">
        <x:v>c_a_id</x:v>
      </x:c>
      <x:c r="F318" s="43" t="str">
        <x:v>KON_f_</x:v>
      </x:c>
      <x:c r="G318" s="43" t="str">
        <x:v>KON_m_</x:v>
      </x:c>
      <x:c r="H318" s="43" t="str">
        <x:v>Corrected transcription</x:v>
      </x:c>
      <x:c r="I318" s="43" t="str">
        <x:v>included_studies/abramova_2023_biopsy/abramova_2023_biopsy_data_calculations.xlsx, Table1_Extract</x:v>
      </x:c>
      <x:c r="J318" s="43" t="str">
        <x:v>Make the control identifier agree with the sex in the paired source row.</x:v>
      </x:c>
    </x:row>
    <x:row r="319">
      <x:c r="A319" s="43" t="str">
        <x:v>7 – Abramova 2023 identifiers and units</x:v>
      </x:c>
      <x:c r="B319" s="43" t="str">
        <x:v>abramova_2023_biopsy</x:v>
      </x:c>
      <x:c r="C319" s="43" t="str">
        <x:v>es200</x:v>
      </x:c>
      <x:c r="D319" s="43" t="str">
        <x:v>201</x:v>
      </x:c>
      <x:c r="E319" s="43" t="str">
        <x:v>comparison</x:v>
      </x:c>
      <x:c r="F319" s="43" t="str">
        <x:v>KON_PS_f_</x:v>
      </x:c>
      <x:c r="G319" s="43" t="str">
        <x:v>KON_PS_m_</x:v>
      </x:c>
      <x:c r="H319" s="43" t="str">
        <x:v>Corrected transcription</x:v>
      </x:c>
      <x:c r="I319" s="43" t="str">
        <x:v>included_studies/abramova_2023_biopsy/abramova_2023_biopsy_data_calculations.xlsx, Table1_Extract</x:v>
      </x:c>
      <x:c r="J319" s="43" t="str">
        <x:v>Make the comparison identifier agree with the sex in the paired source row.</x:v>
      </x:c>
    </x:row>
    <x:row r="320">
      <x:c r="A320" s="43" t="str">
        <x:v>7 – Abramova 2023 identifiers and units</x:v>
      </x:c>
      <x:c r="B320" s="43" t="str">
        <x:v>abramova_2023_biopsy</x:v>
      </x:c>
      <x:c r="C320" s="43" t="str">
        <x:v>es200</x:v>
      </x:c>
      <x:c r="D320" s="43" t="str">
        <x:v>201</x:v>
      </x:c>
      <x:c r="E320" s="43" t="str">
        <x:v>data_file</x:v>
      </x:c>
      <x:c r="F320" s="43" t="str">
        <x:v>abramova_2023_biopsy_data.xlsx</x:v>
      </x:c>
      <x:c r="G320" s="43" t="str">
        <x:v>included_studies/abramova_2023_biopsy/abramova_2023_biopsy_data_calculations.xlsx</x:v>
      </x:c>
      <x:c r="H320" s="43" t="str">
        <x:v>Corrected transcription</x:v>
      </x:c>
      <x:c r="I320" s="43" t="str">
        <x:v>included_studies/abramova_2023_biopsy/abramova_2023_biopsy_data_calculations.xlsx, Table1_Extract</x:v>
      </x:c>
      <x:c r="J320" s="43" t="str">
        <x:v>Use the stable path to the saved extraction/calculation workbook.</x:v>
      </x:c>
    </x:row>
    <x:row r="321">
      <x:c r="A321" s="43" t="str">
        <x:v>7 – Abramova 2023 identifiers and units</x:v>
      </x:c>
      <x:c r="B321" s="43" t="str">
        <x:v>abramova_2023_biopsy</x:v>
      </x:c>
      <x:c r="C321" s="43" t="str">
        <x:v>es200</x:v>
      </x:c>
      <x:c r="D321" s="43" t="str">
        <x:v>201</x:v>
      </x:c>
      <x:c r="E321" s="43" t="str">
        <x:v>ex_a_id</x:v>
      </x:c>
      <x:c r="F321" s="43" t="str">
        <x:v>PS_f_</x:v>
      </x:c>
      <x:c r="G321" s="43" t="str">
        <x:v>PS_m_</x:v>
      </x:c>
      <x:c r="H321" s="43" t="str">
        <x:v>Corrected transcription</x:v>
      </x:c>
      <x:c r="I321" s="43" t="str">
        <x:v>included_studies/abramova_2023_biopsy/abramova_2023_biopsy_data_calculations.xlsx, Table1_Extract</x:v>
      </x:c>
      <x:c r="J321" s="43" t="str">
        <x:v>Make the exposed identifier agree with the sex in the paired source row.</x:v>
      </x:c>
    </x:row>
    <x:row r="322">
      <x:c r="A322" s="43" t="str">
        <x:v>7 – Abramova 2023 identifiers and units</x:v>
      </x:c>
      <x:c r="B322" s="43" t="str">
        <x:v>abramova_2023_biopsy</x:v>
      </x:c>
      <x:c r="C322" s="43" t="str">
        <x:v>es201</x:v>
      </x:c>
      <x:c r="D322" s="43" t="str">
        <x:v>202</x:v>
      </x:c>
      <x:c r="E322" s="43" t="str">
        <x:v>c_a_id</x:v>
      </x:c>
      <x:c r="F322" s="43" t="str">
        <x:v>KON_m_</x:v>
      </x:c>
      <x:c r="G322" s="43" t="str">
        <x:v>KON_f_</x:v>
      </x:c>
      <x:c r="H322" s="43" t="str">
        <x:v>Corrected transcription</x:v>
      </x:c>
      <x:c r="I322" s="43" t="str">
        <x:v>included_studies/abramova_2023_biopsy/abramova_2023_biopsy_data_calculations.xlsx, Table1_Extract</x:v>
      </x:c>
      <x:c r="J322" s="43" t="str">
        <x:v>Make the control identifier agree with the sex in the paired source row.</x:v>
      </x:c>
    </x:row>
    <x:row r="323">
      <x:c r="A323" s="43" t="str">
        <x:v>7 – Abramova 2023 identifiers and units</x:v>
      </x:c>
      <x:c r="B323" s="43" t="str">
        <x:v>abramova_2023_biopsy</x:v>
      </x:c>
      <x:c r="C323" s="43" t="str">
        <x:v>es201</x:v>
      </x:c>
      <x:c r="D323" s="43" t="str">
        <x:v>202</x:v>
      </x:c>
      <x:c r="E323" s="43" t="str">
        <x:v>comparison</x:v>
      </x:c>
      <x:c r="F323" s="43" t="str">
        <x:v>KON_PS_m_</x:v>
      </x:c>
      <x:c r="G323" s="43" t="str">
        <x:v>KON_PS_f_</x:v>
      </x:c>
      <x:c r="H323" s="43" t="str">
        <x:v>Corrected transcription</x:v>
      </x:c>
      <x:c r="I323" s="43" t="str">
        <x:v>included_studies/abramova_2023_biopsy/abramova_2023_biopsy_data_calculations.xlsx, Table1_Extract</x:v>
      </x:c>
      <x:c r="J323" s="43" t="str">
        <x:v>Make the comparison identifier agree with the sex in the paired source row.</x:v>
      </x:c>
    </x:row>
    <x:row r="324">
      <x:c r="A324" s="43" t="str">
        <x:v>7 – Abramova 2023 identifiers and units</x:v>
      </x:c>
      <x:c r="B324" s="43" t="str">
        <x:v>abramova_2023_biopsy</x:v>
      </x:c>
      <x:c r="C324" s="43" t="str">
        <x:v>es201</x:v>
      </x:c>
      <x:c r="D324" s="43" t="str">
        <x:v>202</x:v>
      </x:c>
      <x:c r="E324" s="43" t="str">
        <x:v>data_file</x:v>
      </x:c>
      <x:c r="F324" s="43" t="str">
        <x:v>abramova_2023_biopsy_data.xlsx</x:v>
      </x:c>
      <x:c r="G324" s="43" t="str">
        <x:v>included_studies/abramova_2023_biopsy/abramova_2023_biopsy_data_calculations.xlsx</x:v>
      </x:c>
      <x:c r="H324" s="43" t="str">
        <x:v>Corrected transcription</x:v>
      </x:c>
      <x:c r="I324" s="43" t="str">
        <x:v>included_studies/abramova_2023_biopsy/abramova_2023_biopsy_data_calculations.xlsx, Table1_Extract</x:v>
      </x:c>
      <x:c r="J324" s="43" t="str">
        <x:v>Use the stable path to the saved extraction/calculation workbook.</x:v>
      </x:c>
    </x:row>
    <x:row r="325">
      <x:c r="A325" s="43" t="str">
        <x:v>7 – Abramova 2023 identifiers and units</x:v>
      </x:c>
      <x:c r="B325" s="43" t="str">
        <x:v>abramova_2023_biopsy</x:v>
      </x:c>
      <x:c r="C325" s="43" t="str">
        <x:v>es201</x:v>
      </x:c>
      <x:c r="D325" s="43" t="str">
        <x:v>202</x:v>
      </x:c>
      <x:c r="E325" s="43" t="str">
        <x:v>ex_a_id</x:v>
      </x:c>
      <x:c r="F325" s="43" t="str">
        <x:v>PS_m_</x:v>
      </x:c>
      <x:c r="G325" s="43" t="str">
        <x:v>PS_f_</x:v>
      </x:c>
      <x:c r="H325" s="43" t="str">
        <x:v>Corrected transcription</x:v>
      </x:c>
      <x:c r="I325" s="43" t="str">
        <x:v>included_studies/abramova_2023_biopsy/abramova_2023_biopsy_data_calculations.xlsx, Table1_Extract</x:v>
      </x:c>
      <x:c r="J325" s="43" t="str">
        <x:v>Make the exposed identifier agree with the sex in the paired source row.</x:v>
      </x:c>
    </x:row>
    <x:row r="326">
      <x:c r="A326" s="43" t="str">
        <x:v>7 – Abramova 2023 identifiers and units</x:v>
      </x:c>
      <x:c r="B326" s="43" t="str">
        <x:v>abramova_2023_biopsy</x:v>
      </x:c>
      <x:c r="C326" s="43" t="str">
        <x:v>es202</x:v>
      </x:c>
      <x:c r="D326" s="43" t="str">
        <x:v>203</x:v>
      </x:c>
      <x:c r="E326" s="43" t="str">
        <x:v>c_a_id</x:v>
      </x:c>
      <x:c r="F326" s="43" t="str">
        <x:v>KON_f_</x:v>
      </x:c>
      <x:c r="G326" s="43" t="str">
        <x:v>KON_m_</x:v>
      </x:c>
      <x:c r="H326" s="43" t="str">
        <x:v>Corrected transcription</x:v>
      </x:c>
      <x:c r="I326" s="43" t="str">
        <x:v>included_studies/abramova_2023_biopsy/abramova_2023_biopsy_data_calculations.xlsx, Table1_Extract</x:v>
      </x:c>
      <x:c r="J326" s="43" t="str">
        <x:v>Make the control identifier agree with the sex in the paired source row.</x:v>
      </x:c>
    </x:row>
    <x:row r="327">
      <x:c r="A327" s="43" t="str">
        <x:v>7 – Abramova 2023 identifiers and units</x:v>
      </x:c>
      <x:c r="B327" s="43" t="str">
        <x:v>abramova_2023_biopsy</x:v>
      </x:c>
      <x:c r="C327" s="43" t="str">
        <x:v>es202</x:v>
      </x:c>
      <x:c r="D327" s="43" t="str">
        <x:v>203</x:v>
      </x:c>
      <x:c r="E327" s="43" t="str">
        <x:v>comparison</x:v>
      </x:c>
      <x:c r="F327" s="43" t="str">
        <x:v>KON_PS_f_</x:v>
      </x:c>
      <x:c r="G327" s="43" t="str">
        <x:v>KON_PS_m_</x:v>
      </x:c>
      <x:c r="H327" s="43" t="str">
        <x:v>Corrected transcription</x:v>
      </x:c>
      <x:c r="I327" s="43" t="str">
        <x:v>included_studies/abramova_2023_biopsy/abramova_2023_biopsy_data_calculations.xlsx, Table1_Extract</x:v>
      </x:c>
      <x:c r="J327" s="43" t="str">
        <x:v>Make the comparison identifier agree with the sex in the paired source row.</x:v>
      </x:c>
    </x:row>
    <x:row r="328">
      <x:c r="A328" s="43" t="str">
        <x:v>7 – Abramova 2023 identifiers and units</x:v>
      </x:c>
      <x:c r="B328" s="43" t="str">
        <x:v>abramova_2023_biopsy</x:v>
      </x:c>
      <x:c r="C328" s="43" t="str">
        <x:v>es202</x:v>
      </x:c>
      <x:c r="D328" s="43" t="str">
        <x:v>203</x:v>
      </x:c>
      <x:c r="E328" s="43" t="str">
        <x:v>data_file</x:v>
      </x:c>
      <x:c r="F328" s="43" t="str">
        <x:v>abramova_2023_biopsy_data.xlsx</x:v>
      </x:c>
      <x:c r="G328" s="43" t="str">
        <x:v>included_studies/abramova_2023_biopsy/abramova_2023_biopsy_data_calculations.xlsx</x:v>
      </x:c>
      <x:c r="H328" s="43" t="str">
        <x:v>Corrected transcription</x:v>
      </x:c>
      <x:c r="I328" s="43" t="str">
        <x:v>included_studies/abramova_2023_biopsy/abramova_2023_biopsy_data_calculations.xlsx, Table1_Extract</x:v>
      </x:c>
      <x:c r="J328" s="43" t="str">
        <x:v>Use the stable path to the saved extraction/calculation workbook.</x:v>
      </x:c>
    </x:row>
    <x:row r="329">
      <x:c r="A329" s="43" t="str">
        <x:v>7 – Abramova 2023 identifiers and units</x:v>
      </x:c>
      <x:c r="B329" s="43" t="str">
        <x:v>abramova_2023_biopsy</x:v>
      </x:c>
      <x:c r="C329" s="43" t="str">
        <x:v>es202</x:v>
      </x:c>
      <x:c r="D329" s="43" t="str">
        <x:v>203</x:v>
      </x:c>
      <x:c r="E329" s="43" t="str">
        <x:v>ex_a_id</x:v>
      </x:c>
      <x:c r="F329" s="43" t="str">
        <x:v>PS_f_</x:v>
      </x:c>
      <x:c r="G329" s="43" t="str">
        <x:v>PS_m_</x:v>
      </x:c>
      <x:c r="H329" s="43" t="str">
        <x:v>Corrected transcription</x:v>
      </x:c>
      <x:c r="I329" s="43" t="str">
        <x:v>included_studies/abramova_2023_biopsy/abramova_2023_biopsy_data_calculations.xlsx, Table1_Extract</x:v>
      </x:c>
      <x:c r="J329" s="43" t="str">
        <x:v>Make the exposed identifier agree with the sex in the paired source row.</x:v>
      </x:c>
    </x:row>
    <x:row r="330">
      <x:c r="A330" s="43" t="str">
        <x:v>7 – Abramova 2023 identifiers and units</x:v>
      </x:c>
      <x:c r="B330" s="43" t="str">
        <x:v>abramova_2023_biopsy</x:v>
      </x:c>
      <x:c r="C330" s="43" t="str">
        <x:v>es203</x:v>
      </x:c>
      <x:c r="D330" s="43" t="str">
        <x:v>204</x:v>
      </x:c>
      <x:c r="E330" s="43" t="str">
        <x:v>c_a_id</x:v>
      </x:c>
      <x:c r="F330" s="43" t="str">
        <x:v>KON_m_</x:v>
      </x:c>
      <x:c r="G330" s="43" t="str">
        <x:v>KON_f_</x:v>
      </x:c>
      <x:c r="H330" s="43" t="str">
        <x:v>Corrected transcription</x:v>
      </x:c>
      <x:c r="I330" s="43" t="str">
        <x:v>included_studies/abramova_2023_biopsy/abramova_2023_biopsy_data_calculations.xlsx, Table1_Extract</x:v>
      </x:c>
      <x:c r="J330" s="43" t="str">
        <x:v>Make the control identifier agree with the sex in the paired source row.</x:v>
      </x:c>
    </x:row>
    <x:row r="331">
      <x:c r="A331" s="43" t="str">
        <x:v>7 – Abramova 2023 identifiers and units</x:v>
      </x:c>
      <x:c r="B331" s="43" t="str">
        <x:v>abramova_2023_biopsy</x:v>
      </x:c>
      <x:c r="C331" s="43" t="str">
        <x:v>es203</x:v>
      </x:c>
      <x:c r="D331" s="43" t="str">
        <x:v>204</x:v>
      </x:c>
      <x:c r="E331" s="43" t="str">
        <x:v>comparison</x:v>
      </x:c>
      <x:c r="F331" s="43" t="str">
        <x:v>KON_PS_m_</x:v>
      </x:c>
      <x:c r="G331" s="43" t="str">
        <x:v>KON_PS_f_</x:v>
      </x:c>
      <x:c r="H331" s="43" t="str">
        <x:v>Corrected transcription</x:v>
      </x:c>
      <x:c r="I331" s="43" t="str">
        <x:v>included_studies/abramova_2023_biopsy/abramova_2023_biopsy_data_calculations.xlsx, Table1_Extract</x:v>
      </x:c>
      <x:c r="J331" s="43" t="str">
        <x:v>Make the comparison identifier agree with the sex in the paired source row.</x:v>
      </x:c>
    </x:row>
    <x:row r="332">
      <x:c r="A332" s="43" t="str">
        <x:v>7 – Abramova 2023 identifiers and units</x:v>
      </x:c>
      <x:c r="B332" s="43" t="str">
        <x:v>abramova_2023_biopsy</x:v>
      </x:c>
      <x:c r="C332" s="43" t="str">
        <x:v>es203</x:v>
      </x:c>
      <x:c r="D332" s="43" t="str">
        <x:v>204</x:v>
      </x:c>
      <x:c r="E332" s="43" t="str">
        <x:v>data_file</x:v>
      </x:c>
      <x:c r="F332" s="43" t="str">
        <x:v>abramova_2023_biopsy_data.xlsx</x:v>
      </x:c>
      <x:c r="G332" s="43" t="str">
        <x:v>included_studies/abramova_2023_biopsy/abramova_2023_biopsy_data_calculations.xlsx</x:v>
      </x:c>
      <x:c r="H332" s="43" t="str">
        <x:v>Corrected transcription</x:v>
      </x:c>
      <x:c r="I332" s="43" t="str">
        <x:v>included_studies/abramova_2023_biopsy/abramova_2023_biopsy_data_calculations.xlsx, Table1_Extract</x:v>
      </x:c>
      <x:c r="J332" s="43" t="str">
        <x:v>Use the stable path to the saved extraction/calculation workbook.</x:v>
      </x:c>
    </x:row>
    <x:row r="333">
      <x:c r="A333" s="43" t="str">
        <x:v>7 – Abramova 2023 identifiers and units</x:v>
      </x:c>
      <x:c r="B333" s="43" t="str">
        <x:v>abramova_2023_biopsy</x:v>
      </x:c>
      <x:c r="C333" s="43" t="str">
        <x:v>es203</x:v>
      </x:c>
      <x:c r="D333" s="43" t="str">
        <x:v>204</x:v>
      </x:c>
      <x:c r="E333" s="43" t="str">
        <x:v>ex_a_id</x:v>
      </x:c>
      <x:c r="F333" s="43" t="str">
        <x:v>PS_m_</x:v>
      </x:c>
      <x:c r="G333" s="43" t="str">
        <x:v>PS_f_</x:v>
      </x:c>
      <x:c r="H333" s="43" t="str">
        <x:v>Corrected transcription</x:v>
      </x:c>
      <x:c r="I333" s="43" t="str">
        <x:v>included_studies/abramova_2023_biopsy/abramova_2023_biopsy_data_calculations.xlsx, Table1_Extract</x:v>
      </x:c>
      <x:c r="J333" s="43" t="str">
        <x:v>Make the exposed identifier agree with the sex in the paired source row.</x:v>
      </x:c>
    </x:row>
    <x:row r="334">
      <x:c r="A334" s="43" t="str">
        <x:v>7 – Abramova 2023 identifiers and units</x:v>
      </x:c>
      <x:c r="B334" s="43" t="str">
        <x:v>abramova_2023_biopsy</x:v>
      </x:c>
      <x:c r="C334" s="43" t="str">
        <x:v>es204</x:v>
      </x:c>
      <x:c r="D334" s="43" t="str">
        <x:v>205</x:v>
      </x:c>
      <x:c r="E334" s="43" t="str">
        <x:v>c_a_id</x:v>
      </x:c>
      <x:c r="F334" s="43" t="str">
        <x:v>KON_f_</x:v>
      </x:c>
      <x:c r="G334" s="43" t="str">
        <x:v>KON_m_</x:v>
      </x:c>
      <x:c r="H334" s="43" t="str">
        <x:v>Corrected transcription</x:v>
      </x:c>
      <x:c r="I334" s="43" t="str">
        <x:v>included_studies/abramova_2023_biopsy/abramova_2023_biopsy_data_calculations.xlsx, Table1_Extract</x:v>
      </x:c>
      <x:c r="J334" s="43" t="str">
        <x:v>Make the control identifier agree with the sex in the paired source row.</x:v>
      </x:c>
    </x:row>
    <x:row r="335">
      <x:c r="A335" s="43" t="str">
        <x:v>7 – Abramova 2023 identifiers and units</x:v>
      </x:c>
      <x:c r="B335" s="43" t="str">
        <x:v>abramova_2023_biopsy</x:v>
      </x:c>
      <x:c r="C335" s="43" t="str">
        <x:v>es204</x:v>
      </x:c>
      <x:c r="D335" s="43" t="str">
        <x:v>205</x:v>
      </x:c>
      <x:c r="E335" s="43" t="str">
        <x:v>comparison</x:v>
      </x:c>
      <x:c r="F335" s="43" t="str">
        <x:v>KON_PS_f_</x:v>
      </x:c>
      <x:c r="G335" s="43" t="str">
        <x:v>KON_PS_m_</x:v>
      </x:c>
      <x:c r="H335" s="43" t="str">
        <x:v>Corrected transcription</x:v>
      </x:c>
      <x:c r="I335" s="43" t="str">
        <x:v>included_studies/abramova_2023_biopsy/abramova_2023_biopsy_data_calculations.xlsx, Table1_Extract</x:v>
      </x:c>
      <x:c r="J335" s="43" t="str">
        <x:v>Make the comparison identifier agree with the sex in the paired source row.</x:v>
      </x:c>
    </x:row>
    <x:row r="336">
      <x:c r="A336" s="43" t="str">
        <x:v>7 – Abramova 2023 identifiers and units</x:v>
      </x:c>
      <x:c r="B336" s="43" t="str">
        <x:v>abramova_2023_biopsy</x:v>
      </x:c>
      <x:c r="C336" s="43" t="str">
        <x:v>es204</x:v>
      </x:c>
      <x:c r="D336" s="43" t="str">
        <x:v>205</x:v>
      </x:c>
      <x:c r="E336" s="43" t="str">
        <x:v>data_file</x:v>
      </x:c>
      <x:c r="F336" s="43" t="str">
        <x:v>abramova_2023_biopsy_data.xlsx</x:v>
      </x:c>
      <x:c r="G336" s="43" t="str">
        <x:v>included_studies/abramova_2023_biopsy/abramova_2023_biopsy_data_calculations.xlsx</x:v>
      </x:c>
      <x:c r="H336" s="43" t="str">
        <x:v>Corrected transcription</x:v>
      </x:c>
      <x:c r="I336" s="43" t="str">
        <x:v>included_studies/abramova_2023_biopsy/abramova_2023_biopsy_data_calculations.xlsx, Table1_Extract</x:v>
      </x:c>
      <x:c r="J336" s="43" t="str">
        <x:v>Use the stable path to the saved extraction/calculation workbook.</x:v>
      </x:c>
    </x:row>
    <x:row r="337">
      <x:c r="A337" s="43" t="str">
        <x:v>7 – Abramova 2023 identifiers and units</x:v>
      </x:c>
      <x:c r="B337" s="43" t="str">
        <x:v>abramova_2023_biopsy</x:v>
      </x:c>
      <x:c r="C337" s="43" t="str">
        <x:v>es204</x:v>
      </x:c>
      <x:c r="D337" s="43" t="str">
        <x:v>205</x:v>
      </x:c>
      <x:c r="E337" s="43" t="str">
        <x:v>ex_a_id</x:v>
      </x:c>
      <x:c r="F337" s="43" t="str">
        <x:v>PS_f_</x:v>
      </x:c>
      <x:c r="G337" s="43" t="str">
        <x:v>PS_m_</x:v>
      </x:c>
      <x:c r="H337" s="43" t="str">
        <x:v>Corrected transcription</x:v>
      </x:c>
      <x:c r="I337" s="43" t="str">
        <x:v>included_studies/abramova_2023_biopsy/abramova_2023_biopsy_data_calculations.xlsx, Table1_Extract</x:v>
      </x:c>
      <x:c r="J337" s="43" t="str">
        <x:v>Make the exposed identifier agree with the sex in the paired source row.</x:v>
      </x:c>
    </x:row>
    <x:row r="338">
      <x:c r="A338" s="43" t="str">
        <x:v>7 – Abramova 2023 identifiers and units</x:v>
      </x:c>
      <x:c r="B338" s="43" t="str">
        <x:v>abramova_2023_biopsy</x:v>
      </x:c>
      <x:c r="C338" s="43" t="str">
        <x:v>es205</x:v>
      </x:c>
      <x:c r="D338" s="43" t="str">
        <x:v>206</x:v>
      </x:c>
      <x:c r="E338" s="43" t="str">
        <x:v>c_a_id</x:v>
      </x:c>
      <x:c r="F338" s="43" t="str">
        <x:v>KON_m_</x:v>
      </x:c>
      <x:c r="G338" s="43" t="str">
        <x:v>KON_f_</x:v>
      </x:c>
      <x:c r="H338" s="43" t="str">
        <x:v>Corrected transcription</x:v>
      </x:c>
      <x:c r="I338" s="43" t="str">
        <x:v>included_studies/abramova_2023_biopsy/abramova_2023_biopsy_data_calculations.xlsx, Table1_Extract</x:v>
      </x:c>
      <x:c r="J338" s="43" t="str">
        <x:v>Make the control identifier agree with the sex in the paired source row.</x:v>
      </x:c>
    </x:row>
    <x:row r="339">
      <x:c r="A339" s="43" t="str">
        <x:v>7 – Abramova 2023 identifiers and units</x:v>
      </x:c>
      <x:c r="B339" s="43" t="str">
        <x:v>abramova_2023_biopsy</x:v>
      </x:c>
      <x:c r="C339" s="43" t="str">
        <x:v>es205</x:v>
      </x:c>
      <x:c r="D339" s="43" t="str">
        <x:v>206</x:v>
      </x:c>
      <x:c r="E339" s="43" t="str">
        <x:v>comparison</x:v>
      </x:c>
      <x:c r="F339" s="43" t="str">
        <x:v>KON_PS_m_</x:v>
      </x:c>
      <x:c r="G339" s="43" t="str">
        <x:v>KON_PS_f_</x:v>
      </x:c>
      <x:c r="H339" s="43" t="str">
        <x:v>Corrected transcription</x:v>
      </x:c>
      <x:c r="I339" s="43" t="str">
        <x:v>included_studies/abramova_2023_biopsy/abramova_2023_biopsy_data_calculations.xlsx, Table1_Extract</x:v>
      </x:c>
      <x:c r="J339" s="43" t="str">
        <x:v>Make the comparison identifier agree with the sex in the paired source row.</x:v>
      </x:c>
    </x:row>
    <x:row r="340">
      <x:c r="A340" s="43" t="str">
        <x:v>7 – Abramova 2023 identifiers and units</x:v>
      </x:c>
      <x:c r="B340" s="43" t="str">
        <x:v>abramova_2023_biopsy</x:v>
      </x:c>
      <x:c r="C340" s="43" t="str">
        <x:v>es205</x:v>
      </x:c>
      <x:c r="D340" s="43" t="str">
        <x:v>206</x:v>
      </x:c>
      <x:c r="E340" s="43" t="str">
        <x:v>data_file</x:v>
      </x:c>
      <x:c r="F340" s="43" t="str">
        <x:v>abramova_2023_biopsy_data.xlsx</x:v>
      </x:c>
      <x:c r="G340" s="43" t="str">
        <x:v>included_studies/abramova_2023_biopsy/abramova_2023_biopsy_data_calculations.xlsx</x:v>
      </x:c>
      <x:c r="H340" s="43" t="str">
        <x:v>Corrected transcription</x:v>
      </x:c>
      <x:c r="I340" s="43" t="str">
        <x:v>included_studies/abramova_2023_biopsy/abramova_2023_biopsy_data_calculations.xlsx, Table1_Extract</x:v>
      </x:c>
      <x:c r="J340" s="43" t="str">
        <x:v>Use the stable path to the saved extraction/calculation workbook.</x:v>
      </x:c>
    </x:row>
    <x:row r="341">
      <x:c r="A341" s="43" t="str">
        <x:v>7 – Abramova 2023 identifiers and units</x:v>
      </x:c>
      <x:c r="B341" s="43" t="str">
        <x:v>abramova_2023_biopsy</x:v>
      </x:c>
      <x:c r="C341" s="43" t="str">
        <x:v>es205</x:v>
      </x:c>
      <x:c r="D341" s="43" t="str">
        <x:v>206</x:v>
      </x:c>
      <x:c r="E341" s="43" t="str">
        <x:v>ex_a_id</x:v>
      </x:c>
      <x:c r="F341" s="43" t="str">
        <x:v>PS_m_</x:v>
      </x:c>
      <x:c r="G341" s="43" t="str">
        <x:v>PS_f_</x:v>
      </x:c>
      <x:c r="H341" s="43" t="str">
        <x:v>Corrected transcription</x:v>
      </x:c>
      <x:c r="I341" s="43" t="str">
        <x:v>included_studies/abramova_2023_biopsy/abramova_2023_biopsy_data_calculations.xlsx, Table1_Extract</x:v>
      </x:c>
      <x:c r="J341" s="43" t="str">
        <x:v>Make the exposed identifier agree with the sex in the paired source row.</x:v>
      </x:c>
    </x:row>
    <x:row r="342">
      <x:c r="A342" s="43" t="str">
        <x:v>7 – Abramova 2023 identifiers and units</x:v>
      </x:c>
      <x:c r="B342" s="43" t="str">
        <x:v>abramova_2023_biopsy</x:v>
      </x:c>
      <x:c r="C342" s="43" t="str">
        <x:v>es206</x:v>
      </x:c>
      <x:c r="D342" s="43" t="str">
        <x:v>207</x:v>
      </x:c>
      <x:c r="E342" s="43" t="str">
        <x:v>c_a_id</x:v>
      </x:c>
      <x:c r="F342" s="43" t="str">
        <x:v>KON_f_</x:v>
      </x:c>
      <x:c r="G342" s="43" t="str">
        <x:v>KON_m_</x:v>
      </x:c>
      <x:c r="H342" s="43" t="str">
        <x:v>Corrected transcription</x:v>
      </x:c>
      <x:c r="I342" s="43" t="str">
        <x:v>included_studies/abramova_2023_biopsy/abramova_2023_biopsy_data_calculations.xlsx, Table1_Extract</x:v>
      </x:c>
      <x:c r="J342" s="43" t="str">
        <x:v>Make the control identifier agree with the sex in the paired source row.</x:v>
      </x:c>
    </x:row>
    <x:row r="343">
      <x:c r="A343" s="43" t="str">
        <x:v>7 – Abramova 2023 identifiers and units</x:v>
      </x:c>
      <x:c r="B343" s="43" t="str">
        <x:v>abramova_2023_biopsy</x:v>
      </x:c>
      <x:c r="C343" s="43" t="str">
        <x:v>es206</x:v>
      </x:c>
      <x:c r="D343" s="43" t="str">
        <x:v>207</x:v>
      </x:c>
      <x:c r="E343" s="43" t="str">
        <x:v>comparison</x:v>
      </x:c>
      <x:c r="F343" s="43" t="str">
        <x:v>KON_PS_f_</x:v>
      </x:c>
      <x:c r="G343" s="43" t="str">
        <x:v>KON_PS_m_</x:v>
      </x:c>
      <x:c r="H343" s="43" t="str">
        <x:v>Corrected transcription</x:v>
      </x:c>
      <x:c r="I343" s="43" t="str">
        <x:v>included_studies/abramova_2023_biopsy/abramova_2023_biopsy_data_calculations.xlsx, Table1_Extract</x:v>
      </x:c>
      <x:c r="J343" s="43" t="str">
        <x:v>Make the comparison identifier agree with the sex in the paired source row.</x:v>
      </x:c>
    </x:row>
    <x:row r="344">
      <x:c r="A344" s="43" t="str">
        <x:v>7 – Abramova 2023 identifiers and units</x:v>
      </x:c>
      <x:c r="B344" s="43" t="str">
        <x:v>abramova_2023_biopsy</x:v>
      </x:c>
      <x:c r="C344" s="43" t="str">
        <x:v>es206</x:v>
      </x:c>
      <x:c r="D344" s="43" t="str">
        <x:v>207</x:v>
      </x:c>
      <x:c r="E344" s="43" t="str">
        <x:v>data_file</x:v>
      </x:c>
      <x:c r="F344" s="43" t="str">
        <x:v>abramova_2023_biopsy_data.xlsx</x:v>
      </x:c>
      <x:c r="G344" s="43" t="str">
        <x:v>included_studies/abramova_2023_biopsy/abramova_2023_biopsy_data_calculations.xlsx</x:v>
      </x:c>
      <x:c r="H344" s="43" t="str">
        <x:v>Corrected transcription</x:v>
      </x:c>
      <x:c r="I344" s="43" t="str">
        <x:v>included_studies/abramova_2023_biopsy/abramova_2023_biopsy_data_calculations.xlsx, Table1_Extract</x:v>
      </x:c>
      <x:c r="J344" s="43" t="str">
        <x:v>Use the stable path to the saved extraction/calculation workbook.</x:v>
      </x:c>
    </x:row>
    <x:row r="345">
      <x:c r="A345" s="43" t="str">
        <x:v>7 – Abramova 2023 identifiers and units</x:v>
      </x:c>
      <x:c r="B345" s="43" t="str">
        <x:v>abramova_2023_biopsy</x:v>
      </x:c>
      <x:c r="C345" s="43" t="str">
        <x:v>es206</x:v>
      </x:c>
      <x:c r="D345" s="43" t="str">
        <x:v>207</x:v>
      </x:c>
      <x:c r="E345" s="43" t="str">
        <x:v>ex_a_id</x:v>
      </x:c>
      <x:c r="F345" s="43" t="str">
        <x:v>PS_f_</x:v>
      </x:c>
      <x:c r="G345" s="43" t="str">
        <x:v>PS_m_</x:v>
      </x:c>
      <x:c r="H345" s="43" t="str">
        <x:v>Corrected transcription</x:v>
      </x:c>
      <x:c r="I345" s="43" t="str">
        <x:v>included_studies/abramova_2023_biopsy/abramova_2023_biopsy_data_calculations.xlsx, Table1_Extract</x:v>
      </x:c>
      <x:c r="J345" s="43" t="str">
        <x:v>Make the exposed identifier agree with the sex in the paired source row.</x:v>
      </x:c>
    </x:row>
    <x:row r="346">
      <x:c r="A346" s="43" t="str">
        <x:v>7 – Abramova 2023 identifiers and units</x:v>
      </x:c>
      <x:c r="B346" s="43" t="str">
        <x:v>abramova_2023_biopsy</x:v>
      </x:c>
      <x:c r="C346" s="43" t="str">
        <x:v>es207</x:v>
      </x:c>
      <x:c r="D346" s="43" t="str">
        <x:v>208</x:v>
      </x:c>
      <x:c r="E346" s="43" t="str">
        <x:v>c_a_id</x:v>
      </x:c>
      <x:c r="F346" s="43" t="str">
        <x:v>KON_m_</x:v>
      </x:c>
      <x:c r="G346" s="43" t="str">
        <x:v>KON_f_</x:v>
      </x:c>
      <x:c r="H346" s="43" t="str">
        <x:v>Corrected transcription</x:v>
      </x:c>
      <x:c r="I346" s="43" t="str">
        <x:v>included_studies/abramova_2023_biopsy/abramova_2023_biopsy_data_calculations.xlsx, Table1_Extract</x:v>
      </x:c>
      <x:c r="J346" s="43" t="str">
        <x:v>Make the control identifier agree with the sex in the paired source row.</x:v>
      </x:c>
    </x:row>
    <x:row r="347">
      <x:c r="A347" s="43" t="str">
        <x:v>7 – Abramova 2023 identifiers and units</x:v>
      </x:c>
      <x:c r="B347" s="43" t="str">
        <x:v>abramova_2023_biopsy</x:v>
      </x:c>
      <x:c r="C347" s="43" t="str">
        <x:v>es207</x:v>
      </x:c>
      <x:c r="D347" s="43" t="str">
        <x:v>208</x:v>
      </x:c>
      <x:c r="E347" s="43" t="str">
        <x:v>comparison</x:v>
      </x:c>
      <x:c r="F347" s="43" t="str">
        <x:v>KON_PS_m_</x:v>
      </x:c>
      <x:c r="G347" s="43" t="str">
        <x:v>KON_PS_f_</x:v>
      </x:c>
      <x:c r="H347" s="43" t="str">
        <x:v>Corrected transcription</x:v>
      </x:c>
      <x:c r="I347" s="43" t="str">
        <x:v>included_studies/abramova_2023_biopsy/abramova_2023_biopsy_data_calculations.xlsx, Table1_Extract</x:v>
      </x:c>
      <x:c r="J347" s="43" t="str">
        <x:v>Make the comparison identifier agree with the sex in the paired source row.</x:v>
      </x:c>
    </x:row>
    <x:row r="348">
      <x:c r="A348" s="43" t="str">
        <x:v>7 – Abramova 2023 identifiers and units</x:v>
      </x:c>
      <x:c r="B348" s="43" t="str">
        <x:v>abramova_2023_biopsy</x:v>
      </x:c>
      <x:c r="C348" s="43" t="str">
        <x:v>es207</x:v>
      </x:c>
      <x:c r="D348" s="43" t="str">
        <x:v>208</x:v>
      </x:c>
      <x:c r="E348" s="43" t="str">
        <x:v>data_file</x:v>
      </x:c>
      <x:c r="F348" s="43" t="str">
        <x:v>abramova_2023_biopsy_data.xlsx</x:v>
      </x:c>
      <x:c r="G348" s="43" t="str">
        <x:v>included_studies/abramova_2023_biopsy/abramova_2023_biopsy_data_calculations.xlsx</x:v>
      </x:c>
      <x:c r="H348" s="43" t="str">
        <x:v>Corrected transcription</x:v>
      </x:c>
      <x:c r="I348" s="43" t="str">
        <x:v>included_studies/abramova_2023_biopsy/abramova_2023_biopsy_data_calculations.xlsx, Table1_Extract</x:v>
      </x:c>
      <x:c r="J348" s="43" t="str">
        <x:v>Use the stable path to the saved extraction/calculation workbook.</x:v>
      </x:c>
    </x:row>
    <x:row r="349">
      <x:c r="A349" s="43" t="str">
        <x:v>7 – Abramova 2023 identifiers and units</x:v>
      </x:c>
      <x:c r="B349" s="43" t="str">
        <x:v>abramova_2023_biopsy</x:v>
      </x:c>
      <x:c r="C349" s="43" t="str">
        <x:v>es207</x:v>
      </x:c>
      <x:c r="D349" s="43" t="str">
        <x:v>208</x:v>
      </x:c>
      <x:c r="E349" s="43" t="str">
        <x:v>ex_a_id</x:v>
      </x:c>
      <x:c r="F349" s="43" t="str">
        <x:v>PS_m_</x:v>
      </x:c>
      <x:c r="G349" s="43" t="str">
        <x:v>PS_f_</x:v>
      </x:c>
      <x:c r="H349" s="43" t="str">
        <x:v>Corrected transcription</x:v>
      </x:c>
      <x:c r="I349" s="43" t="str">
        <x:v>included_studies/abramova_2023_biopsy/abramova_2023_biopsy_data_calculations.xlsx, Table1_Extract</x:v>
      </x:c>
      <x:c r="J349" s="43" t="str">
        <x:v>Make the exposed identifier agree with the sex in the paired source row.</x:v>
      </x:c>
    </x:row>
    <x:row r="350">
      <x:c r="A350" s="43" t="str">
        <x:v>Source follow-up – Abramova 2024</x:v>
      </x:c>
      <x:c r="B350" s="43" t="str">
        <x:v>abramova_2024_devneur</x:v>
      </x:c>
      <x:c r="C350" s="43" t="str">
        <x:v>es045</x:v>
      </x:c>
      <x:c r="D350" s="43" t="str">
        <x:v>46</x:v>
      </x:c>
      <x:c r="E350" s="43" t="str">
        <x:v>data_file</x:v>
      </x:c>
      <x:c r="F350" s="43" t="str"/>
      <x:c r="G350" s="43" t="str">
        <x:v>included_studies/abramova_2024_devneur/abramova_2024_devneur_author_email_sucrose_preference.png</x:v>
      </x:c>
      <x:c r="H350" s="43" t="str">
        <x:v>Corrected transcription</x:v>
      </x:c>
      <x:c r="I350" s="43" t="str">
        <x:v>included_studies/abramova_2024_devneur/abramova_2024_devneur_author_email_sucrose_preference.png</x:v>
      </x:c>
      <x:c r="J350" s="43" t="str">
        <x:v>Link the extracted values to the archived author correspondence screenshot.</x:v>
      </x:c>
    </x:row>
    <x:row r="351">
      <x:c r="A351" s="43" t="str">
        <x:v>Source follow-up – Abramova 2024</x:v>
      </x:c>
      <x:c r="B351" s="43" t="str">
        <x:v>abramova_2024_devneur</x:v>
      </x:c>
      <x:c r="C351" s="43" t="str">
        <x:v>es045</x:v>
      </x:c>
      <x:c r="D351" s="43" t="str">
        <x:v>46</x:v>
      </x:c>
      <x:c r="E351" s="43" t="str">
        <x:v>data_source</x:v>
      </x:c>
      <x:c r="F351" s="43" t="str">
        <x:v>author's email</x:v>
      </x:c>
      <x:c r="G351" s="43" t="str">
        <x:v>Author email (saved screenshot)</x:v>
      </x:c>
      <x:c r="H351" s="43" t="str">
        <x:v>Corrected transcription</x:v>
      </x:c>
      <x:c r="I351" s="43" t="str">
        <x:v>included_studies/abramova_2024_devneur/abramova_2024_devneur_author_email_sucrose_preference.png</x:v>
      </x:c>
      <x:c r="J351" s="43" t="str">
        <x:v>The supplied author email confirms the stored mean and SE values.</x:v>
      </x:c>
    </x:row>
    <x:row r="352">
      <x:c r="A352" s="43" t="str">
        <x:v>Source follow-up – Abramova 2024</x:v>
      </x:c>
      <x:c r="B352" s="43" t="str">
        <x:v>abramova_2024_devneur</x:v>
      </x:c>
      <x:c r="C352" s="43" t="str">
        <x:v>es046</x:v>
      </x:c>
      <x:c r="D352" s="43" t="str">
        <x:v>47</x:v>
      </x:c>
      <x:c r="E352" s="43" t="str">
        <x:v>data_file</x:v>
      </x:c>
      <x:c r="F352" s="43" t="str"/>
      <x:c r="G352" s="43" t="str">
        <x:v>included_studies/abramova_2024_devneur/abramova_2024_devneur_author_email_sucrose_preference.png</x:v>
      </x:c>
      <x:c r="H352" s="43" t="str">
        <x:v>Corrected transcription</x:v>
      </x:c>
      <x:c r="I352" s="43" t="str">
        <x:v>included_studies/abramova_2024_devneur/abramova_2024_devneur_author_email_sucrose_preference.png</x:v>
      </x:c>
      <x:c r="J352" s="43" t="str">
        <x:v>Link the extracted values to the archived author correspondence screenshot.</x:v>
      </x:c>
    </x:row>
    <x:row r="353">
      <x:c r="A353" s="43" t="str">
        <x:v>Source follow-up – Abramova 2024</x:v>
      </x:c>
      <x:c r="B353" s="43" t="str">
        <x:v>abramova_2024_devneur</x:v>
      </x:c>
      <x:c r="C353" s="43" t="str">
        <x:v>es046</x:v>
      </x:c>
      <x:c r="D353" s="43" t="str">
        <x:v>47</x:v>
      </x:c>
      <x:c r="E353" s="43" t="str">
        <x:v>data_source</x:v>
      </x:c>
      <x:c r="F353" s="43" t="str">
        <x:v>author's email</x:v>
      </x:c>
      <x:c r="G353" s="43" t="str">
        <x:v>Author email (saved screenshot)</x:v>
      </x:c>
      <x:c r="H353" s="43" t="str">
        <x:v>Corrected transcription</x:v>
      </x:c>
      <x:c r="I353" s="43" t="str">
        <x:v>included_studies/abramova_2024_devneur/abramova_2024_devneur_author_email_sucrose_preference.png</x:v>
      </x:c>
      <x:c r="J353" s="43" t="str">
        <x:v>The supplied author email confirms the stored mean and SE values.</x:v>
      </x:c>
    </x:row>
    <x:row r="354">
      <x:c r="A354" s="43" t="str">
        <x:v>Variance decision – Whitlow 1978</x:v>
      </x:c>
      <x:c r="B354" s="43" t="str">
        <x:v>whitlow_1978_thesis</x:v>
      </x:c>
      <x:c r="C354" s="43" t="str">
        <x:v>es094</x:v>
      </x:c>
      <x:c r="D354" s="43" t="str">
        <x:v>95</x:v>
      </x:c>
      <x:c r="E354" s="43" t="str">
        <x:v>c_se_analysis</x:v>
      </x:c>
      <x:c r="F354" s="43" t="str"/>
      <x:c r="G354" s="43" t="str">
        <x:v>1.811483</x:v>
      </x:c>
      <x:c r="H354" s="43" t="str">
        <x:v>Corrected derived value</x:v>
      </x:c>
      <x:c r="I354" s="43" t="str">
        <x:v>included_studies/whitlow_1978_thesis.pdf; figure error bars are not defined; assumption approved by reviewer</x:v>
      </x:c>
      <x:c r="J354" s="43" t="str">
        <x:v>Apply the reviewer-approved variance assumption transparently; no author-reported variance is implied.</x:v>
      </x:c>
    </x:row>
    <x:row r="355">
      <x:c r="A355" s="43" t="str">
        <x:v>Variance decision – Whitlow 1978</x:v>
      </x:c>
      <x:c r="B355" s="43" t="str">
        <x:v>whitlow_1978_thesis</x:v>
      </x:c>
      <x:c r="C355" s="43" t="str">
        <x:v>es094</x:v>
      </x:c>
      <x:c r="D355" s="43" t="str">
        <x:v>95</x:v>
      </x:c>
      <x:c r="E355" s="43" t="str">
        <x:v>ex_se_analysis</x:v>
      </x:c>
      <x:c r="F355" s="43" t="str"/>
      <x:c r="G355" s="43" t="str">
        <x:v>1.887174</x:v>
      </x:c>
      <x:c r="H355" s="43" t="str">
        <x:v>Corrected derived value</x:v>
      </x:c>
      <x:c r="I355" s="43" t="str">
        <x:v>included_studies/whitlow_1978_thesis.pdf; figure error bars are not defined; assumption approved by reviewer</x:v>
      </x:c>
      <x:c r="J355" s="43" t="str">
        <x:v>Apply the reviewer-approved variance assumption transparently; no author-reported variance is implied.</x:v>
      </x:c>
    </x:row>
    <x:row r="356">
      <x:c r="A356" s="43" t="str">
        <x:v>Variance decision – Whitlow 1978</x:v>
      </x:c>
      <x:c r="B356" s="43" t="str">
        <x:v>whitlow_1978_thesis</x:v>
      </x:c>
      <x:c r="C356" s="43" t="str">
        <x:v>es095</x:v>
      </x:c>
      <x:c r="D356" s="43" t="str">
        <x:v>96</x:v>
      </x:c>
      <x:c r="E356" s="43" t="str">
        <x:v>c_se_analysis</x:v>
      </x:c>
      <x:c r="F356" s="43" t="str"/>
      <x:c r="G356" s="43" t="str">
        <x:v>1.811483</x:v>
      </x:c>
      <x:c r="H356" s="43" t="str">
        <x:v>Corrected derived value</x:v>
      </x:c>
      <x:c r="I356" s="43" t="str">
        <x:v>included_studies/whitlow_1978_thesis.pdf; figure error bars are not defined; assumption approved by reviewer</x:v>
      </x:c>
      <x:c r="J356" s="43" t="str">
        <x:v>Apply the reviewer-approved variance assumption transparently; no author-reported variance is implied.</x:v>
      </x:c>
    </x:row>
    <x:row r="357">
      <x:c r="A357" s="43" t="str">
        <x:v>Variance decision – Whitlow 1978</x:v>
      </x:c>
      <x:c r="B357" s="43" t="str">
        <x:v>whitlow_1978_thesis</x:v>
      </x:c>
      <x:c r="C357" s="43" t="str">
        <x:v>es095</x:v>
      </x:c>
      <x:c r="D357" s="43" t="str">
        <x:v>96</x:v>
      </x:c>
      <x:c r="E357" s="43" t="str">
        <x:v>ex_se_analysis</x:v>
      </x:c>
      <x:c r="F357" s="43" t="str"/>
      <x:c r="G357" s="43" t="str">
        <x:v>1.74458</x:v>
      </x:c>
      <x:c r="H357" s="43" t="str">
        <x:v>Corrected derived value</x:v>
      </x:c>
      <x:c r="I357" s="43" t="str">
        <x:v>included_studies/whitlow_1978_thesis.pdf; figure error bars are not defined; assumption approved by reviewer</x:v>
      </x:c>
      <x:c r="J357" s="43" t="str">
        <x:v>Apply the reviewer-approved variance assumption transparently; no author-reported variance is implied.</x:v>
      </x:c>
    </x:row>
    <x:row r="358">
      <x:c r="A358" s="43" t="str">
        <x:v>Variance decision – Whitlow 1978</x:v>
      </x:c>
      <x:c r="B358" s="43" t="str">
        <x:v>whitlow_1978_thesis</x:v>
      </x:c>
      <x:c r="C358" s="43" t="str">
        <x:v>es096</x:v>
      </x:c>
      <x:c r="D358" s="43" t="str">
        <x:v>97</x:v>
      </x:c>
      <x:c r="E358" s="43" t="str">
        <x:v>c_se_analysis</x:v>
      </x:c>
      <x:c r="F358" s="43" t="str"/>
      <x:c r="G358" s="43" t="str">
        <x:v>1.409617</x:v>
      </x:c>
      <x:c r="H358" s="43" t="str">
        <x:v>Corrected derived value</x:v>
      </x:c>
      <x:c r="I358" s="43" t="str">
        <x:v>included_studies/whitlow_1978_thesis.pdf; figure error bars are not defined; assumption approved by reviewer</x:v>
      </x:c>
      <x:c r="J358" s="43" t="str">
        <x:v>Apply the reviewer-approved variance assumption transparently; no author-reported variance is implied.</x:v>
      </x:c>
    </x:row>
    <x:row r="359">
      <x:c r="A359" s="43" t="str">
        <x:v>Variance decision – Whitlow 1978</x:v>
      </x:c>
      <x:c r="B359" s="43" t="str">
        <x:v>whitlow_1978_thesis</x:v>
      </x:c>
      <x:c r="C359" s="43" t="str">
        <x:v>es096</x:v>
      </x:c>
      <x:c r="D359" s="43" t="str">
        <x:v>97</x:v>
      </x:c>
      <x:c r="E359" s="43" t="str">
        <x:v>ex_se_analysis</x:v>
      </x:c>
      <x:c r="F359" s="43" t="str"/>
      <x:c r="G359" s="43" t="str">
        <x:v>1.46288</x:v>
      </x:c>
      <x:c r="H359" s="43" t="str">
        <x:v>Corrected derived value</x:v>
      </x:c>
      <x:c r="I359" s="43" t="str">
        <x:v>included_studies/whitlow_1978_thesis.pdf; figure error bars are not defined; assumption approved by reviewer</x:v>
      </x:c>
      <x:c r="J359" s="43" t="str">
        <x:v>Apply the reviewer-approved variance assumption transparently; no author-reported variance is implied.</x:v>
      </x:c>
    </x:row>
    <x:row r="360">
      <x:c r="A360" s="43" t="str">
        <x:v>Variance decision – Whitlow 1978</x:v>
      </x:c>
      <x:c r="B360" s="43" t="str">
        <x:v>whitlow_1978_thesis</x:v>
      </x:c>
      <x:c r="C360" s="43" t="str">
        <x:v>es097</x:v>
      </x:c>
      <x:c r="D360" s="43" t="str">
        <x:v>98</x:v>
      </x:c>
      <x:c r="E360" s="43" t="str">
        <x:v>c_se_analysis</x:v>
      </x:c>
      <x:c r="F360" s="43" t="str"/>
      <x:c r="G360" s="43" t="str">
        <x:v>1.409617</x:v>
      </x:c>
      <x:c r="H360" s="43" t="str">
        <x:v>Corrected derived value</x:v>
      </x:c>
      <x:c r="I360" s="43" t="str">
        <x:v>included_studies/whitlow_1978_thesis.pdf; figure error bars are not defined; assumption approved by reviewer</x:v>
      </x:c>
      <x:c r="J360" s="43" t="str">
        <x:v>Apply the reviewer-approved variance assumption transparently; no author-reported variance is implied.</x:v>
      </x:c>
    </x:row>
    <x:row r="361">
      <x:c r="A361" s="43" t="str">
        <x:v>Variance decision – Whitlow 1978</x:v>
      </x:c>
      <x:c r="B361" s="43" t="str">
        <x:v>whitlow_1978_thesis</x:v>
      </x:c>
      <x:c r="C361" s="43" t="str">
        <x:v>es097</x:v>
      </x:c>
      <x:c r="D361" s="43" t="str">
        <x:v>98</x:v>
      </x:c>
      <x:c r="E361" s="43" t="str">
        <x:v>ex_se_analysis</x:v>
      </x:c>
      <x:c r="F361" s="43" t="str"/>
      <x:c r="G361" s="43" t="str">
        <x:v>1.357986</x:v>
      </x:c>
      <x:c r="H361" s="43" t="str">
        <x:v>Corrected derived value</x:v>
      </x:c>
      <x:c r="I361" s="43" t="str">
        <x:v>included_studies/whitlow_1978_thesis.pdf; figure error bars are not defined; assumption approved by reviewer</x:v>
      </x:c>
      <x:c r="J361" s="43" t="str">
        <x:v>Apply the reviewer-approved variance assumption transparently; no author-reported variance is implied.</x:v>
      </x:c>
    </x:row>
    <x:row r="362">
      <x:c r="A362" s="43" t="str">
        <x:v>Variance decision – Whitlow 1978</x:v>
      </x:c>
      <x:c r="B362" s="43" t="str">
        <x:v>whitlow_1978_thesis</x:v>
      </x:c>
      <x:c r="C362" s="43" t="str">
        <x:v>es098</x:v>
      </x:c>
      <x:c r="D362" s="43" t="str">
        <x:v>99</x:v>
      </x:c>
      <x:c r="E362" s="43" t="str">
        <x:v>c_se_analysis</x:v>
      </x:c>
      <x:c r="F362" s="43" t="str"/>
      <x:c r="G362" s="43" t="str">
        <x:v>0.930853</x:v>
      </x:c>
      <x:c r="H362" s="43" t="str">
        <x:v>Corrected derived value</x:v>
      </x:c>
      <x:c r="I362" s="43" t="str">
        <x:v>included_studies/whitlow_1978_thesis.pdf; figure error bars are not defined; assumption approved by reviewer</x:v>
      </x:c>
      <x:c r="J362" s="43" t="str">
        <x:v>Apply the reviewer-approved variance assumption transparently; no author-reported variance is implied.</x:v>
      </x:c>
    </x:row>
    <x:row r="363">
      <x:c r="A363" s="43" t="str">
        <x:v>Variance decision – Whitlow 1978</x:v>
      </x:c>
      <x:c r="B363" s="43" t="str">
        <x:v>whitlow_1978_thesis</x:v>
      </x:c>
      <x:c r="C363" s="43" t="str">
        <x:v>es098</x:v>
      </x:c>
      <x:c r="D363" s="43" t="str">
        <x:v>99</x:v>
      </x:c>
      <x:c r="E363" s="43" t="str">
        <x:v>ex_se_analysis</x:v>
      </x:c>
      <x:c r="F363" s="43" t="str"/>
      <x:c r="G363" s="43" t="str">
        <x:v>1.156226</x:v>
      </x:c>
      <x:c r="H363" s="43" t="str">
        <x:v>Corrected derived value</x:v>
      </x:c>
      <x:c r="I363" s="43" t="str">
        <x:v>included_studies/whitlow_1978_thesis.pdf; figure error bars are not defined; assumption approved by reviewer</x:v>
      </x:c>
      <x:c r="J363" s="43" t="str">
        <x:v>Apply the reviewer-approved variance assumption transparently; no author-reported variance is implied.</x:v>
      </x:c>
    </x:row>
    <x:row r="364">
      <x:c r="A364" s="43" t="str">
        <x:v>Variance decision – Whitlow 1978</x:v>
      </x:c>
      <x:c r="B364" s="43" t="str">
        <x:v>whitlow_1978_thesis</x:v>
      </x:c>
      <x:c r="C364" s="43" t="str">
        <x:v>es099</x:v>
      </x:c>
      <x:c r="D364" s="43" t="str">
        <x:v>100</x:v>
      </x:c>
      <x:c r="E364" s="43" t="str">
        <x:v>c_se_analysis</x:v>
      </x:c>
      <x:c r="F364" s="43" t="str"/>
      <x:c r="G364" s="43" t="str">
        <x:v>0.930853</x:v>
      </x:c>
      <x:c r="H364" s="43" t="str">
        <x:v>Corrected derived value</x:v>
      </x:c>
      <x:c r="I364" s="43" t="str">
        <x:v>included_studies/whitlow_1978_thesis.pdf; figure error bars are not defined; assumption approved by reviewer</x:v>
      </x:c>
      <x:c r="J364" s="43" t="str">
        <x:v>Apply the reviewer-approved variance assumption transparently; no author-reported variance is implied.</x:v>
      </x:c>
    </x:row>
    <x:row r="365">
      <x:c r="A365" s="43" t="str">
        <x:v>Variance decision – Whitlow 1978</x:v>
      </x:c>
      <x:c r="B365" s="43" t="str">
        <x:v>whitlow_1978_thesis</x:v>
      </x:c>
      <x:c r="C365" s="43" t="str">
        <x:v>es099</x:v>
      </x:c>
      <x:c r="D365" s="43" t="str">
        <x:v>100</x:v>
      </x:c>
      <x:c r="E365" s="43" t="str">
        <x:v>ex_se_analysis</x:v>
      </x:c>
      <x:c r="F365" s="43" t="str"/>
      <x:c r="G365" s="43" t="str">
        <x:v>0.887316</x:v>
      </x:c>
      <x:c r="H365" s="43" t="str">
        <x:v>Corrected derived value</x:v>
      </x:c>
      <x:c r="I365" s="43" t="str">
        <x:v>included_studies/whitlow_1978_thesis.pdf; figure error bars are not defined; assumption approved by reviewer</x:v>
      </x:c>
      <x:c r="J365" s="43" t="str">
        <x:v>Apply the reviewer-approved variance assumption transparently; no author-reported variance is implied.</x:v>
      </x:c>
    </x:row>
    <x:row r="366">
      <x:c r="A366" s="43" t="str">
        <x:v>Variance decision – Whitlow 1978</x:v>
      </x:c>
      <x:c r="B366" s="43" t="str">
        <x:v>whitlow_1978_thesis</x:v>
      </x:c>
      <x:c r="C366" s="43" t="str">
        <x:v>es100</x:v>
      </x:c>
      <x:c r="D366" s="43" t="str">
        <x:v>101</x:v>
      </x:c>
      <x:c r="E366" s="43" t="str">
        <x:v>c_se_analysis</x:v>
      </x:c>
      <x:c r="F366" s="43" t="str"/>
      <x:c r="G366" s="43" t="str">
        <x:v>0.473286</x:v>
      </x:c>
      <x:c r="H366" s="43" t="str">
        <x:v>Corrected derived value</x:v>
      </x:c>
      <x:c r="I366" s="43" t="str">
        <x:v>included_studies/whitlow_1978_thesis.pdf; figure error bars are not defined; assumption approved by reviewer</x:v>
      </x:c>
      <x:c r="J366" s="43" t="str">
        <x:v>Apply the reviewer-approved variance assumption transparently; no author-reported variance is implied.</x:v>
      </x:c>
    </x:row>
    <x:row r="367">
      <x:c r="A367" s="43" t="str">
        <x:v>Variance decision – Whitlow 1978</x:v>
      </x:c>
      <x:c r="B367" s="43" t="str">
        <x:v>whitlow_1978_thesis</x:v>
      </x:c>
      <x:c r="C367" s="43" t="str">
        <x:v>es100</x:v>
      </x:c>
      <x:c r="D367" s="43" t="str">
        <x:v>101</x:v>
      </x:c>
      <x:c r="E367" s="43" t="str">
        <x:v>ex_se_analysis</x:v>
      </x:c>
      <x:c r="F367" s="43" t="str"/>
      <x:c r="G367" s="43" t="str">
        <x:v>0.429012</x:v>
      </x:c>
      <x:c r="H367" s="43" t="str">
        <x:v>Corrected derived value</x:v>
      </x:c>
      <x:c r="I367" s="43" t="str">
        <x:v>included_studies/whitlow_1978_thesis.pdf; figure error bars are not defined; assumption approved by reviewer</x:v>
      </x:c>
      <x:c r="J367" s="43" t="str">
        <x:v>Apply the reviewer-approved variance assumption transparently; no author-reported variance is implied.</x:v>
      </x:c>
    </x:row>
    <x:row r="368">
      <x:c r="A368" s="43" t="str">
        <x:v>Variance decision – Whitlow 1978</x:v>
      </x:c>
      <x:c r="B368" s="43" t="str">
        <x:v>whitlow_1978_thesis</x:v>
      </x:c>
      <x:c r="C368" s="43" t="str">
        <x:v>es101</x:v>
      </x:c>
      <x:c r="D368" s="43" t="str">
        <x:v>102</x:v>
      </x:c>
      <x:c r="E368" s="43" t="str">
        <x:v>c_se_analysis</x:v>
      </x:c>
      <x:c r="F368" s="43" t="str"/>
      <x:c r="G368" s="43" t="str">
        <x:v>0.473286</x:v>
      </x:c>
      <x:c r="H368" s="43" t="str">
        <x:v>Corrected derived value</x:v>
      </x:c>
      <x:c r="I368" s="43" t="str">
        <x:v>included_studies/whitlow_1978_thesis.pdf; figure error bars are not defined; assumption approved by reviewer</x:v>
      </x:c>
      <x:c r="J368" s="43" t="str">
        <x:v>Apply the reviewer-approved variance assumption transparently; no author-reported variance is implied.</x:v>
      </x:c>
    </x:row>
    <x:row r="369">
      <x:c r="A369" s="43" t="str">
        <x:v>Variance decision – Whitlow 1978</x:v>
      </x:c>
      <x:c r="B369" s="43" t="str">
        <x:v>whitlow_1978_thesis</x:v>
      </x:c>
      <x:c r="C369" s="43" t="str">
        <x:v>es101</x:v>
      </x:c>
      <x:c r="D369" s="43" t="str">
        <x:v>102</x:v>
      </x:c>
      <x:c r="E369" s="43" t="str">
        <x:v>ex_se_analysis</x:v>
      </x:c>
      <x:c r="F369" s="43" t="str"/>
      <x:c r="G369" s="43" t="str">
        <x:v>0.430577</x:v>
      </x:c>
      <x:c r="H369" s="43" t="str">
        <x:v>Corrected derived value</x:v>
      </x:c>
      <x:c r="I369" s="43" t="str">
        <x:v>included_studies/whitlow_1978_thesis.pdf; figure error bars are not defined; assumption approved by reviewer</x:v>
      </x:c>
      <x:c r="J369" s="43" t="str">
        <x:v>Apply the reviewer-approved variance assumption transparently; no author-reported variance is implied.</x:v>
      </x:c>
    </x:row>
    <x:row r="370">
      <x:c r="A370" s="43" t="str">
        <x:v>Variance decision – Whitlow 1978</x:v>
      </x:c>
      <x:c r="B370" s="43" t="str">
        <x:v>whitlow_1978_thesis</x:v>
      </x:c>
      <x:c r="C370" s="43" t="str">
        <x:v>es102</x:v>
      </x:c>
      <x:c r="D370" s="43" t="str">
        <x:v>103</x:v>
      </x:c>
      <x:c r="E370" s="43" t="str">
        <x:v>c_se_analysis</x:v>
      </x:c>
      <x:c r="F370" s="43" t="str"/>
      <x:c r="G370" s="43" t="str">
        <x:v>0.565233</x:v>
      </x:c>
      <x:c r="H370" s="43" t="str">
        <x:v>Corrected derived value</x:v>
      </x:c>
      <x:c r="I370" s="43" t="str">
        <x:v>included_studies/whitlow_1978_thesis.pdf; figure error bars are not defined; assumption approved by reviewer</x:v>
      </x:c>
      <x:c r="J370" s="43" t="str">
        <x:v>Apply the reviewer-approved variance assumption transparently; no author-reported variance is implied.</x:v>
      </x:c>
    </x:row>
    <x:row r="371">
      <x:c r="A371" s="43" t="str">
        <x:v>Variance decision – Whitlow 1978</x:v>
      </x:c>
      <x:c r="B371" s="43" t="str">
        <x:v>whitlow_1978_thesis</x:v>
      </x:c>
      <x:c r="C371" s="43" t="str">
        <x:v>es102</x:v>
      </x:c>
      <x:c r="D371" s="43" t="str">
        <x:v>103</x:v>
      </x:c>
      <x:c r="E371" s="43" t="str">
        <x:v>ex_se_analysis</x:v>
      </x:c>
      <x:c r="F371" s="43" t="str"/>
      <x:c r="G371" s="43" t="str">
        <x:v>0.532475</x:v>
      </x:c>
      <x:c r="H371" s="43" t="str">
        <x:v>Corrected derived value</x:v>
      </x:c>
      <x:c r="I371" s="43" t="str">
        <x:v>included_studies/whitlow_1978_thesis.pdf; figure error bars are not defined; assumption approved by reviewer</x:v>
      </x:c>
      <x:c r="J371" s="43" t="str">
        <x:v>Apply the reviewer-approved variance assumption transparently; no author-reported variance is implied.</x:v>
      </x:c>
    </x:row>
    <x:row r="372">
      <x:c r="A372" s="43" t="str">
        <x:v>Variance decision – Whitlow 1978</x:v>
      </x:c>
      <x:c r="B372" s="43" t="str">
        <x:v>whitlow_1978_thesis</x:v>
      </x:c>
      <x:c r="C372" s="43" t="str">
        <x:v>es103</x:v>
      </x:c>
      <x:c r="D372" s="43" t="str">
        <x:v>104</x:v>
      </x:c>
      <x:c r="E372" s="43" t="str">
        <x:v>c_se_analysis</x:v>
      </x:c>
      <x:c r="F372" s="43" t="str"/>
      <x:c r="G372" s="43" t="str">
        <x:v>0.565233</x:v>
      </x:c>
      <x:c r="H372" s="43" t="str">
        <x:v>Corrected derived value</x:v>
      </x:c>
      <x:c r="I372" s="43" t="str">
        <x:v>included_studies/whitlow_1978_thesis.pdf; figure error bars are not defined; assumption approved by reviewer</x:v>
      </x:c>
      <x:c r="J372" s="43" t="str">
        <x:v>Apply the reviewer-approved variance assumption transparently; no author-reported variance is implied.</x:v>
      </x:c>
    </x:row>
    <x:row r="373">
      <x:c r="A373" s="43" t="str">
        <x:v>Variance decision – Whitlow 1978</x:v>
      </x:c>
      <x:c r="B373" s="43" t="str">
        <x:v>whitlow_1978_thesis</x:v>
      </x:c>
      <x:c r="C373" s="43" t="str">
        <x:v>es103</x:v>
      </x:c>
      <x:c r="D373" s="43" t="str">
        <x:v>104</x:v>
      </x:c>
      <x:c r="E373" s="43" t="str">
        <x:v>ex_se_analysis</x:v>
      </x:c>
      <x:c r="F373" s="43" t="str"/>
      <x:c r="G373" s="43" t="str">
        <x:v>0.490012</x:v>
      </x:c>
      <x:c r="H373" s="43" t="str">
        <x:v>Corrected derived value</x:v>
      </x:c>
      <x:c r="I373" s="43" t="str">
        <x:v>included_studies/whitlow_1978_thesis.pdf; figure error bars are not defined; assumption approved by reviewer</x:v>
      </x:c>
      <x:c r="J373" s="43" t="str">
        <x:v>Apply the reviewer-approved variance assumption transparently; no author-reported variance is implied.</x:v>
      </x:c>
    </x:row>
    <x:row r="374">
      <x:c r="A374" s="43" t="str">
        <x:v>Variance decision – Whitlow 1978</x:v>
      </x:c>
      <x:c r="B374" s="43" t="str">
        <x:v>whitlow_1978_thesis</x:v>
      </x:c>
      <x:c r="C374" s="43" t="str">
        <x:v>es104</x:v>
      </x:c>
      <x:c r="D374" s="43" t="str">
        <x:v>105</x:v>
      </x:c>
      <x:c r="E374" s="43" t="str">
        <x:v>c_se_analysis</x:v>
      </x:c>
      <x:c r="F374" s="43" t="str"/>
      <x:c r="G374" s="43" t="str">
        <x:v>0.43818</x:v>
      </x:c>
      <x:c r="H374" s="43" t="str">
        <x:v>Corrected derived value</x:v>
      </x:c>
      <x:c r="I374" s="43" t="str">
        <x:v>included_studies/whitlow_1978_thesis.pdf; figure error bars are not defined; assumption approved by reviewer</x:v>
      </x:c>
      <x:c r="J374" s="43" t="str">
        <x:v>Apply the reviewer-approved variance assumption transparently; no author-reported variance is implied.</x:v>
      </x:c>
    </x:row>
    <x:row r="375">
      <x:c r="A375" s="43" t="str">
        <x:v>Variance decision – Whitlow 1978</x:v>
      </x:c>
      <x:c r="B375" s="43" t="str">
        <x:v>whitlow_1978_thesis</x:v>
      </x:c>
      <x:c r="C375" s="43" t="str">
        <x:v>es104</x:v>
      </x:c>
      <x:c r="D375" s="43" t="str">
        <x:v>105</x:v>
      </x:c>
      <x:c r="E375" s="43" t="str">
        <x:v>ex_se_analysis</x:v>
      </x:c>
      <x:c r="F375" s="43" t="str"/>
      <x:c r="G375" s="43" t="str">
        <x:v>0.429526</x:v>
      </x:c>
      <x:c r="H375" s="43" t="str">
        <x:v>Corrected derived value</x:v>
      </x:c>
      <x:c r="I375" s="43" t="str">
        <x:v>included_studies/whitlow_1978_thesis.pdf; figure error bars are not defined; assumption approved by reviewer</x:v>
      </x:c>
      <x:c r="J375" s="43" t="str">
        <x:v>Apply the reviewer-approved variance assumption transparently; no author-reported variance is implied.</x:v>
      </x:c>
    </x:row>
    <x:row r="376">
      <x:c r="A376" s="43" t="str">
        <x:v>Variance decision – Whitlow 1978</x:v>
      </x:c>
      <x:c r="B376" s="43" t="str">
        <x:v>whitlow_1978_thesis</x:v>
      </x:c>
      <x:c r="C376" s="43" t="str">
        <x:v>es105</x:v>
      </x:c>
      <x:c r="D376" s="43" t="str">
        <x:v>106</x:v>
      </x:c>
      <x:c r="E376" s="43" t="str">
        <x:v>c_se_analysis</x:v>
      </x:c>
      <x:c r="F376" s="43" t="str"/>
      <x:c r="G376" s="43" t="str">
        <x:v>0.43818</x:v>
      </x:c>
      <x:c r="H376" s="43" t="str">
        <x:v>Corrected derived value</x:v>
      </x:c>
      <x:c r="I376" s="43" t="str">
        <x:v>included_studies/whitlow_1978_thesis.pdf; figure error bars are not defined; assumption approved by reviewer</x:v>
      </x:c>
      <x:c r="J376" s="43" t="str">
        <x:v>Apply the reviewer-approved variance assumption transparently; no author-reported variance is implied.</x:v>
      </x:c>
    </x:row>
    <x:row r="377">
      <x:c r="A377" s="43" t="str">
        <x:v>Variance decision – Whitlow 1978</x:v>
      </x:c>
      <x:c r="B377" s="43" t="str">
        <x:v>whitlow_1978_thesis</x:v>
      </x:c>
      <x:c r="C377" s="43" t="str">
        <x:v>es105</x:v>
      </x:c>
      <x:c r="D377" s="43" t="str">
        <x:v>106</x:v>
      </x:c>
      <x:c r="E377" s="43" t="str">
        <x:v>ex_se_analysis</x:v>
      </x:c>
      <x:c r="F377" s="43" t="str"/>
      <x:c r="G377" s="43" t="str">
        <x:v>0.392095</x:v>
      </x:c>
      <x:c r="H377" s="43" t="str">
        <x:v>Corrected derived value</x:v>
      </x:c>
      <x:c r="I377" s="43" t="str">
        <x:v>included_studies/whitlow_1978_thesis.pdf; figure error bars are not defined; assumption approved by reviewer</x:v>
      </x:c>
      <x:c r="J377" s="43" t="str">
        <x:v>Apply the reviewer-approved variance assumption transparently; no author-reported variance is implied.</x:v>
      </x:c>
    </x:row>
    <x:row r="378">
      <x:c r="A378" s="43" t="str">
        <x:v>Variance decision – Whitlow 1978</x:v>
      </x:c>
      <x:c r="B378" s="43" t="str">
        <x:v>whitlow_1978_thesis</x:v>
      </x:c>
      <x:c r="C378" s="43" t="str">
        <x:v>es106</x:v>
      </x:c>
      <x:c r="D378" s="43" t="str">
        <x:v>107</x:v>
      </x:c>
      <x:c r="E378" s="43" t="str">
        <x:v>c_se_analysis</x:v>
      </x:c>
      <x:c r="F378" s="43" t="str"/>
      <x:c r="G378" s="43" t="str">
        <x:v>0.29496</x:v>
      </x:c>
      <x:c r="H378" s="43" t="str">
        <x:v>Corrected derived value</x:v>
      </x:c>
      <x:c r="I378" s="43" t="str">
        <x:v>included_studies/whitlow_1978_thesis.pdf; figure error bars are not defined; assumption approved by reviewer</x:v>
      </x:c>
      <x:c r="J378" s="43" t="str">
        <x:v>Apply the reviewer-approved variance assumption transparently; no author-reported variance is implied.</x:v>
      </x:c>
    </x:row>
    <x:row r="379">
      <x:c r="A379" s="43" t="str">
        <x:v>Variance decision – Whitlow 1978</x:v>
      </x:c>
      <x:c r="B379" s="43" t="str">
        <x:v>whitlow_1978_thesis</x:v>
      </x:c>
      <x:c r="C379" s="43" t="str">
        <x:v>es106</x:v>
      </x:c>
      <x:c r="D379" s="43" t="str">
        <x:v>107</x:v>
      </x:c>
      <x:c r="E379" s="43" t="str">
        <x:v>ex_se_analysis</x:v>
      </x:c>
      <x:c r="F379" s="43" t="str"/>
      <x:c r="G379" s="43" t="str">
        <x:v>0.344802</x:v>
      </x:c>
      <x:c r="H379" s="43" t="str">
        <x:v>Corrected derived value</x:v>
      </x:c>
      <x:c r="I379" s="43" t="str">
        <x:v>included_studies/whitlow_1978_thesis.pdf; figure error bars are not defined; assumption approved by reviewer</x:v>
      </x:c>
      <x:c r="J379" s="43" t="str">
        <x:v>Apply the reviewer-approved variance assumption transparently; no author-reported variance is implied.</x:v>
      </x:c>
    </x:row>
    <x:row r="380">
      <x:c r="A380" s="43" t="str">
        <x:v>Variance decision – Whitlow 1978</x:v>
      </x:c>
      <x:c r="B380" s="43" t="str">
        <x:v>whitlow_1978_thesis</x:v>
      </x:c>
      <x:c r="C380" s="43" t="str">
        <x:v>es107</x:v>
      </x:c>
      <x:c r="D380" s="43" t="str">
        <x:v>108</x:v>
      </x:c>
      <x:c r="E380" s="43" t="str">
        <x:v>c_se_analysis</x:v>
      </x:c>
      <x:c r="F380" s="43" t="str"/>
      <x:c r="G380" s="43" t="str">
        <x:v>0.29496</x:v>
      </x:c>
      <x:c r="H380" s="43" t="str">
        <x:v>Corrected derived value</x:v>
      </x:c>
      <x:c r="I380" s="43" t="str">
        <x:v>included_studies/whitlow_1978_thesis.pdf; figure error bars are not defined; assumption approved by reviewer</x:v>
      </x:c>
      <x:c r="J380" s="43" t="str">
        <x:v>Apply the reviewer-approved variance assumption transparently; no author-reported variance is implied.</x:v>
      </x:c>
    </x:row>
    <x:row r="381">
      <x:c r="A381" s="43" t="str">
        <x:v>Variance decision – Whitlow 1978</x:v>
      </x:c>
      <x:c r="B381" s="43" t="str">
        <x:v>whitlow_1978_thesis</x:v>
      </x:c>
      <x:c r="C381" s="43" t="str">
        <x:v>es107</x:v>
      </x:c>
      <x:c r="D381" s="43" t="str">
        <x:v>108</x:v>
      </x:c>
      <x:c r="E381" s="43" t="str">
        <x:v>ex_se_analysis</x:v>
      </x:c>
      <x:c r="F381" s="43" t="str"/>
      <x:c r="G381" s="43" t="str">
        <x:v>0.318014</x:v>
      </x:c>
      <x:c r="H381" s="43" t="str">
        <x:v>Corrected derived value</x:v>
      </x:c>
      <x:c r="I381" s="43" t="str">
        <x:v>included_studies/whitlow_1978_thesis.pdf; figure error bars are not defined; assumption approved by reviewer</x:v>
      </x:c>
      <x:c r="J381" s="43" t="str">
        <x:v>Apply the reviewer-approved variance assumption transparently; no author-reported variance is implied.</x:v>
      </x:c>
    </x:row>
    <x:row r="382">
      <x:c r="A382" s="43" t="str">
        <x:v>Variance decision – Whitlow 1978</x:v>
      </x:c>
      <x:c r="B382" s="43" t="str">
        <x:v>whitlow_1978_thesis</x:v>
      </x:c>
      <x:c r="C382" s="43" t="str">
        <x:v>es108</x:v>
      </x:c>
      <x:c r="D382" s="43" t="str">
        <x:v>109</x:v>
      </x:c>
      <x:c r="E382" s="43" t="str">
        <x:v>c_se_analysis</x:v>
      </x:c>
      <x:c r="F382" s="43" t="str"/>
      <x:c r="G382" s="43" t="str">
        <x:v>0.333174</x:v>
      </x:c>
      <x:c r="H382" s="43" t="str">
        <x:v>Corrected derived value</x:v>
      </x:c>
      <x:c r="I382" s="43" t="str">
        <x:v>included_studies/whitlow_1978_thesis.pdf; figure error bars are not defined; assumption approved by reviewer</x:v>
      </x:c>
      <x:c r="J382" s="43" t="str">
        <x:v>Apply the reviewer-approved variance assumption transparently; no author-reported variance is implied.</x:v>
      </x:c>
    </x:row>
    <x:row r="383">
      <x:c r="A383" s="43" t="str">
        <x:v>Variance decision – Whitlow 1978</x:v>
      </x:c>
      <x:c r="B383" s="43" t="str">
        <x:v>whitlow_1978_thesis</x:v>
      </x:c>
      <x:c r="C383" s="43" t="str">
        <x:v>es108</x:v>
      </x:c>
      <x:c r="D383" s="43" t="str">
        <x:v>109</x:v>
      </x:c>
      <x:c r="E383" s="43" t="str">
        <x:v>ex_se_analysis</x:v>
      </x:c>
      <x:c r="F383" s="43" t="str"/>
      <x:c r="G383" s="43" t="str">
        <x:v>0.314861</x:v>
      </x:c>
      <x:c r="H383" s="43" t="str">
        <x:v>Corrected derived value</x:v>
      </x:c>
      <x:c r="I383" s="43" t="str">
        <x:v>included_studies/whitlow_1978_thesis.pdf; figure error bars are not defined; assumption approved by reviewer</x:v>
      </x:c>
      <x:c r="J383" s="43" t="str">
        <x:v>Apply the reviewer-approved variance assumption transparently; no author-reported variance is implied.</x:v>
      </x:c>
    </x:row>
    <x:row r="384">
      <x:c r="A384" s="43" t="str">
        <x:v>Variance decision – Whitlow 1978</x:v>
      </x:c>
      <x:c r="B384" s="43" t="str">
        <x:v>whitlow_1978_thesis</x:v>
      </x:c>
      <x:c r="C384" s="43" t="str">
        <x:v>es109</x:v>
      </x:c>
      <x:c r="D384" s="43" t="str">
        <x:v>110</x:v>
      </x:c>
      <x:c r="E384" s="43" t="str">
        <x:v>c_se_analysis</x:v>
      </x:c>
      <x:c r="F384" s="43" t="str"/>
      <x:c r="G384" s="43" t="str">
        <x:v>0.333174</x:v>
      </x:c>
      <x:c r="H384" s="43" t="str">
        <x:v>Corrected derived value</x:v>
      </x:c>
      <x:c r="I384" s="43" t="str">
        <x:v>included_studies/whitlow_1978_thesis.pdf; figure error bars are not defined; assumption approved by reviewer</x:v>
      </x:c>
      <x:c r="J384" s="43" t="str">
        <x:v>Apply the reviewer-approved variance assumption transparently; no author-reported variance is implied.</x:v>
      </x:c>
    </x:row>
    <x:row r="385">
      <x:c r="A385" s="43" t="str">
        <x:v>Variance decision – Whitlow 1978</x:v>
      </x:c>
      <x:c r="B385" s="43" t="str">
        <x:v>whitlow_1978_thesis</x:v>
      </x:c>
      <x:c r="C385" s="43" t="str">
        <x:v>es109</x:v>
      </x:c>
      <x:c r="D385" s="43" t="str">
        <x:v>110</x:v>
      </x:c>
      <x:c r="E385" s="43" t="str">
        <x:v>ex_se_analysis</x:v>
      </x:c>
      <x:c r="F385" s="43" t="str"/>
      <x:c r="G385" s="43" t="str">
        <x:v>0.302585</x:v>
      </x:c>
      <x:c r="H385" s="43" t="str">
        <x:v>Corrected derived value</x:v>
      </x:c>
      <x:c r="I385" s="43" t="str">
        <x:v>included_studies/whitlow_1978_thesis.pdf; figure error bars are not defined; assumption approved by reviewer</x:v>
      </x:c>
      <x:c r="J385" s="43" t="str">
        <x:v>Apply the reviewer-approved variance assumption transparently; no author-reported variance is implied.</x:v>
      </x:c>
    </x:row>
    <x:row r="386">
      <x:c r="A386" s="43" t="str">
        <x:v>Variance decision – Whitlow 1978</x:v>
      </x:c>
      <x:c r="B386" s="43" t="str">
        <x:v>whitlow_1978_thesis</x:v>
      </x:c>
      <x:c r="C386" s="43" t="str">
        <x:v>es110</x:v>
      </x:c>
      <x:c r="D386" s="43" t="str">
        <x:v>111</x:v>
      </x:c>
      <x:c r="E386" s="43" t="str">
        <x:v>c_se_analysis</x:v>
      </x:c>
      <x:c r="F386" s="43" t="str"/>
      <x:c r="G386" s="43" t="str">
        <x:v>0.238745</x:v>
      </x:c>
      <x:c r="H386" s="43" t="str">
        <x:v>Corrected derived value</x:v>
      </x:c>
      <x:c r="I386" s="43" t="str">
        <x:v>included_studies/whitlow_1978_thesis.pdf; figure error bars are not defined; assumption approved by reviewer</x:v>
      </x:c>
      <x:c r="J386" s="43" t="str">
        <x:v>Apply the reviewer-approved variance assumption transparently; no author-reported variance is implied.</x:v>
      </x:c>
    </x:row>
    <x:row r="387">
      <x:c r="A387" s="43" t="str">
        <x:v>Variance decision – Whitlow 1978</x:v>
      </x:c>
      <x:c r="B387" s="43" t="str">
        <x:v>whitlow_1978_thesis</x:v>
      </x:c>
      <x:c r="C387" s="43" t="str">
        <x:v>es110</x:v>
      </x:c>
      <x:c r="D387" s="43" t="str">
        <x:v>111</x:v>
      </x:c>
      <x:c r="E387" s="43" t="str">
        <x:v>ex_se_analysis</x:v>
      </x:c>
      <x:c r="F387" s="43" t="str"/>
      <x:c r="G387" s="43" t="str">
        <x:v>0.358688</x:v>
      </x:c>
      <x:c r="H387" s="43" t="str">
        <x:v>Corrected derived value</x:v>
      </x:c>
      <x:c r="I387" s="43" t="str">
        <x:v>included_studies/whitlow_1978_thesis.pdf; figure error bars are not defined; assumption approved by reviewer</x:v>
      </x:c>
      <x:c r="J387" s="43" t="str">
        <x:v>Apply the reviewer-approved variance assumption transparently; no author-reported variance is implied.</x:v>
      </x:c>
    </x:row>
    <x:row r="388">
      <x:c r="A388" s="43" t="str">
        <x:v>Variance decision – Whitlow 1978</x:v>
      </x:c>
      <x:c r="B388" s="43" t="str">
        <x:v>whitlow_1978_thesis</x:v>
      </x:c>
      <x:c r="C388" s="43" t="str">
        <x:v>es111</x:v>
      </x:c>
      <x:c r="D388" s="43" t="str">
        <x:v>112</x:v>
      </x:c>
      <x:c r="E388" s="43" t="str">
        <x:v>c_se_analysis</x:v>
      </x:c>
      <x:c r="F388" s="43" t="str"/>
      <x:c r="G388" s="43" t="str">
        <x:v>0.238745</x:v>
      </x:c>
      <x:c r="H388" s="43" t="str">
        <x:v>Corrected derived value</x:v>
      </x:c>
      <x:c r="I388" s="43" t="str">
        <x:v>included_studies/whitlow_1978_thesis.pdf; figure error bars are not defined; assumption approved by reviewer</x:v>
      </x:c>
      <x:c r="J388" s="43" t="str">
        <x:v>Apply the reviewer-approved variance assumption transparently; no author-reported variance is implied.</x:v>
      </x:c>
    </x:row>
    <x:row r="389">
      <x:c r="A389" s="43" t="str">
        <x:v>Variance decision – Whitlow 1978</x:v>
      </x:c>
      <x:c r="B389" s="43" t="str">
        <x:v>whitlow_1978_thesis</x:v>
      </x:c>
      <x:c r="C389" s="43" t="str">
        <x:v>es111</x:v>
      </x:c>
      <x:c r="D389" s="43" t="str">
        <x:v>112</x:v>
      </x:c>
      <x:c r="E389" s="43" t="str">
        <x:v>ex_se_analysis</x:v>
      </x:c>
      <x:c r="F389" s="43" t="str"/>
      <x:c r="G389" s="43" t="str">
        <x:v>0.378186</x:v>
      </x:c>
      <x:c r="H389" s="43" t="str">
        <x:v>Corrected derived value</x:v>
      </x:c>
      <x:c r="I389" s="43" t="str">
        <x:v>included_studies/whitlow_1978_thesis.pdf; figure error bars are not defined; assumption approved by reviewer</x:v>
      </x:c>
      <x:c r="J389" s="43" t="str">
        <x:v>Apply the reviewer-approved variance assumption transparently; no author-reported variance is implied.</x:v>
      </x:c>
    </x:row>
    <x:row r="390">
      <x:c r="A390" s="43" t="str">
        <x:v>Variance decision – Whitlow 1978</x:v>
      </x:c>
      <x:c r="B390" s="43" t="str">
        <x:v>whitlow_1978_thesis</x:v>
      </x:c>
      <x:c r="C390" s="43" t="str">
        <x:v>es112</x:v>
      </x:c>
      <x:c r="D390" s="43" t="str">
        <x:v>113</x:v>
      </x:c>
      <x:c r="E390" s="43" t="str">
        <x:v>c_se_analysis</x:v>
      </x:c>
      <x:c r="F390" s="43" t="str"/>
      <x:c r="G390" s="43" t="str">
        <x:v>1.512722</x:v>
      </x:c>
      <x:c r="H390" s="43" t="str">
        <x:v>Corrected derived value</x:v>
      </x:c>
      <x:c r="I390" s="43" t="str">
        <x:v>included_studies/whitlow_1978_thesis.pdf; figure error bars are not defined; assumption approved by reviewer</x:v>
      </x:c>
      <x:c r="J390" s="43" t="str">
        <x:v>Apply the reviewer-approved variance assumption transparently; no author-reported variance is implied.</x:v>
      </x:c>
    </x:row>
    <x:row r="391">
      <x:c r="A391" s="43" t="str">
        <x:v>Variance decision – Whitlow 1978</x:v>
      </x:c>
      <x:c r="B391" s="43" t="str">
        <x:v>whitlow_1978_thesis</x:v>
      </x:c>
      <x:c r="C391" s="43" t="str">
        <x:v>es112</x:v>
      </x:c>
      <x:c r="D391" s="43" t="str">
        <x:v>113</x:v>
      </x:c>
      <x:c r="E391" s="43" t="str">
        <x:v>ex_se_analysis</x:v>
      </x:c>
      <x:c r="F391" s="43" t="str"/>
      <x:c r="G391" s="43" t="str">
        <x:v>1.887174</x:v>
      </x:c>
      <x:c r="H391" s="43" t="str">
        <x:v>Corrected derived value</x:v>
      </x:c>
      <x:c r="I391" s="43" t="str">
        <x:v>included_studies/whitlow_1978_thesis.pdf; figure error bars are not defined; assumption approved by reviewer</x:v>
      </x:c>
      <x:c r="J391" s="43" t="str">
        <x:v>Apply the reviewer-approved variance assumption transparently; no author-reported variance is implied.</x:v>
      </x:c>
    </x:row>
    <x:row r="392">
      <x:c r="A392" s="43" t="str">
        <x:v>Variance decision – Whitlow 1978</x:v>
      </x:c>
      <x:c r="B392" s="43" t="str">
        <x:v>whitlow_1978_thesis</x:v>
      </x:c>
      <x:c r="C392" s="43" t="str">
        <x:v>es113</x:v>
      </x:c>
      <x:c r="D392" s="43" t="str">
        <x:v>114</x:v>
      </x:c>
      <x:c r="E392" s="43" t="str">
        <x:v>c_se_analysis</x:v>
      </x:c>
      <x:c r="F392" s="43" t="str"/>
      <x:c r="G392" s="43" t="str">
        <x:v>1.512722</x:v>
      </x:c>
      <x:c r="H392" s="43" t="str">
        <x:v>Corrected derived value</x:v>
      </x:c>
      <x:c r="I392" s="43" t="str">
        <x:v>included_studies/whitlow_1978_thesis.pdf; figure error bars are not defined; assumption approved by reviewer</x:v>
      </x:c>
      <x:c r="J392" s="43" t="str">
        <x:v>Apply the reviewer-approved variance assumption transparently; no author-reported variance is implied.</x:v>
      </x:c>
    </x:row>
    <x:row r="393">
      <x:c r="A393" s="43" t="str">
        <x:v>Variance decision – Whitlow 1978</x:v>
      </x:c>
      <x:c r="B393" s="43" t="str">
        <x:v>whitlow_1978_thesis</x:v>
      </x:c>
      <x:c r="C393" s="43" t="str">
        <x:v>es113</x:v>
      </x:c>
      <x:c r="D393" s="43" t="str">
        <x:v>114</x:v>
      </x:c>
      <x:c r="E393" s="43" t="str">
        <x:v>ex_se_analysis</x:v>
      </x:c>
      <x:c r="F393" s="43" t="str"/>
      <x:c r="G393" s="43" t="str">
        <x:v>1.74458</x:v>
      </x:c>
      <x:c r="H393" s="43" t="str">
        <x:v>Corrected derived value</x:v>
      </x:c>
      <x:c r="I393" s="43" t="str">
        <x:v>included_studies/whitlow_1978_thesis.pdf; figure error bars are not defined; assumption approved by reviewer</x:v>
      </x:c>
      <x:c r="J393" s="43" t="str">
        <x:v>Apply the reviewer-approved variance assumption transparently; no author-reported variance is implied.</x:v>
      </x:c>
    </x:row>
    <x:row r="394">
      <x:c r="A394" s="43" t="str">
        <x:v>Variance decision – Whitlow 1978</x:v>
      </x:c>
      <x:c r="B394" s="43" t="str">
        <x:v>whitlow_1978_thesis</x:v>
      </x:c>
      <x:c r="C394" s="43" t="str">
        <x:v>es114</x:v>
      </x:c>
      <x:c r="D394" s="43" t="str">
        <x:v>115</x:v>
      </x:c>
      <x:c r="E394" s="43" t="str">
        <x:v>c_se_analysis</x:v>
      </x:c>
      <x:c r="F394" s="43" t="str"/>
      <x:c r="G394" s="43" t="str">
        <x:v>1.259689</x:v>
      </x:c>
      <x:c r="H394" s="43" t="str">
        <x:v>Corrected derived value</x:v>
      </x:c>
      <x:c r="I394" s="43" t="str">
        <x:v>included_studies/whitlow_1978_thesis.pdf; figure error bars are not defined; assumption approved by reviewer</x:v>
      </x:c>
      <x:c r="J394" s="43" t="str">
        <x:v>Apply the reviewer-approved variance assumption transparently; no author-reported variance is implied.</x:v>
      </x:c>
    </x:row>
    <x:row r="395">
      <x:c r="A395" s="43" t="str">
        <x:v>Variance decision – Whitlow 1978</x:v>
      </x:c>
      <x:c r="B395" s="43" t="str">
        <x:v>whitlow_1978_thesis</x:v>
      </x:c>
      <x:c r="C395" s="43" t="str">
        <x:v>es114</x:v>
      </x:c>
      <x:c r="D395" s="43" t="str">
        <x:v>115</x:v>
      </x:c>
      <x:c r="E395" s="43" t="str">
        <x:v>ex_se_analysis</x:v>
      </x:c>
      <x:c r="F395" s="43" t="str"/>
      <x:c r="G395" s="43" t="str">
        <x:v>1.46288</x:v>
      </x:c>
      <x:c r="H395" s="43" t="str">
        <x:v>Corrected derived value</x:v>
      </x:c>
      <x:c r="I395" s="43" t="str">
        <x:v>included_studies/whitlow_1978_thesis.pdf; figure error bars are not defined; assumption approved by reviewer</x:v>
      </x:c>
      <x:c r="J395" s="43" t="str">
        <x:v>Apply the reviewer-approved variance assumption transparently; no author-reported variance is implied.</x:v>
      </x:c>
    </x:row>
    <x:row r="396">
      <x:c r="A396" s="43" t="str">
        <x:v>Variance decision – Whitlow 1978</x:v>
      </x:c>
      <x:c r="B396" s="43" t="str">
        <x:v>whitlow_1978_thesis</x:v>
      </x:c>
      <x:c r="C396" s="43" t="str">
        <x:v>es115</x:v>
      </x:c>
      <x:c r="D396" s="43" t="str">
        <x:v>116</x:v>
      </x:c>
      <x:c r="E396" s="43" t="str">
        <x:v>c_se_analysis</x:v>
      </x:c>
      <x:c r="F396" s="43" t="str"/>
      <x:c r="G396" s="43" t="str">
        <x:v>1.259689</x:v>
      </x:c>
      <x:c r="H396" s="43" t="str">
        <x:v>Corrected derived value</x:v>
      </x:c>
      <x:c r="I396" s="43" t="str">
        <x:v>included_studies/whitlow_1978_thesis.pdf; figure error bars are not defined; assumption approved by reviewer</x:v>
      </x:c>
      <x:c r="J396" s="43" t="str">
        <x:v>Apply the reviewer-approved variance assumption transparently; no author-reported variance is implied.</x:v>
      </x:c>
    </x:row>
    <x:row r="397">
      <x:c r="A397" s="43" t="str">
        <x:v>Variance decision – Whitlow 1978</x:v>
      </x:c>
      <x:c r="B397" s="43" t="str">
        <x:v>whitlow_1978_thesis</x:v>
      </x:c>
      <x:c r="C397" s="43" t="str">
        <x:v>es115</x:v>
      </x:c>
      <x:c r="D397" s="43" t="str">
        <x:v>116</x:v>
      </x:c>
      <x:c r="E397" s="43" t="str">
        <x:v>ex_se_analysis</x:v>
      </x:c>
      <x:c r="F397" s="43" t="str"/>
      <x:c r="G397" s="43" t="str">
        <x:v>1.357986</x:v>
      </x:c>
      <x:c r="H397" s="43" t="str">
        <x:v>Corrected derived value</x:v>
      </x:c>
      <x:c r="I397" s="43" t="str">
        <x:v>included_studies/whitlow_1978_thesis.pdf; figure error bars are not defined; assumption approved by reviewer</x:v>
      </x:c>
      <x:c r="J397" s="43" t="str">
        <x:v>Apply the reviewer-approved variance assumption transparently; no author-reported variance is implied.</x:v>
      </x:c>
    </x:row>
    <x:row r="398">
      <x:c r="A398" s="43" t="str">
        <x:v>Variance decision – Whitlow 1978</x:v>
      </x:c>
      <x:c r="B398" s="43" t="str">
        <x:v>whitlow_1978_thesis</x:v>
      </x:c>
      <x:c r="C398" s="43" t="str">
        <x:v>es116</x:v>
      </x:c>
      <x:c r="D398" s="43" t="str">
        <x:v>117</x:v>
      </x:c>
      <x:c r="E398" s="43" t="str">
        <x:v>c_se_analysis</x:v>
      </x:c>
      <x:c r="F398" s="43" t="str"/>
      <x:c r="G398" s="43" t="str">
        <x:v>0.977743</x:v>
      </x:c>
      <x:c r="H398" s="43" t="str">
        <x:v>Corrected derived value</x:v>
      </x:c>
      <x:c r="I398" s="43" t="str">
        <x:v>included_studies/whitlow_1978_thesis.pdf; figure error bars are not defined; assumption approved by reviewer</x:v>
      </x:c>
      <x:c r="J398" s="43" t="str">
        <x:v>Apply the reviewer-approved variance assumption transparently; no author-reported variance is implied.</x:v>
      </x:c>
    </x:row>
    <x:row r="399">
      <x:c r="A399" s="43" t="str">
        <x:v>Variance decision – Whitlow 1978</x:v>
      </x:c>
      <x:c r="B399" s="43" t="str">
        <x:v>whitlow_1978_thesis</x:v>
      </x:c>
      <x:c r="C399" s="43" t="str">
        <x:v>es116</x:v>
      </x:c>
      <x:c r="D399" s="43" t="str">
        <x:v>117</x:v>
      </x:c>
      <x:c r="E399" s="43" t="str">
        <x:v>ex_se_analysis</x:v>
      </x:c>
      <x:c r="F399" s="43" t="str"/>
      <x:c r="G399" s="43" t="str">
        <x:v>1.156226</x:v>
      </x:c>
      <x:c r="H399" s="43" t="str">
        <x:v>Corrected derived value</x:v>
      </x:c>
      <x:c r="I399" s="43" t="str">
        <x:v>included_studies/whitlow_1978_thesis.pdf; figure error bars are not defined; assumption approved by reviewer</x:v>
      </x:c>
      <x:c r="J399" s="43" t="str">
        <x:v>Apply the reviewer-approved variance assumption transparently; no author-reported variance is implied.</x:v>
      </x:c>
    </x:row>
    <x:row r="400">
      <x:c r="A400" s="43" t="str">
        <x:v>Variance decision – Whitlow 1978</x:v>
      </x:c>
      <x:c r="B400" s="43" t="str">
        <x:v>whitlow_1978_thesis</x:v>
      </x:c>
      <x:c r="C400" s="43" t="str">
        <x:v>es117</x:v>
      </x:c>
      <x:c r="D400" s="43" t="str">
        <x:v>118</x:v>
      </x:c>
      <x:c r="E400" s="43" t="str">
        <x:v>c_se_analysis</x:v>
      </x:c>
      <x:c r="F400" s="43" t="str"/>
      <x:c r="G400" s="43" t="str">
        <x:v>0.977743</x:v>
      </x:c>
      <x:c r="H400" s="43" t="str">
        <x:v>Corrected derived value</x:v>
      </x:c>
      <x:c r="I400" s="43" t="str">
        <x:v>included_studies/whitlow_1978_thesis.pdf; figure error bars are not defined; assumption approved by reviewer</x:v>
      </x:c>
      <x:c r="J400" s="43" t="str">
        <x:v>Apply the reviewer-approved variance assumption transparently; no author-reported variance is implied.</x:v>
      </x:c>
    </x:row>
    <x:row r="401">
      <x:c r="A401" s="43" t="str">
        <x:v>Variance decision – Whitlow 1978</x:v>
      </x:c>
      <x:c r="B401" s="43" t="str">
        <x:v>whitlow_1978_thesis</x:v>
      </x:c>
      <x:c r="C401" s="43" t="str">
        <x:v>es117</x:v>
      </x:c>
      <x:c r="D401" s="43" t="str">
        <x:v>118</x:v>
      </x:c>
      <x:c r="E401" s="43" t="str">
        <x:v>ex_se_analysis</x:v>
      </x:c>
      <x:c r="F401" s="43" t="str"/>
      <x:c r="G401" s="43" t="str">
        <x:v>0.887316</x:v>
      </x:c>
      <x:c r="H401" s="43" t="str">
        <x:v>Corrected derived value</x:v>
      </x:c>
      <x:c r="I401" s="43" t="str">
        <x:v>included_studies/whitlow_1978_thesis.pdf; figure error bars are not defined; assumption approved by reviewer</x:v>
      </x:c>
      <x:c r="J401" s="43" t="str">
        <x:v>Apply the reviewer-approved variance assumption transparently; no author-reported variance is implied.</x:v>
      </x:c>
    </x:row>
    <x:row r="402">
      <x:c r="A402" s="43" t="str">
        <x:v>Variance decision – Whitlow 1978</x:v>
      </x:c>
      <x:c r="B402" s="43" t="str">
        <x:v>whitlow_1978_thesis</x:v>
      </x:c>
      <x:c r="C402" s="43" t="str">
        <x:v>es118</x:v>
      </x:c>
      <x:c r="D402" s="43" t="str">
        <x:v>119</x:v>
      </x:c>
      <x:c r="E402" s="43" t="str">
        <x:v>c_se_analysis</x:v>
      </x:c>
      <x:c r="F402" s="43" t="str"/>
      <x:c r="G402" s="43" t="str">
        <x:v>0.450143</x:v>
      </x:c>
      <x:c r="H402" s="43" t="str">
        <x:v>Corrected derived value</x:v>
      </x:c>
      <x:c r="I402" s="43" t="str">
        <x:v>included_studies/whitlow_1978_thesis.pdf; figure error bars are not defined; assumption approved by reviewer</x:v>
      </x:c>
      <x:c r="J402" s="43" t="str">
        <x:v>Apply the reviewer-approved variance assumption transparently; no author-reported variance is implied.</x:v>
      </x:c>
    </x:row>
    <x:row r="403">
      <x:c r="A403" s="43" t="str">
        <x:v>Variance decision – Whitlow 1978</x:v>
      </x:c>
      <x:c r="B403" s="43" t="str">
        <x:v>whitlow_1978_thesis</x:v>
      </x:c>
      <x:c r="C403" s="43" t="str">
        <x:v>es118</x:v>
      </x:c>
      <x:c r="D403" s="43" t="str">
        <x:v>119</x:v>
      </x:c>
      <x:c r="E403" s="43" t="str">
        <x:v>ex_se_analysis</x:v>
      </x:c>
      <x:c r="F403" s="43" t="str"/>
      <x:c r="G403" s="43" t="str">
        <x:v>0.429012</x:v>
      </x:c>
      <x:c r="H403" s="43" t="str">
        <x:v>Corrected derived value</x:v>
      </x:c>
      <x:c r="I403" s="43" t="str">
        <x:v>included_studies/whitlow_1978_thesis.pdf; figure error bars are not defined; assumption approved by reviewer</x:v>
      </x:c>
      <x:c r="J403" s="43" t="str">
        <x:v>Apply the reviewer-approved variance assumption transparently; no author-reported variance is implied.</x:v>
      </x:c>
    </x:row>
    <x:row r="404">
      <x:c r="A404" s="43" t="str">
        <x:v>Variance decision – Whitlow 1978</x:v>
      </x:c>
      <x:c r="B404" s="43" t="str">
        <x:v>whitlow_1978_thesis</x:v>
      </x:c>
      <x:c r="C404" s="43" t="str">
        <x:v>es119</x:v>
      </x:c>
      <x:c r="D404" s="43" t="str">
        <x:v>120</x:v>
      </x:c>
      <x:c r="E404" s="43" t="str">
        <x:v>c_se_analysis</x:v>
      </x:c>
      <x:c r="F404" s="43" t="str"/>
      <x:c r="G404" s="43" t="str">
        <x:v>0.450143</x:v>
      </x:c>
      <x:c r="H404" s="43" t="str">
        <x:v>Corrected derived value</x:v>
      </x:c>
      <x:c r="I404" s="43" t="str">
        <x:v>included_studies/whitlow_1978_thesis.pdf; figure error bars are not defined; assumption approved by reviewer</x:v>
      </x:c>
      <x:c r="J404" s="43" t="str">
        <x:v>Apply the reviewer-approved variance assumption transparently; no author-reported variance is implied.</x:v>
      </x:c>
    </x:row>
    <x:row r="405">
      <x:c r="A405" s="43" t="str">
        <x:v>Variance decision – Whitlow 1978</x:v>
      </x:c>
      <x:c r="B405" s="43" t="str">
        <x:v>whitlow_1978_thesis</x:v>
      </x:c>
      <x:c r="C405" s="43" t="str">
        <x:v>es119</x:v>
      </x:c>
      <x:c r="D405" s="43" t="str">
        <x:v>120</x:v>
      </x:c>
      <x:c r="E405" s="43" t="str">
        <x:v>ex_se_analysis</x:v>
      </x:c>
      <x:c r="F405" s="43" t="str"/>
      <x:c r="G405" s="43" t="str">
        <x:v>0.430577</x:v>
      </x:c>
      <x:c r="H405" s="43" t="str">
        <x:v>Corrected derived value</x:v>
      </x:c>
      <x:c r="I405" s="43" t="str">
        <x:v>included_studies/whitlow_1978_thesis.pdf; figure error bars are not defined; assumption approved by reviewer</x:v>
      </x:c>
      <x:c r="J405" s="43" t="str">
        <x:v>Apply the reviewer-approved variance assumption transparently; no author-reported variance is implied.</x:v>
      </x:c>
    </x:row>
    <x:row r="406">
      <x:c r="A406" s="43" t="str">
        <x:v>Variance decision – Whitlow 1978</x:v>
      </x:c>
      <x:c r="B406" s="43" t="str">
        <x:v>whitlow_1978_thesis</x:v>
      </x:c>
      <x:c r="C406" s="43" t="str">
        <x:v>es120</x:v>
      </x:c>
      <x:c r="D406" s="43" t="str">
        <x:v>121</x:v>
      </x:c>
      <x:c r="E406" s="43" t="str">
        <x:v>c_se_analysis</x:v>
      </x:c>
      <x:c r="F406" s="43" t="str"/>
      <x:c r="G406" s="43" t="str">
        <x:v>0.419084</x:v>
      </x:c>
      <x:c r="H406" s="43" t="str">
        <x:v>Corrected derived value</x:v>
      </x:c>
      <x:c r="I406" s="43" t="str">
        <x:v>included_studies/whitlow_1978_thesis.pdf; figure error bars are not defined; assumption approved by reviewer</x:v>
      </x:c>
      <x:c r="J406" s="43" t="str">
        <x:v>Apply the reviewer-approved variance assumption transparently; no author-reported variance is implied.</x:v>
      </x:c>
    </x:row>
    <x:row r="407">
      <x:c r="A407" s="43" t="str">
        <x:v>Variance decision – Whitlow 1978</x:v>
      </x:c>
      <x:c r="B407" s="43" t="str">
        <x:v>whitlow_1978_thesis</x:v>
      </x:c>
      <x:c r="C407" s="43" t="str">
        <x:v>es120</x:v>
      </x:c>
      <x:c r="D407" s="43" t="str">
        <x:v>121</x:v>
      </x:c>
      <x:c r="E407" s="43" t="str">
        <x:v>ex_se_analysis</x:v>
      </x:c>
      <x:c r="F407" s="43" t="str"/>
      <x:c r="G407" s="43" t="str">
        <x:v>0.532475</x:v>
      </x:c>
      <x:c r="H407" s="43" t="str">
        <x:v>Corrected derived value</x:v>
      </x:c>
      <x:c r="I407" s="43" t="str">
        <x:v>included_studies/whitlow_1978_thesis.pdf; figure error bars are not defined; assumption approved by reviewer</x:v>
      </x:c>
      <x:c r="J407" s="43" t="str">
        <x:v>Apply the reviewer-approved variance assumption transparently; no author-reported variance is implied.</x:v>
      </x:c>
    </x:row>
    <x:row r="408">
      <x:c r="A408" s="43" t="str">
        <x:v>Variance decision – Whitlow 1978</x:v>
      </x:c>
      <x:c r="B408" s="43" t="str">
        <x:v>whitlow_1978_thesis</x:v>
      </x:c>
      <x:c r="C408" s="43" t="str">
        <x:v>es121</x:v>
      </x:c>
      <x:c r="D408" s="43" t="str">
        <x:v>122</x:v>
      </x:c>
      <x:c r="E408" s="43" t="str">
        <x:v>c_se_analysis</x:v>
      </x:c>
      <x:c r="F408" s="43" t="str"/>
      <x:c r="G408" s="43" t="str">
        <x:v>0.419084</x:v>
      </x:c>
      <x:c r="H408" s="43" t="str">
        <x:v>Corrected derived value</x:v>
      </x:c>
      <x:c r="I408" s="43" t="str">
        <x:v>included_studies/whitlow_1978_thesis.pdf; figure error bars are not defined; assumption approved by reviewer</x:v>
      </x:c>
      <x:c r="J408" s="43" t="str">
        <x:v>Apply the reviewer-approved variance assumption transparently; no author-reported variance is implied.</x:v>
      </x:c>
    </x:row>
    <x:row r="409">
      <x:c r="A409" s="43" t="str">
        <x:v>Variance decision – Whitlow 1978</x:v>
      </x:c>
      <x:c r="B409" s="43" t="str">
        <x:v>whitlow_1978_thesis</x:v>
      </x:c>
      <x:c r="C409" s="43" t="str">
        <x:v>es121</x:v>
      </x:c>
      <x:c r="D409" s="43" t="str">
        <x:v>122</x:v>
      </x:c>
      <x:c r="E409" s="43" t="str">
        <x:v>ex_se_analysis</x:v>
      </x:c>
      <x:c r="F409" s="43" t="str"/>
      <x:c r="G409" s="43" t="str">
        <x:v>0.490012</x:v>
      </x:c>
      <x:c r="H409" s="43" t="str">
        <x:v>Corrected derived value</x:v>
      </x:c>
      <x:c r="I409" s="43" t="str">
        <x:v>included_studies/whitlow_1978_thesis.pdf; figure error bars are not defined; assumption approved by reviewer</x:v>
      </x:c>
      <x:c r="J409" s="43" t="str">
        <x:v>Apply the reviewer-approved variance assumption transparently; no author-reported variance is implied.</x:v>
      </x:c>
    </x:row>
    <x:row r="410">
      <x:c r="A410" s="43" t="str">
        <x:v>Variance decision – Whitlow 1978</x:v>
      </x:c>
      <x:c r="B410" s="43" t="str">
        <x:v>whitlow_1978_thesis</x:v>
      </x:c>
      <x:c r="C410" s="43" t="str">
        <x:v>es122</x:v>
      </x:c>
      <x:c r="D410" s="43" t="str">
        <x:v>123</x:v>
      </x:c>
      <x:c r="E410" s="43" t="str">
        <x:v>c_se_analysis</x:v>
      </x:c>
      <x:c r="F410" s="43" t="str"/>
      <x:c r="G410" s="43" t="str">
        <x:v>0.438627</x:v>
      </x:c>
      <x:c r="H410" s="43" t="str">
        <x:v>Corrected derived value</x:v>
      </x:c>
      <x:c r="I410" s="43" t="str">
        <x:v>included_studies/whitlow_1978_thesis.pdf; figure error bars are not defined; assumption approved by reviewer</x:v>
      </x:c>
      <x:c r="J410" s="43" t="str">
        <x:v>Apply the reviewer-approved variance assumption transparently; no author-reported variance is implied.</x:v>
      </x:c>
    </x:row>
    <x:row r="411">
      <x:c r="A411" s="43" t="str">
        <x:v>Variance decision – Whitlow 1978</x:v>
      </x:c>
      <x:c r="B411" s="43" t="str">
        <x:v>whitlow_1978_thesis</x:v>
      </x:c>
      <x:c r="C411" s="43" t="str">
        <x:v>es122</x:v>
      </x:c>
      <x:c r="D411" s="43" t="str">
        <x:v>123</x:v>
      </x:c>
      <x:c r="E411" s="43" t="str">
        <x:v>ex_se_analysis</x:v>
      </x:c>
      <x:c r="F411" s="43" t="str"/>
      <x:c r="G411" s="43" t="str">
        <x:v>0.429526</x:v>
      </x:c>
      <x:c r="H411" s="43" t="str">
        <x:v>Corrected derived value</x:v>
      </x:c>
      <x:c r="I411" s="43" t="str">
        <x:v>included_studies/whitlow_1978_thesis.pdf; figure error bars are not defined; assumption approved by reviewer</x:v>
      </x:c>
      <x:c r="J411" s="43" t="str">
        <x:v>Apply the reviewer-approved variance assumption transparently; no author-reported variance is implied.</x:v>
      </x:c>
    </x:row>
    <x:row r="412">
      <x:c r="A412" s="43" t="str">
        <x:v>Variance decision – Whitlow 1978</x:v>
      </x:c>
      <x:c r="B412" s="43" t="str">
        <x:v>whitlow_1978_thesis</x:v>
      </x:c>
      <x:c r="C412" s="43" t="str">
        <x:v>es123</x:v>
      </x:c>
      <x:c r="D412" s="43" t="str">
        <x:v>124</x:v>
      </x:c>
      <x:c r="E412" s="43" t="str">
        <x:v>c_se_analysis</x:v>
      </x:c>
      <x:c r="F412" s="43" t="str"/>
      <x:c r="G412" s="43" t="str">
        <x:v>0.438627</x:v>
      </x:c>
      <x:c r="H412" s="43" t="str">
        <x:v>Corrected derived value</x:v>
      </x:c>
      <x:c r="I412" s="43" t="str">
        <x:v>included_studies/whitlow_1978_thesis.pdf; figure error bars are not defined; assumption approved by reviewer</x:v>
      </x:c>
      <x:c r="J412" s="43" t="str">
        <x:v>Apply the reviewer-approved variance assumption transparently; no author-reported variance is implied.</x:v>
      </x:c>
    </x:row>
    <x:row r="413">
      <x:c r="A413" s="43" t="str">
        <x:v>Variance decision – Whitlow 1978</x:v>
      </x:c>
      <x:c r="B413" s="43" t="str">
        <x:v>whitlow_1978_thesis</x:v>
      </x:c>
      <x:c r="C413" s="43" t="str">
        <x:v>es123</x:v>
      </x:c>
      <x:c r="D413" s="43" t="str">
        <x:v>124</x:v>
      </x:c>
      <x:c r="E413" s="43" t="str">
        <x:v>ex_se_analysis</x:v>
      </x:c>
      <x:c r="F413" s="43" t="str"/>
      <x:c r="G413" s="43" t="str">
        <x:v>0.392095</x:v>
      </x:c>
      <x:c r="H413" s="43" t="str">
        <x:v>Corrected derived value</x:v>
      </x:c>
      <x:c r="I413" s="43" t="str">
        <x:v>included_studies/whitlow_1978_thesis.pdf; figure error bars are not defined; assumption approved by reviewer</x:v>
      </x:c>
      <x:c r="J413" s="43" t="str">
        <x:v>Apply the reviewer-approved variance assumption transparently; no author-reported variance is implied.</x:v>
      </x:c>
    </x:row>
    <x:row r="414">
      <x:c r="A414" s="43" t="str">
        <x:v>Variance decision – Whitlow 1978</x:v>
      </x:c>
      <x:c r="B414" s="43" t="str">
        <x:v>whitlow_1978_thesis</x:v>
      </x:c>
      <x:c r="C414" s="43" t="str">
        <x:v>es124</x:v>
      </x:c>
      <x:c r="D414" s="43" t="str">
        <x:v>125</x:v>
      </x:c>
      <x:c r="E414" s="43" t="str">
        <x:v>c_se_analysis</x:v>
      </x:c>
      <x:c r="F414" s="43" t="str"/>
      <x:c r="G414" s="43" t="str">
        <x:v>0.345316</x:v>
      </x:c>
      <x:c r="H414" s="43" t="str">
        <x:v>Corrected derived value</x:v>
      </x:c>
      <x:c r="I414" s="43" t="str">
        <x:v>included_studies/whitlow_1978_thesis.pdf; figure error bars are not defined; assumption approved by reviewer</x:v>
      </x:c>
      <x:c r="J414" s="43" t="str">
        <x:v>Apply the reviewer-approved variance assumption transparently; no author-reported variance is implied.</x:v>
      </x:c>
    </x:row>
    <x:row r="415">
      <x:c r="A415" s="43" t="str">
        <x:v>Variance decision – Whitlow 1978</x:v>
      </x:c>
      <x:c r="B415" s="43" t="str">
        <x:v>whitlow_1978_thesis</x:v>
      </x:c>
      <x:c r="C415" s="43" t="str">
        <x:v>es124</x:v>
      </x:c>
      <x:c r="D415" s="43" t="str">
        <x:v>125</x:v>
      </x:c>
      <x:c r="E415" s="43" t="str">
        <x:v>ex_se_analysis</x:v>
      </x:c>
      <x:c r="F415" s="43" t="str"/>
      <x:c r="G415" s="43" t="str">
        <x:v>0.344802</x:v>
      </x:c>
      <x:c r="H415" s="43" t="str">
        <x:v>Corrected derived value</x:v>
      </x:c>
      <x:c r="I415" s="43" t="str">
        <x:v>included_studies/whitlow_1978_thesis.pdf; figure error bars are not defined; assumption approved by reviewer</x:v>
      </x:c>
      <x:c r="J415" s="43" t="str">
        <x:v>Apply the reviewer-approved variance assumption transparently; no author-reported variance is implied.</x:v>
      </x:c>
    </x:row>
    <x:row r="416">
      <x:c r="A416" s="43" t="str">
        <x:v>Variance decision – Whitlow 1978</x:v>
      </x:c>
      <x:c r="B416" s="43" t="str">
        <x:v>whitlow_1978_thesis</x:v>
      </x:c>
      <x:c r="C416" s="43" t="str">
        <x:v>es125</x:v>
      </x:c>
      <x:c r="D416" s="43" t="str">
        <x:v>126</x:v>
      </x:c>
      <x:c r="E416" s="43" t="str">
        <x:v>c_se_analysis</x:v>
      </x:c>
      <x:c r="F416" s="43" t="str"/>
      <x:c r="G416" s="43" t="str">
        <x:v>0.345316</x:v>
      </x:c>
      <x:c r="H416" s="43" t="str">
        <x:v>Corrected derived value</x:v>
      </x:c>
      <x:c r="I416" s="43" t="str">
        <x:v>included_studies/whitlow_1978_thesis.pdf; figure error bars are not defined; assumption approved by reviewer</x:v>
      </x:c>
      <x:c r="J416" s="43" t="str">
        <x:v>Apply the reviewer-approved variance assumption transparently; no author-reported variance is implied.</x:v>
      </x:c>
    </x:row>
    <x:row r="417">
      <x:c r="A417" s="43" t="str">
        <x:v>Variance decision – Whitlow 1978</x:v>
      </x:c>
      <x:c r="B417" s="43" t="str">
        <x:v>whitlow_1978_thesis</x:v>
      </x:c>
      <x:c r="C417" s="43" t="str">
        <x:v>es125</x:v>
      </x:c>
      <x:c r="D417" s="43" t="str">
        <x:v>126</x:v>
      </x:c>
      <x:c r="E417" s="43" t="str">
        <x:v>ex_se_analysis</x:v>
      </x:c>
      <x:c r="F417" s="43" t="str"/>
      <x:c r="G417" s="43" t="str">
        <x:v>0.318014</x:v>
      </x:c>
      <x:c r="H417" s="43" t="str">
        <x:v>Corrected derived value</x:v>
      </x:c>
      <x:c r="I417" s="43" t="str">
        <x:v>included_studies/whitlow_1978_thesis.pdf; figure error bars are not defined; assumption approved by reviewer</x:v>
      </x:c>
      <x:c r="J417" s="43" t="str">
        <x:v>Apply the reviewer-approved variance assumption transparently; no author-reported variance is implied.</x:v>
      </x:c>
    </x:row>
    <x:row r="418">
      <x:c r="A418" s="43" t="str">
        <x:v>Variance decision – Whitlow 1978</x:v>
      </x:c>
      <x:c r="B418" s="43" t="str">
        <x:v>whitlow_1978_thesis</x:v>
      </x:c>
      <x:c r="C418" s="43" t="str">
        <x:v>es126</x:v>
      </x:c>
      <x:c r="D418" s="43" t="str">
        <x:v>127</x:v>
      </x:c>
      <x:c r="E418" s="43" t="str">
        <x:v>c_se_analysis</x:v>
      </x:c>
      <x:c r="F418" s="43" t="str"/>
      <x:c r="G418" s="43" t="str">
        <x:v>0.276311</x:v>
      </x:c>
      <x:c r="H418" s="43" t="str">
        <x:v>Corrected derived value</x:v>
      </x:c>
      <x:c r="I418" s="43" t="str">
        <x:v>included_studies/whitlow_1978_thesis.pdf; figure error bars are not defined; assumption approved by reviewer</x:v>
      </x:c>
      <x:c r="J418" s="43" t="str">
        <x:v>Apply the reviewer-approved variance assumption transparently; no author-reported variance is implied.</x:v>
      </x:c>
    </x:row>
    <x:row r="419">
      <x:c r="A419" s="43" t="str">
        <x:v>Variance decision – Whitlow 1978</x:v>
      </x:c>
      <x:c r="B419" s="43" t="str">
        <x:v>whitlow_1978_thesis</x:v>
      </x:c>
      <x:c r="C419" s="43" t="str">
        <x:v>es126</x:v>
      </x:c>
      <x:c r="D419" s="43" t="str">
        <x:v>127</x:v>
      </x:c>
      <x:c r="E419" s="43" t="str">
        <x:v>ex_se_analysis</x:v>
      </x:c>
      <x:c r="F419" s="43" t="str"/>
      <x:c r="G419" s="43" t="str">
        <x:v>0.314861</x:v>
      </x:c>
      <x:c r="H419" s="43" t="str">
        <x:v>Corrected derived value</x:v>
      </x:c>
      <x:c r="I419" s="43" t="str">
        <x:v>included_studies/whitlow_1978_thesis.pdf; figure error bars are not defined; assumption approved by reviewer</x:v>
      </x:c>
      <x:c r="J419" s="43" t="str">
        <x:v>Apply the reviewer-approved variance assumption transparently; no author-reported variance is implied.</x:v>
      </x:c>
    </x:row>
    <x:row r="420">
      <x:c r="A420" s="43" t="str">
        <x:v>Variance decision – Whitlow 1978</x:v>
      </x:c>
      <x:c r="B420" s="43" t="str">
        <x:v>whitlow_1978_thesis</x:v>
      </x:c>
      <x:c r="C420" s="43" t="str">
        <x:v>es127</x:v>
      </x:c>
      <x:c r="D420" s="43" t="str">
        <x:v>128</x:v>
      </x:c>
      <x:c r="E420" s="43" t="str">
        <x:v>c_se_analysis</x:v>
      </x:c>
      <x:c r="F420" s="43" t="str"/>
      <x:c r="G420" s="43" t="str">
        <x:v>0.276311</x:v>
      </x:c>
      <x:c r="H420" s="43" t="str">
        <x:v>Corrected derived value</x:v>
      </x:c>
      <x:c r="I420" s="43" t="str">
        <x:v>included_studies/whitlow_1978_thesis.pdf; figure error bars are not defined; assumption approved by reviewer</x:v>
      </x:c>
      <x:c r="J420" s="43" t="str">
        <x:v>Apply the reviewer-approved variance assumption transparently; no author-reported variance is implied.</x:v>
      </x:c>
    </x:row>
    <x:row r="421">
      <x:c r="A421" s="43" t="str">
        <x:v>Variance decision – Whitlow 1978</x:v>
      </x:c>
      <x:c r="B421" s="43" t="str">
        <x:v>whitlow_1978_thesis</x:v>
      </x:c>
      <x:c r="C421" s="43" t="str">
        <x:v>es127</x:v>
      </x:c>
      <x:c r="D421" s="43" t="str">
        <x:v>128</x:v>
      </x:c>
      <x:c r="E421" s="43" t="str">
        <x:v>ex_se_analysis</x:v>
      </x:c>
      <x:c r="F421" s="43" t="str"/>
      <x:c r="G421" s="43" t="str">
        <x:v>0.302585</x:v>
      </x:c>
      <x:c r="H421" s="43" t="str">
        <x:v>Corrected derived value</x:v>
      </x:c>
      <x:c r="I421" s="43" t="str">
        <x:v>included_studies/whitlow_1978_thesis.pdf; figure error bars are not defined; assumption approved by reviewer</x:v>
      </x:c>
      <x:c r="J421" s="43" t="str">
        <x:v>Apply the reviewer-approved variance assumption transparently; no author-reported variance is implied.</x:v>
      </x:c>
    </x:row>
    <x:row r="422">
      <x:c r="A422" s="43" t="str">
        <x:v>Variance decision – Whitlow 1978</x:v>
      </x:c>
      <x:c r="B422" s="43" t="str">
        <x:v>whitlow_1978_thesis</x:v>
      </x:c>
      <x:c r="C422" s="43" t="str">
        <x:v>es128</x:v>
      </x:c>
      <x:c r="D422" s="43" t="str">
        <x:v>129</x:v>
      </x:c>
      <x:c r="E422" s="43" t="str">
        <x:v>c_se_analysis</x:v>
      </x:c>
      <x:c r="F422" s="43" t="str"/>
      <x:c r="G422" s="43" t="str">
        <x:v>0.372484</x:v>
      </x:c>
      <x:c r="H422" s="43" t="str">
        <x:v>Corrected derived value</x:v>
      </x:c>
      <x:c r="I422" s="43" t="str">
        <x:v>included_studies/whitlow_1978_thesis.pdf; figure error bars are not defined; assumption approved by reviewer</x:v>
      </x:c>
      <x:c r="J422" s="43" t="str">
        <x:v>Apply the reviewer-approved variance assumption transparently; no author-reported variance is implied.</x:v>
      </x:c>
    </x:row>
    <x:row r="423">
      <x:c r="A423" s="43" t="str">
        <x:v>Variance decision – Whitlow 1978</x:v>
      </x:c>
      <x:c r="B423" s="43" t="str">
        <x:v>whitlow_1978_thesis</x:v>
      </x:c>
      <x:c r="C423" s="43" t="str">
        <x:v>es128</x:v>
      </x:c>
      <x:c r="D423" s="43" t="str">
        <x:v>129</x:v>
      </x:c>
      <x:c r="E423" s="43" t="str">
        <x:v>ex_se_analysis</x:v>
      </x:c>
      <x:c r="F423" s="43" t="str"/>
      <x:c r="G423" s="43" t="str">
        <x:v>0.358688</x:v>
      </x:c>
      <x:c r="H423" s="43" t="str">
        <x:v>Corrected derived value</x:v>
      </x:c>
      <x:c r="I423" s="43" t="str">
        <x:v>included_studies/whitlow_1978_thesis.pdf; figure error bars are not defined; assumption approved by reviewer</x:v>
      </x:c>
      <x:c r="J423" s="43" t="str">
        <x:v>Apply the reviewer-approved variance assumption transparently; no author-reported variance is implied.</x:v>
      </x:c>
    </x:row>
    <x:row r="424">
      <x:c r="A424" s="43" t="str">
        <x:v>Variance decision – Whitlow 1978</x:v>
      </x:c>
      <x:c r="B424" s="43" t="str">
        <x:v>whitlow_1978_thesis</x:v>
      </x:c>
      <x:c r="C424" s="43" t="str">
        <x:v>es129</x:v>
      </x:c>
      <x:c r="D424" s="43" t="str">
        <x:v>130</x:v>
      </x:c>
      <x:c r="E424" s="43" t="str">
        <x:v>c_se_analysis</x:v>
      </x:c>
      <x:c r="F424" s="43" t="str"/>
      <x:c r="G424" s="43" t="str">
        <x:v>0.372484</x:v>
      </x:c>
      <x:c r="H424" s="43" t="str">
        <x:v>Corrected derived value</x:v>
      </x:c>
      <x:c r="I424" s="43" t="str">
        <x:v>included_studies/whitlow_1978_thesis.pdf; figure error bars are not defined; assumption approved by reviewer</x:v>
      </x:c>
      <x:c r="J424" s="43" t="str">
        <x:v>Apply the reviewer-approved variance assumption transparently; no author-reported variance is implied.</x:v>
      </x:c>
    </x:row>
    <x:row r="425">
      <x:c r="A425" s="44" t="str">
        <x:v>Variance decision – Whitlow 1978</x:v>
      </x:c>
      <x:c r="B425" s="44" t="str">
        <x:v>whitlow_1978_thesis</x:v>
      </x:c>
      <x:c r="C425" s="44" t="str">
        <x:v>es129</x:v>
      </x:c>
      <x:c r="D425" s="44" t="str">
        <x:v>130</x:v>
      </x:c>
      <x:c r="E425" s="44" t="str">
        <x:v>ex_se_analysis</x:v>
      </x:c>
      <x:c r="F425" s="44" t="str"/>
      <x:c r="G425" s="44" t="str">
        <x:v>0.378186</x:v>
      </x:c>
      <x:c r="H425" s="44" t="str">
        <x:v>Corrected derived value</x:v>
      </x:c>
      <x:c r="I425" s="44" t="str">
        <x:v>included_studies/whitlow_1978_thesis.pdf; figure error bars are not defined; assumption approved by reviewer</x:v>
      </x:c>
      <x:c r="J425" s="44" t="str">
        <x:v>Apply the reviewer-approved variance assumption transparently; no author-reported variance is implied.</x:v>
      </x:c>
    </x:row>
  </x:sheetData>
  <x:conditionalFormatting sqref="H2:H425">
    <x:cfRule type="containsText" dxfId="15" priority="1" operator="containsText" text="Verified"/>
    <x:cfRule type="containsText" dxfId="16" priority="2" operator="containsText" text="Corrected transcription"/>
    <x:cfRule type="containsText" dxfId="17" priority="3" operator="containsText" text="Corrected derived value"/>
    <x:cfRule type="containsText" dxfId="18" priority="4" operator="containsText" text="Analysis decision required"/>
    <x:cfRule type="containsText" dxfId="19" priority="5" operator="containsText" text="Source needed"/>
  </x:conditionalFormatting>
  <x:pageMargins left="0.7" right="0.7" top="0.75" bottom="0.75" header="0.3" footer="0.3"/>
  <x:tableParts count="1">
    <x:tablePart xmlns:r="http://schemas.openxmlformats.org/officeDocument/2006/relationships" r:id="Rb977a3c9c7184f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65" hidden="0" customWidth="1"/>
    <x:col min="7" max="7" width="65" hidden="0" customWidth="1"/>
    <x:col min="8" max="8" width="80" hidden="0" customWidth="1"/>
    <x:col min="9" max="9" width="70" hidden="0" customWidth="1"/>
  </x:cols>
  <x:sheetData>
    <x:row r="1" ht="34" customHeight="1">
      <x:c r="A1" s="40" t="str">
        <x:v>package</x:v>
      </x:c>
      <x:c r="B1" s="40" t="str">
        <x:v>study_id</x:v>
      </x:c>
      <x:c r="C1" s="40" t="str">
        <x:v>es_id</x:v>
      </x:c>
      <x:c r="D1" s="40" t="str">
        <x:v>source_csv_row</x:v>
      </x:c>
      <x:c r="E1" s="40" t="str">
        <x:v>status</x:v>
      </x:c>
      <x:c r="F1" s="40" t="str">
        <x:v>decision</x:v>
      </x:c>
      <x:c r="G1" s="40" t="str">
        <x:v>current_treatment</x:v>
      </x:c>
      <x:c r="H1" s="40" t="str">
        <x:v>options</x:v>
      </x:c>
      <x:c r="I1" s="40" t="str">
        <x:v>source</x:v>
      </x:c>
    </x:row>
    <x:row r="2">
      <x:c r="A2" s="42" t="str">
        <x:v>7 – Abramova 2023 identifiers and units</x:v>
      </x:c>
      <x:c r="B2" s="42" t="str">
        <x:v>abramova_2023_biopsy</x:v>
      </x:c>
      <x:c r="C2" s="42" t="str">
        <x:v>es168</x:v>
      </x:c>
      <x:c r="D2" s="42" t="str">
        <x:v>169</x:v>
      </x:c>
      <x:c r="E2" s="42" t="str">
        <x:v>Analysis decision required</x:v>
      </x:c>
      <x:c r="F2" s="42" t="str">
        <x:v>Choose and implement the central-tendency/dispersion conversion in the R data-wrangling workflow.</x:v>
      </x:c>
      <x:c r="G2" s="42" t="str">
        <x:v>Reported median and quartiles are preserved; no estimate is calculated in the cross-check dataset and analysis SE remains blank.</x:v>
      </x:c>
      <x:c r="H2" s="42" t="str">
        <x:v>Use a documented established conversion in R, retain reported median/Q1/Q3, record package versions and formulas, and run a sensitivity analysis where appropriate.</x:v>
      </x:c>
      <x:c r="I2" s="42" t="str">
        <x:v>included_studies/abramova_2023_biopsy/abramova_2023_biopsy_data_calculations.xlsx, Table1_Extract, source row 6</x:v>
      </x:c>
    </x:row>
    <x:row r="3">
      <x:c r="A3" s="43" t="str">
        <x:v>7 – Abramova 2023 identifiers and units</x:v>
      </x:c>
      <x:c r="B3" s="43" t="str">
        <x:v>abramova_2023_biopsy</x:v>
      </x:c>
      <x:c r="C3" s="43" t="str">
        <x:v>es169</x:v>
      </x:c>
      <x:c r="D3" s="43" t="str">
        <x:v>170</x:v>
      </x:c>
      <x:c r="E3" s="43" t="str">
        <x:v>Analysis decision required</x:v>
      </x:c>
      <x:c r="F3" s="43" t="str">
        <x:v>Choose and implement the central-tendency/dispersion conversion in the R data-wrangling workflow.</x:v>
      </x:c>
      <x:c r="G3" s="43" t="str">
        <x:v>Reported median and quartiles are preserved; no estimate is calculated in the cross-check dataset and analysis SE remains blank.</x:v>
      </x:c>
      <x:c r="H3" s="43" t="str">
        <x:v>Use a documented established conversion in R, retain reported median/Q1/Q3, record package versions and formulas, and run a sensitivity analysis where appropriate.</x:v>
      </x:c>
      <x:c r="I3" s="43" t="str">
        <x:v>included_studies/abramova_2023_biopsy/abramova_2023_biopsy_data_calculations.xlsx, Table1_Extract, source row 7</x:v>
      </x:c>
    </x:row>
    <x:row r="4">
      <x:c r="A4" s="43" t="str">
        <x:v>7 – Abramova 2023 identifiers and units</x:v>
      </x:c>
      <x:c r="B4" s="43" t="str">
        <x:v>abramova_2023_biopsy</x:v>
      </x:c>
      <x:c r="C4" s="43" t="str">
        <x:v>es172</x:v>
      </x:c>
      <x:c r="D4" s="43" t="str">
        <x:v>173</x:v>
      </x:c>
      <x:c r="E4" s="43" t="str">
        <x:v>Analysis decision required</x:v>
      </x:c>
      <x:c r="F4" s="43" t="str">
        <x:v>Choose and implement the central-tendency/dispersion conversion in the R data-wrangling workflow.</x:v>
      </x:c>
      <x:c r="G4" s="43" t="str">
        <x:v>Reported median and quartiles are preserved; no estimate is calculated in the cross-check dataset and analysis SE remains blank.</x:v>
      </x:c>
      <x:c r="H4" s="43" t="str">
        <x:v>Use a documented established conversion in R, retain reported median/Q1/Q3, record package versions and formulas, and run a sensitivity analysis where appropriate.</x:v>
      </x:c>
      <x:c r="I4" s="43" t="str">
        <x:v>included_studies/abramova_2023_biopsy/abramova_2023_biopsy_data_calculations.xlsx, Table1_Extract, source row 10</x:v>
      </x:c>
    </x:row>
    <x:row r="5">
      <x:c r="A5" s="43" t="str">
        <x:v>7 – Abramova 2023 identifiers and units</x:v>
      </x:c>
      <x:c r="B5" s="43" t="str">
        <x:v>abramova_2023_biopsy</x:v>
      </x:c>
      <x:c r="C5" s="43" t="str">
        <x:v>es173</x:v>
      </x:c>
      <x:c r="D5" s="43" t="str">
        <x:v>174</x:v>
      </x:c>
      <x:c r="E5" s="43" t="str">
        <x:v>Analysis decision required</x:v>
      </x:c>
      <x:c r="F5" s="43" t="str">
        <x:v>Choose and implement the central-tendency/dispersion conversion in the R data-wrangling workflow.</x:v>
      </x:c>
      <x:c r="G5" s="43" t="str">
        <x:v>Reported median and quartiles are preserved; no estimate is calculated in the cross-check dataset and analysis SE remains blank.</x:v>
      </x:c>
      <x:c r="H5" s="43" t="str">
        <x:v>Use a documented established conversion in R, retain reported median/Q1/Q3, record package versions and formulas, and run a sensitivity analysis where appropriate.</x:v>
      </x:c>
      <x:c r="I5" s="43" t="str">
        <x:v>included_studies/abramova_2023_biopsy/abramova_2023_biopsy_data_calculations.xlsx, Table1_Extract, source row 11</x:v>
      </x:c>
    </x:row>
    <x:row r="6">
      <x:c r="A6" s="43" t="str">
        <x:v>7 – Abramova 2023 identifiers and units</x:v>
      </x:c>
      <x:c r="B6" s="43" t="str">
        <x:v>abramova_2023_biopsy</x:v>
      </x:c>
      <x:c r="C6" s="43" t="str">
        <x:v>es176</x:v>
      </x:c>
      <x:c r="D6" s="43" t="str">
        <x:v>177</x:v>
      </x:c>
      <x:c r="E6" s="43" t="str">
        <x:v>Analysis decision required</x:v>
      </x:c>
      <x:c r="F6" s="43" t="str">
        <x:v>Choose and implement the central-tendency/dispersion conversion in the R data-wrangling workflow.</x:v>
      </x:c>
      <x:c r="G6" s="43" t="str">
        <x:v>Reported median and quartiles are preserved; no estimate is calculated in the cross-check dataset and analysis SE remains blank.</x:v>
      </x:c>
      <x:c r="H6" s="43" t="str">
        <x:v>Use a documented established conversion in R, retain reported median/Q1/Q3, record package versions and formulas, and run a sensitivity analysis where appropriate.</x:v>
      </x:c>
      <x:c r="I6" s="43" t="str">
        <x:v>included_studies/abramova_2023_biopsy/abramova_2023_biopsy_data_calculations.xlsx, Table1_Extract, source row 14</x:v>
      </x:c>
    </x:row>
    <x:row r="7">
      <x:c r="A7" s="43" t="str">
        <x:v>7 – Abramova 2023 identifiers and units</x:v>
      </x:c>
      <x:c r="B7" s="43" t="str">
        <x:v>abramova_2023_biopsy</x:v>
      </x:c>
      <x:c r="C7" s="43" t="str">
        <x:v>es177</x:v>
      </x:c>
      <x:c r="D7" s="43" t="str">
        <x:v>178</x:v>
      </x:c>
      <x:c r="E7" s="43" t="str">
        <x:v>Analysis decision required</x:v>
      </x:c>
      <x:c r="F7" s="43" t="str">
        <x:v>Choose and implement the central-tendency/dispersion conversion in the R data-wrangling workflow.</x:v>
      </x:c>
      <x:c r="G7" s="43" t="str">
        <x:v>Reported median and quartiles are preserved; no estimate is calculated in the cross-check dataset and analysis SE remains blank.</x:v>
      </x:c>
      <x:c r="H7" s="43" t="str">
        <x:v>Use a documented established conversion in R, retain reported median/Q1/Q3, record package versions and formulas, and run a sensitivity analysis where appropriate.</x:v>
      </x:c>
      <x:c r="I7" s="43" t="str">
        <x:v>included_studies/abramova_2023_biopsy/abramova_2023_biopsy_data_calculations.xlsx, Table1_Extract, source row 15</x:v>
      </x:c>
    </x:row>
    <x:row r="8">
      <x:c r="A8" s="43" t="str">
        <x:v>7 – Abramova 2023 identifiers and units</x:v>
      </x:c>
      <x:c r="B8" s="43" t="str">
        <x:v>abramova_2023_biopsy</x:v>
      </x:c>
      <x:c r="C8" s="43" t="str">
        <x:v>es180</x:v>
      </x:c>
      <x:c r="D8" s="43" t="str">
        <x:v>181</x:v>
      </x:c>
      <x:c r="E8" s="43" t="str">
        <x:v>Analysis decision required</x:v>
      </x:c>
      <x:c r="F8" s="43" t="str">
        <x:v>Choose and implement the central-tendency/dispersion conversion in the R data-wrangling workflow.</x:v>
      </x:c>
      <x:c r="G8" s="43" t="str">
        <x:v>Reported median and quartiles are preserved; no estimate is calculated in the cross-check dataset and analysis SE remains blank.</x:v>
      </x:c>
      <x:c r="H8" s="43" t="str">
        <x:v>Use a documented established conversion in R, retain reported median/Q1/Q3, record package versions and formulas, and run a sensitivity analysis where appropriate.</x:v>
      </x:c>
      <x:c r="I8" s="43" t="str">
        <x:v>included_studies/abramova_2023_biopsy/abramova_2023_biopsy_data_calculations.xlsx, Table1_Extract, source row 18</x:v>
      </x:c>
    </x:row>
    <x:row r="9">
      <x:c r="A9" s="43" t="str">
        <x:v>7 – Abramova 2023 identifiers and units</x:v>
      </x:c>
      <x:c r="B9" s="43" t="str">
        <x:v>abramova_2023_biopsy</x:v>
      </x:c>
      <x:c r="C9" s="43" t="str">
        <x:v>es181</x:v>
      </x:c>
      <x:c r="D9" s="43" t="str">
        <x:v>182</x:v>
      </x:c>
      <x:c r="E9" s="43" t="str">
        <x:v>Analysis decision required</x:v>
      </x:c>
      <x:c r="F9" s="43" t="str">
        <x:v>Choose and implement the central-tendency/dispersion conversion in the R data-wrangling workflow.</x:v>
      </x:c>
      <x:c r="G9" s="43" t="str">
        <x:v>Reported median and quartiles are preserved; no estimate is calculated in the cross-check dataset and analysis SE remains blank.</x:v>
      </x:c>
      <x:c r="H9" s="43" t="str">
        <x:v>Use a documented established conversion in R, retain reported median/Q1/Q3, record package versions and formulas, and run a sensitivity analysis where appropriate.</x:v>
      </x:c>
      <x:c r="I9" s="43" t="str">
        <x:v>included_studies/abramova_2023_biopsy/abramova_2023_biopsy_data_calculations.xlsx, Table1_Extract, source row 19</x:v>
      </x:c>
    </x:row>
    <x:row r="10">
      <x:c r="A10" s="43" t="str">
        <x:v>7 – Abramova 2023 identifiers and units</x:v>
      </x:c>
      <x:c r="B10" s="43" t="str">
        <x:v>abramova_2023_biopsy</x:v>
      </x:c>
      <x:c r="C10" s="43" t="str">
        <x:v>es184</x:v>
      </x:c>
      <x:c r="D10" s="43" t="str">
        <x:v>185</x:v>
      </x:c>
      <x:c r="E10" s="43" t="str">
        <x:v>Analysis decision required</x:v>
      </x:c>
      <x:c r="F10" s="43" t="str">
        <x:v>Choose and implement the central-tendency/dispersion conversion in the R data-wrangling workflow.</x:v>
      </x:c>
      <x:c r="G10" s="43" t="str">
        <x:v>Reported median and quartiles are preserved; no estimate is calculated in the cross-check dataset and analysis SE remains blank.</x:v>
      </x:c>
      <x:c r="H10" s="43" t="str">
        <x:v>Use a documented established conversion in R, retain reported median/Q1/Q3, record package versions and formulas, and run a sensitivity analysis where appropriate.</x:v>
      </x:c>
      <x:c r="I10" s="43" t="str">
        <x:v>included_studies/abramova_2023_biopsy/abramova_2023_biopsy_data_calculations.xlsx, Table1_Extract, source row 22</x:v>
      </x:c>
    </x:row>
    <x:row r="11">
      <x:c r="A11" s="43" t="str">
        <x:v>7 – Abramova 2023 identifiers and units</x:v>
      </x:c>
      <x:c r="B11" s="43" t="str">
        <x:v>abramova_2023_biopsy</x:v>
      </x:c>
      <x:c r="C11" s="43" t="str">
        <x:v>es185</x:v>
      </x:c>
      <x:c r="D11" s="43" t="str">
        <x:v>186</x:v>
      </x:c>
      <x:c r="E11" s="43" t="str">
        <x:v>Analysis decision required</x:v>
      </x:c>
      <x:c r="F11" s="43" t="str">
        <x:v>Choose and implement the central-tendency/dispersion conversion in the R data-wrangling workflow.</x:v>
      </x:c>
      <x:c r="G11" s="43" t="str">
        <x:v>Reported median and quartiles are preserved; no estimate is calculated in the cross-check dataset and analysis SE remains blank.</x:v>
      </x:c>
      <x:c r="H11" s="43" t="str">
        <x:v>Use a documented established conversion in R, retain reported median/Q1/Q3, record package versions and formulas, and run a sensitivity analysis where appropriate.</x:v>
      </x:c>
      <x:c r="I11" s="43" t="str">
        <x:v>included_studies/abramova_2023_biopsy/abramova_2023_biopsy_data_calculations.xlsx, Table1_Extract, source row 23</x:v>
      </x:c>
    </x:row>
    <x:row r="12">
      <x:c r="A12" s="43" t="str">
        <x:v>7 – Abramova 2023 identifiers and units</x:v>
      </x:c>
      <x:c r="B12" s="43" t="str">
        <x:v>abramova_2023_biopsy</x:v>
      </x:c>
      <x:c r="C12" s="43" t="str">
        <x:v>es190</x:v>
      </x:c>
      <x:c r="D12" s="43" t="str">
        <x:v>191</x:v>
      </x:c>
      <x:c r="E12" s="43" t="str">
        <x:v>Analysis decision required</x:v>
      </x:c>
      <x:c r="F12" s="43" t="str">
        <x:v>Choose and implement the central-tendency/dispersion conversion in the R data-wrangling workflow.</x:v>
      </x:c>
      <x:c r="G12" s="43" t="str">
        <x:v>Reported median and quartiles are preserved; no estimate is calculated in the cross-check dataset and analysis SE remains blank.</x:v>
      </x:c>
      <x:c r="H12" s="43" t="str">
        <x:v>Use a documented established conversion in R, retain reported median/Q1/Q3, record package versions and formulas, and run a sensitivity analysis where appropriate.</x:v>
      </x:c>
      <x:c r="I12" s="43" t="str">
        <x:v>included_studies/abramova_2023_biopsy/abramova_2023_biopsy_data_calculations.xlsx, Table1_Extract, source row 28</x:v>
      </x:c>
    </x:row>
    <x:row r="13">
      <x:c r="A13" s="43" t="str">
        <x:v>7 – Abramova 2023 identifiers and units</x:v>
      </x:c>
      <x:c r="B13" s="43" t="str">
        <x:v>abramova_2023_biopsy</x:v>
      </x:c>
      <x:c r="C13" s="43" t="str">
        <x:v>es191</x:v>
      </x:c>
      <x:c r="D13" s="43" t="str">
        <x:v>192</x:v>
      </x:c>
      <x:c r="E13" s="43" t="str">
        <x:v>Analysis decision required</x:v>
      </x:c>
      <x:c r="F13" s="43" t="str">
        <x:v>Choose and implement the central-tendency/dispersion conversion in the R data-wrangling workflow.</x:v>
      </x:c>
      <x:c r="G13" s="43" t="str">
        <x:v>Reported median and quartiles are preserved; no estimate is calculated in the cross-check dataset and analysis SE remains blank.</x:v>
      </x:c>
      <x:c r="H13" s="43" t="str">
        <x:v>Use a documented established conversion in R, retain reported median/Q1/Q3, record package versions and formulas, and run a sensitivity analysis where appropriate.</x:v>
      </x:c>
      <x:c r="I13" s="43" t="str">
        <x:v>included_studies/abramova_2023_biopsy/abramova_2023_biopsy_data_calculations.xlsx, Table1_Extract, source row 29</x:v>
      </x:c>
    </x:row>
    <x:row r="14">
      <x:c r="A14" s="43" t="str">
        <x:v>7 – Abramova 2023 identifiers and units</x:v>
      </x:c>
      <x:c r="B14" s="43" t="str">
        <x:v>abramova_2023_biopsy</x:v>
      </x:c>
      <x:c r="C14" s="43" t="str">
        <x:v>es194</x:v>
      </x:c>
      <x:c r="D14" s="43" t="str">
        <x:v>195</x:v>
      </x:c>
      <x:c r="E14" s="43" t="str">
        <x:v>Analysis decision required</x:v>
      </x:c>
      <x:c r="F14" s="43" t="str">
        <x:v>Choose and implement the central-tendency/dispersion conversion in the R data-wrangling workflow.</x:v>
      </x:c>
      <x:c r="G14" s="43" t="str">
        <x:v>Reported median and quartiles are preserved; no estimate is calculated in the cross-check dataset and analysis SE remains blank.</x:v>
      </x:c>
      <x:c r="H14" s="43" t="str">
        <x:v>Use a documented established conversion in R, retain reported median/Q1/Q3, record package versions and formulas, and run a sensitivity analysis where appropriate.</x:v>
      </x:c>
      <x:c r="I14" s="43" t="str">
        <x:v>included_studies/abramova_2023_biopsy/abramova_2023_biopsy_data_calculations.xlsx, Table1_Extract, source row 32</x:v>
      </x:c>
    </x:row>
    <x:row r="15">
      <x:c r="A15" s="43" t="str">
        <x:v>7 – Abramova 2023 identifiers and units</x:v>
      </x:c>
      <x:c r="B15" s="43" t="str">
        <x:v>abramova_2023_biopsy</x:v>
      </x:c>
      <x:c r="C15" s="43" t="str">
        <x:v>es195</x:v>
      </x:c>
      <x:c r="D15" s="43" t="str">
        <x:v>196</x:v>
      </x:c>
      <x:c r="E15" s="43" t="str">
        <x:v>Analysis decision required</x:v>
      </x:c>
      <x:c r="F15" s="43" t="str">
        <x:v>Choose and implement the central-tendency/dispersion conversion in the R data-wrangling workflow.</x:v>
      </x:c>
      <x:c r="G15" s="43" t="str">
        <x:v>Reported median and quartiles are preserved; no estimate is calculated in the cross-check dataset and analysis SE remains blank.</x:v>
      </x:c>
      <x:c r="H15" s="43" t="str">
        <x:v>Use a documented established conversion in R, retain reported median/Q1/Q3, record package versions and formulas, and run a sensitivity analysis where appropriate.</x:v>
      </x:c>
      <x:c r="I15" s="43" t="str">
        <x:v>included_studies/abramova_2023_biopsy/abramova_2023_biopsy_data_calculations.xlsx, Table1_Extract, source row 33</x:v>
      </x:c>
    </x:row>
    <x:row r="16">
      <x:c r="A16" s="43" t="str">
        <x:v>7 – Abramova 2023 identifiers and units</x:v>
      </x:c>
      <x:c r="B16" s="43" t="str">
        <x:v>abramova_2023_biopsy</x:v>
      </x:c>
      <x:c r="C16" s="43" t="str">
        <x:v>es200</x:v>
      </x:c>
      <x:c r="D16" s="43" t="str">
        <x:v>201</x:v>
      </x:c>
      <x:c r="E16" s="43" t="str">
        <x:v>Analysis decision required</x:v>
      </x:c>
      <x:c r="F16" s="43" t="str">
        <x:v>Choose and implement the central-tendency/dispersion conversion in the R data-wrangling workflow.</x:v>
      </x:c>
      <x:c r="G16" s="43" t="str">
        <x:v>Reported median and quartiles are preserved; no estimate is calculated in the cross-check dataset and analysis SE remains blank.</x:v>
      </x:c>
      <x:c r="H16" s="43" t="str">
        <x:v>Use a documented established conversion in R, retain reported median/Q1/Q3, record package versions and formulas, and run a sensitivity analysis where appropriate.</x:v>
      </x:c>
      <x:c r="I16" s="43" t="str">
        <x:v>included_studies/abramova_2023_biopsy/abramova_2023_biopsy_data_calculations.xlsx, Table1_Extract, source row 38</x:v>
      </x:c>
    </x:row>
    <x:row r="17">
      <x:c r="A17" s="43" t="str">
        <x:v>7 – Abramova 2023 identifiers and units</x:v>
      </x:c>
      <x:c r="B17" s="43" t="str">
        <x:v>abramova_2023_biopsy</x:v>
      </x:c>
      <x:c r="C17" s="43" t="str">
        <x:v>es201</x:v>
      </x:c>
      <x:c r="D17" s="43" t="str">
        <x:v>202</x:v>
      </x:c>
      <x:c r="E17" s="43" t="str">
        <x:v>Analysis decision required</x:v>
      </x:c>
      <x:c r="F17" s="43" t="str">
        <x:v>Choose and implement the central-tendency/dispersion conversion in the R data-wrangling workflow.</x:v>
      </x:c>
      <x:c r="G17" s="43" t="str">
        <x:v>Reported median and quartiles are preserved; no estimate is calculated in the cross-check dataset and analysis SE remains blank.</x:v>
      </x:c>
      <x:c r="H17" s="43" t="str">
        <x:v>Use a documented established conversion in R, retain reported median/Q1/Q3, record package versions and formulas, and run a sensitivity analysis where appropriate.</x:v>
      </x:c>
      <x:c r="I17" s="43" t="str">
        <x:v>included_studies/abramova_2023_biopsy/abramova_2023_biopsy_data_calculations.xlsx, Table1_Extract, source row 39</x:v>
      </x:c>
    </x:row>
    <x:row r="18">
      <x:c r="A18" s="43" t="str">
        <x:v>7 – Abramova 2023 identifiers and units</x:v>
      </x:c>
      <x:c r="B18" s="43" t="str">
        <x:v>abramova_2023_biopsy</x:v>
      </x:c>
      <x:c r="C18" s="43" t="str">
        <x:v>es206</x:v>
      </x:c>
      <x:c r="D18" s="43" t="str">
        <x:v>207</x:v>
      </x:c>
      <x:c r="E18" s="43" t="str">
        <x:v>Analysis decision required</x:v>
      </x:c>
      <x:c r="F18" s="43" t="str">
        <x:v>Choose and implement the central-tendency/dispersion conversion in the R data-wrangling workflow.</x:v>
      </x:c>
      <x:c r="G18" s="43" t="str">
        <x:v>Reported median and quartiles are preserved; no estimate is calculated in the cross-check dataset and analysis SE remains blank.</x:v>
      </x:c>
      <x:c r="H18" s="43" t="str">
        <x:v>Use a documented established conversion in R, retain reported median/Q1/Q3, record package versions and formulas, and run a sensitivity analysis where appropriate.</x:v>
      </x:c>
      <x:c r="I18" s="43" t="str">
        <x:v>included_studies/abramova_2023_biopsy/abramova_2023_biopsy_data_calculations.xlsx, Table1_Extract, source row 44</x:v>
      </x:c>
    </x:row>
    <x:row r="19">
      <x:c r="A19" s="44" t="str">
        <x:v>7 – Abramova 2023 identifiers and units</x:v>
      </x:c>
      <x:c r="B19" s="44" t="str">
        <x:v>abramova_2023_biopsy</x:v>
      </x:c>
      <x:c r="C19" s="44" t="str">
        <x:v>es207</x:v>
      </x:c>
      <x:c r="D19" s="44" t="str">
        <x:v>208</x:v>
      </x:c>
      <x:c r="E19" s="44" t="str">
        <x:v>Analysis decision required</x:v>
      </x:c>
      <x:c r="F19" s="44" t="str">
        <x:v>Choose and implement the central-tendency/dispersion conversion in the R data-wrangling workflow.</x:v>
      </x:c>
      <x:c r="G19" s="44" t="str">
        <x:v>Reported median and quartiles are preserved; no estimate is calculated in the cross-check dataset and analysis SE remains blank.</x:v>
      </x:c>
      <x:c r="H19" s="44" t="str">
        <x:v>Use a documented established conversion in R, retain reported median/Q1/Q3, record package versions and formulas, and run a sensitivity analysis where appropriate.</x:v>
      </x:c>
      <x:c r="I19" s="44" t="str">
        <x:v>included_studies/abramova_2023_biopsy/abramova_2023_biopsy_data_calculations.xlsx, Table1_Extract, source row 45</x:v>
      </x:c>
    </x:row>
  </x:sheetData>
  <x:conditionalFormatting sqref="E2:E19">
    <x:cfRule type="containsText" dxfId="20" priority="1" operator="containsText" text="Verified"/>
    <x:cfRule type="containsText" dxfId="21" priority="2" operator="containsText" text="Corrected transcription"/>
    <x:cfRule type="containsText" dxfId="22" priority="3" operator="containsText" text="Corrected derived value"/>
    <x:cfRule type="containsText" dxfId="23" priority="4" operator="containsText" text="Analysis decision required"/>
    <x:cfRule type="containsText" dxfId="24" priority="5" operator="containsText" text="Source needed"/>
  </x:conditionalFormatting>
  <x:pageMargins left="0.7" right="0.7" top="0.75" bottom="0.75" header="0.3" footer="0.3"/>
  <x:tableParts count="1">
    <x:tablePart xmlns:r="http://schemas.openxmlformats.org/officeDocument/2006/relationships" r:id="R561fde83946243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4" hidden="0" customWidth="1"/>
    <x:col min="2" max="2" width="54" hidden="0" customWidth="1"/>
    <x:col min="3" max="3" width="28" hidden="0" customWidth="1"/>
    <x:col min="4" max="4" width="70" hidden="0" customWidth="1"/>
    <x:col min="5" max="5" width="46" hidden="0" customWidth="1"/>
    <x:col min="6" max="6" width="80" hidden="0" customWidth="1"/>
    <x:col min="7" max="7" width="72" hidden="0" customWidth="1"/>
  </x:cols>
  <x:sheetData>
    <x:row r="1" ht="34" customHeight="1">
      <x:c r="A1" s="40" t="str">
        <x:v>topic</x:v>
      </x:c>
      <x:c r="B1" s="40" t="str">
        <x:v>scope</x:v>
      </x:c>
      <x:c r="C1" s="40" t="str">
        <x:v>status</x:v>
      </x:c>
      <x:c r="D1" s="40" t="str">
        <x:v>decision</x:v>
      </x:c>
      <x:c r="E1" s="40" t="str">
        <x:v>implementation_stage</x:v>
      </x:c>
      <x:c r="F1" s="40" t="str">
        <x:v>reproducibility_requirement</x:v>
      </x:c>
      <x:c r="G1" s="40" t="str">
        <x:v>current_dataset_treatment</x:v>
      </x:c>
    </x:row>
    <x:row r="2">
      <x:c r="A2" s="42" t="str">
        <x:v>Missing central tendency and dispersion estimates</x:v>
      </x:c>
      <x:c r="B2" s="42" t="str">
        <x:v>All studies where authors did not report an analysis-ready mean/SD/SE</x:v>
      </x:c>
      <x:c r="C2" s="42" t="str">
        <x:v>Deferred to R data wrangling</x:v>
      </x:c>
      <x:c r="D2" s="42" t="str">
        <x:v>Do not estimate missing central tendencies during source cross-checking.</x:v>
      </x:c>
      <x:c r="E2" s="42" t="str">
        <x:v>R workflow used to prepare data for IRR and analysis</x:v>
      </x:c>
      <x:c r="F2" s="42" t="str">
        <x:v>Keep reported median/Q1/Q3 unchanged; write explicit R formulas/functions, method citation, package versions, and sensitivity-analysis fields.</x:v>
      </x:c>
      <x:c r="G2" s="42" t="str">
        <x:v>Reported values retained; analysis estimates remain blank until the R workflow is run.</x:v>
      </x:c>
    </x:row>
    <x:row r="3">
      <x:c r="A3" s="43" t="str">
        <x:v>Abramova median/IQR derivations</x:v>
      </x:c>
      <x:c r="B3" s="43" t="str">
        <x:v>Abramova papers, including 18 Abramova 2023 median (Q1; Q3) rows</x:v>
      </x:c>
      <x:c r="C3" s="43" t="str">
        <x:v>Deferred to R data wrangling</x:v>
      </x:c>
      <x:c r="D3" s="43" t="str">
        <x:v>Perform all missing central-tendency/dispersion derivations reproducibly in R, not manually in v4.</x:v>
      </x:c>
      <x:c r="E3" s="43" t="str">
        <x:v>R workflow used to prepare data for IRR and analysis</x:v>
      </x:c>
      <x:c r="F3" s="43" t="str">
        <x:v>Preserve author-reported statistics in separate columns and generate analysis estimates with auditable code.</x:v>
      </x:c>
      <x:c r="G3" s="43" t="str">
        <x:v>c_se_analysis/ex_se_analysis remain blank for these rows.</x:v>
      </x:c>
    </x:row>
    <x:row r="4">
      <x:c r="A4" s="43" t="str">
        <x:v>Whitlow 1978 variance</x:v>
      </x:c>
      <x:c r="B4" s="43" t="str">
        <x:v>36 whitlow_1978_thesis rows</x:v>
      </x:c>
      <x:c r="C4" s="43" t="str">
        <x:v>Assumption accepted</x:v>
      </x:c>
      <x:c r="D4" s="43" t="str">
        <x:v>Assume SD = sqrt(mean), then calculate SE = SD/sqrt(n).</x:v>
      </x:c>
      <x:c r="E4" s="43" t="str">
        <x:v>Cross-check v4 and later R workflow</x:v>
      </x:c>
      <x:c r="F4" s="43" t="str">
        <x:v>Label the values as an analysis assumption, never as author-reported variance, and retain for sensitivity analysis.</x:v>
      </x:c>
      <x:c r="G4" s="43" t="str">
        <x:v>Reported SE is blank; analysis SE is populated from the accepted assumption.</x:v>
      </x:c>
    </x:row>
    <x:row r="5">
      <x:c r="A5" s="44" t="str">
        <x:v>Abramova 2024 sucrose preference source</x:v>
      </x:c>
      <x:c r="B5" s="44" t="str">
        <x:v>es045 and es046</x:v>
      </x:c>
      <x:c r="C5" s="44" t="str">
        <x:v>Source archived and verified</x:v>
      </x:c>
      <x:c r="D5" s="44" t="str">
        <x:v>Use the author-email mean ± SE values unchanged.</x:v>
      </x:c>
      <x:c r="E5" s="44" t="str">
        <x:v>Cross-check v4</x:v>
      </x:c>
      <x:c r="F5" s="44" t="str">
        <x:v>Retain the archived screenshot at included_studies/abramova_2024_devneur/abramova_2024_devneur_author_email_sucrose_preference.png.</x:v>
      </x:c>
      <x:c r="G5" s="44" t="str">
        <x:v>Source traceability updated; numerical values unchanged.</x:v>
      </x:c>
    </x:row>
  </x:sheetData>
  <x:conditionalFormatting sqref="C2:C5">
    <x:cfRule type="containsText" dxfId="25" priority="1" operator="containsText" text="Verified"/>
    <x:cfRule type="containsText" dxfId="26" priority="2" operator="containsText" text="Corrected transcription"/>
    <x:cfRule type="containsText" dxfId="27" priority="3" operator="containsText" text="Corrected derived value"/>
    <x:cfRule type="containsText" dxfId="28" priority="4" operator="containsText" text="Analysis decision required"/>
    <x:cfRule type="containsText" dxfId="29" priority="5" operator="containsText" text="Source needed"/>
  </x:conditionalFormatting>
  <x:pageMargins left="0.7" right="0.7" top="0.75" bottom="0.75" header="0.3" footer="0.3"/>
  <x:tableParts count="1">
    <x:tablePart xmlns:r="http://schemas.openxmlformats.org/officeDocument/2006/relationships" r:id="R01b4c6936ca64b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1 – Uygur 2011 outcome units</x:v>
      </x:c>
      <x:c r="B2" s="42" t="str">
        <x:v>uygur_2011_ankarauniv</x:v>
      </x:c>
      <x:c r="C2" s="42" t="str">
        <x:v>es068</x:v>
      </x:c>
      <x:c r="D2" s="42" t="str">
        <x:v>69</x:v>
      </x:c>
      <x:c r="E2" s="42" t="str">
        <x:v>data_type</x:v>
      </x:c>
      <x:c r="F2" s="42" t="str">
        <x:v>Count</x:v>
      </x:c>
      <x:c r="G2" s="42" t="str">
        <x:v>Time</x:v>
      </x:c>
      <x:c r="H2" s="42" t="str">
        <x:v>Corrected transcription</x:v>
      </x:c>
      <x:c r="I2" s="42" t="str">
        <x:v>included_studies/uygur_2011_ankarauniv.pdf, Methods and Table 2</x:v>
      </x:c>
      <x:c r="J2" s="42" t="str">
        <x:v>The paper reports total time spent in diving or jumping, not event counts.</x:v>
      </x:c>
    </x:row>
    <x:row r="3">
      <x:c r="A3" s="43" t="str">
        <x:v>1 – Uygur 2011 outcome units</x:v>
      </x:c>
      <x:c r="B3" s="43" t="str">
        <x:v>uygur_2011_ankarauniv</x:v>
      </x:c>
      <x:c r="C3" s="43" t="str">
        <x:v>es068</x:v>
      </x:c>
      <x:c r="D3" s="43" t="str">
        <x:v>69</x:v>
      </x:c>
      <x:c r="E3" s="43" t="str">
        <x:v>data_units</x:v>
      </x:c>
      <x:c r="F3" s="43" t="str">
        <x:v>Count</x:v>
      </x:c>
      <x:c r="G3" s="43" t="str">
        <x:v>s</x:v>
      </x:c>
      <x:c r="H3" s="43" t="str">
        <x:v>Corrected transcription</x:v>
      </x:c>
      <x:c r="I3" s="43" t="str">
        <x:v>included_studies/uygur_2011_ankarauniv.pdf, Methods and Table 2</x:v>
      </x:c>
      <x:c r="J3" s="43" t="str">
        <x:v>The outcome is a duration in seconds.</x:v>
      </x:c>
    </x:row>
    <x:row r="4">
      <x:c r="A4" s="43" t="str">
        <x:v>1 – Uygur 2011 outcome units</x:v>
      </x:c>
      <x:c r="B4" s="43" t="str">
        <x:v>uygur_2011_ankarauniv</x:v>
      </x:c>
      <x:c r="C4" s="43" t="str">
        <x:v>es069</x:v>
      </x:c>
      <x:c r="D4" s="43" t="str">
        <x:v>70</x:v>
      </x:c>
      <x:c r="E4" s="43" t="str">
        <x:v>data_type</x:v>
      </x:c>
      <x:c r="F4" s="43" t="str">
        <x:v>Count</x:v>
      </x:c>
      <x:c r="G4" s="43" t="str">
        <x:v>Time</x:v>
      </x:c>
      <x:c r="H4" s="43" t="str">
        <x:v>Corrected transcription</x:v>
      </x:c>
      <x:c r="I4" s="43" t="str">
        <x:v>included_studies/uygur_2011_ankarauniv.pdf, Methods and Table 2</x:v>
      </x:c>
      <x:c r="J4" s="43" t="str">
        <x:v>The paper reports total time spent in diving or jumping, not event counts.</x:v>
      </x:c>
    </x:row>
    <x:row r="5">
      <x:c r="A5" s="43" t="str">
        <x:v>1 – Uygur 2011 outcome units</x:v>
      </x:c>
      <x:c r="B5" s="43" t="str">
        <x:v>uygur_2011_ankarauniv</x:v>
      </x:c>
      <x:c r="C5" s="43" t="str">
        <x:v>es069</x:v>
      </x:c>
      <x:c r="D5" s="43" t="str">
        <x:v>70</x:v>
      </x:c>
      <x:c r="E5" s="43" t="str">
        <x:v>data_units</x:v>
      </x:c>
      <x:c r="F5" s="43" t="str">
        <x:v>Count</x:v>
      </x:c>
      <x:c r="G5" s="43" t="str">
        <x:v>s</x:v>
      </x:c>
      <x:c r="H5" s="43" t="str">
        <x:v>Corrected transcription</x:v>
      </x:c>
      <x:c r="I5" s="43" t="str">
        <x:v>included_studies/uygur_2011_ankarauniv.pdf, Methods and Table 2</x:v>
      </x:c>
      <x:c r="J5" s="43" t="str">
        <x:v>The outcome is a duration in seconds.</x:v>
      </x:c>
    </x:row>
    <x:row r="6">
      <x:c r="A6" s="43" t="str">
        <x:v>1 – Uygur 2011 outcome units</x:v>
      </x:c>
      <x:c r="B6" s="43" t="str">
        <x:v>uygur_2011_ankarauniv</x:v>
      </x:c>
      <x:c r="C6" s="43" t="str">
        <x:v>es070</x:v>
      </x:c>
      <x:c r="D6" s="43" t="str">
        <x:v>71</x:v>
      </x:c>
      <x:c r="E6" s="43" t="str">
        <x:v>data_type</x:v>
      </x:c>
      <x:c r="F6" s="43" t="str">
        <x:v>Count</x:v>
      </x:c>
      <x:c r="G6" s="43" t="str">
        <x:v>Time</x:v>
      </x:c>
      <x:c r="H6" s="43" t="str">
        <x:v>Corrected transcription</x:v>
      </x:c>
      <x:c r="I6" s="43" t="str">
        <x:v>included_studies/uygur_2011_ankarauniv.pdf, Methods and Table 2</x:v>
      </x:c>
      <x:c r="J6" s="43" t="str">
        <x:v>The paper reports total time spent in diving or jumping, not event counts.</x:v>
      </x:c>
    </x:row>
    <x:row r="7">
      <x:c r="A7" s="43" t="str">
        <x:v>1 – Uygur 2011 outcome units</x:v>
      </x:c>
      <x:c r="B7" s="43" t="str">
        <x:v>uygur_2011_ankarauniv</x:v>
      </x:c>
      <x:c r="C7" s="43" t="str">
        <x:v>es070</x:v>
      </x:c>
      <x:c r="D7" s="43" t="str">
        <x:v>71</x:v>
      </x:c>
      <x:c r="E7" s="43" t="str">
        <x:v>data_units</x:v>
      </x:c>
      <x:c r="F7" s="43" t="str">
        <x:v>Count</x:v>
      </x:c>
      <x:c r="G7" s="43" t="str">
        <x:v>s</x:v>
      </x:c>
      <x:c r="H7" s="43" t="str">
        <x:v>Corrected transcription</x:v>
      </x:c>
      <x:c r="I7" s="43" t="str">
        <x:v>included_studies/uygur_2011_ankarauniv.pdf, Methods and Table 2</x:v>
      </x:c>
      <x:c r="J7" s="43" t="str">
        <x:v>The outcome is a duration in seconds.</x:v>
      </x:c>
    </x:row>
    <x:row r="8">
      <x:c r="A8" s="43" t="str">
        <x:v>1 – Uygur 2011 outcome units</x:v>
      </x:c>
      <x:c r="B8" s="43" t="str">
        <x:v>uygur_2011_ankarauniv</x:v>
      </x:c>
      <x:c r="C8" s="43" t="str">
        <x:v>es071</x:v>
      </x:c>
      <x:c r="D8" s="43" t="str">
        <x:v>72</x:v>
      </x:c>
      <x:c r="E8" s="43" t="str">
        <x:v>data_type</x:v>
      </x:c>
      <x:c r="F8" s="43" t="str">
        <x:v>Count</x:v>
      </x:c>
      <x:c r="G8" s="43" t="str">
        <x:v>Time</x:v>
      </x:c>
      <x:c r="H8" s="43" t="str">
        <x:v>Corrected transcription</x:v>
      </x:c>
      <x:c r="I8" s="43" t="str">
        <x:v>included_studies/uygur_2011_ankarauniv.pdf, Methods and Table 2</x:v>
      </x:c>
      <x:c r="J8" s="43" t="str">
        <x:v>The paper reports total time spent in diving or jumping, not event counts.</x:v>
      </x:c>
    </x:row>
    <x:row r="9">
      <x:c r="A9" s="44" t="str">
        <x:v>1 – Uygur 2011 outcome units</x:v>
      </x:c>
      <x:c r="B9" s="44" t="str">
        <x:v>uygur_2011_ankarauniv</x:v>
      </x:c>
      <x:c r="C9" s="44" t="str">
        <x:v>es071</x:v>
      </x:c>
      <x:c r="D9" s="44" t="str">
        <x:v>72</x:v>
      </x:c>
      <x:c r="E9" s="44" t="str">
        <x:v>data_units</x:v>
      </x:c>
      <x:c r="F9" s="44" t="str">
        <x:v>Count</x:v>
      </x:c>
      <x:c r="G9" s="44" t="str">
        <x:v>s</x:v>
      </x:c>
      <x:c r="H9" s="44" t="str">
        <x:v>Corrected transcription</x:v>
      </x:c>
      <x:c r="I9" s="44" t="str">
        <x:v>included_studies/uygur_2011_ankarauniv.pdf, Methods and Table 2</x:v>
      </x:c>
      <x:c r="J9" s="44" t="str">
        <x:v>The outcome is a duration in seconds.</x:v>
      </x:c>
    </x:row>
  </x:sheetData>
  <x:conditionalFormatting sqref="H2:H9">
    <x:cfRule type="containsText" dxfId="30" priority="1" operator="containsText" text="Verified"/>
    <x:cfRule type="containsText" dxfId="31" priority="2" operator="containsText" text="Corrected transcription"/>
    <x:cfRule type="containsText" dxfId="32" priority="3" operator="containsText" text="Corrected derived value"/>
    <x:cfRule type="containsText" dxfId="33" priority="4" operator="containsText" text="Analysis decision required"/>
    <x:cfRule type="containsText" dxfId="34" priority="5" operator="containsText" text="Source needed"/>
  </x:conditionalFormatting>
  <x:pageMargins left="0.7" right="0.7" top="0.75" bottom="0.75" header="0.3" footer="0.3"/>
  <x:tableParts count="1">
    <x:tablePart xmlns:r="http://schemas.openxmlformats.org/officeDocument/2006/relationships" r:id="Rb0af94eb28d542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2 – Uygur 2010 exposure and sample sizes</x:v>
      </x:c>
      <x:c r="B2" s="42" t="str">
        <x:v>uygur_2010_aphyhun</x:v>
      </x:c>
      <x:c r="C2" s="42" t="str">
        <x:v>es001</x:v>
      </x:c>
      <x:c r="D2" s="42" t="str">
        <x:v>2</x:v>
      </x:c>
      <x:c r="E2" s="42" t="str">
        <x:v>c_n</x:v>
      </x:c>
      <x:c r="F2" s="42" t="str">
        <x:v>9</x:v>
      </x:c>
      <x:c r="G2" s="42" t="str">
        <x:v>10</x:v>
      </x:c>
      <x:c r="H2" s="42" t="str">
        <x:v>Corrected transcription</x:v>
      </x:c>
      <x:c r="I2" s="42" t="str">
        <x:v>included_studies/uygur_2010_aphyhun.pdf, Methods and Table II</x:v>
      </x:c>
      <x:c r="J2" s="42" t="str">
        <x:v>Table II identifies the control group as CON, n=10.</x:v>
      </x:c>
    </x:row>
    <x:row r="3">
      <x:c r="A3" s="43" t="str">
        <x:v>2 – Uygur 2010 exposure and sample sizes</x:v>
      </x:c>
      <x:c r="B3" s="43" t="str">
        <x:v>uygur_2010_aphyhun</x:v>
      </x:c>
      <x:c r="C3" s="43" t="str">
        <x:v>es001</x:v>
      </x:c>
      <x:c r="D3" s="43" t="str">
        <x:v>2</x:v>
      </x:c>
      <x:c r="E3" s="43" t="str">
        <x:v>ex_n</x:v>
      </x:c>
      <x:c r="F3" s="43" t="str">
        <x:v>10</x:v>
      </x:c>
      <x:c r="G3" s="43" t="str">
        <x:v>9</x:v>
      </x:c>
      <x:c r="H3" s="43" t="str">
        <x:v>Corrected transcription</x:v>
      </x:c>
      <x:c r="I3" s="43" t="str">
        <x:v>included_studies/uygur_2010_aphyhun.pdf, Methods and Table II</x:v>
      </x:c>
      <x:c r="J3" s="43" t="str">
        <x:v>Table II identifies the prenatal-stress group as PSN, n=9.</x:v>
      </x:c>
    </x:row>
    <x:row r="4">
      <x:c r="A4" s="43" t="str">
        <x:v>2 – Uygur 2010 exposure and sample sizes</x:v>
      </x:c>
      <x:c r="B4" s="43" t="str">
        <x:v>uygur_2010_aphyhun</x:v>
      </x:c>
      <x:c r="C4" s="43" t="str">
        <x:v>es001</x:v>
      </x:c>
      <x:c r="D4" s="43" t="str">
        <x:v>2</x:v>
      </x:c>
      <x:c r="E4" s="43" t="str">
        <x:v>exposure_session_duration_h</x:v>
      </x:c>
      <x:c r="F4" s="43" t="str">
        <x:v>0.66</x:v>
      </x:c>
      <x:c r="G4" s="43" t="str">
        <x:v>0.75</x:v>
      </x:c>
      <x:c r="H4" s="43" t="str">
        <x:v>Corrected transcription</x:v>
      </x:c>
      <x:c r="I4" s="43" t="str">
        <x:v>included_studies/uygur_2010_aphyhun.pdf, Methods and Table II</x:v>
      </x:c>
      <x:c r="J4" s="43" t="str">
        <x:v>The paper reports 45 minutes per day; 45/60 = 0.75 hours.</x:v>
      </x:c>
    </x:row>
    <x:row r="5">
      <x:c r="A5" s="43" t="str">
        <x:v>2 – Uygur 2010 exposure and sample sizes</x:v>
      </x:c>
      <x:c r="B5" s="43" t="str">
        <x:v>uygur_2010_aphyhun</x:v>
      </x:c>
      <x:c r="C5" s="43" t="str">
        <x:v>es002</x:v>
      </x:c>
      <x:c r="D5" s="43" t="str">
        <x:v>3</x:v>
      </x:c>
      <x:c r="E5" s="43" t="str">
        <x:v>c_n</x:v>
      </x:c>
      <x:c r="F5" s="43" t="str">
        <x:v>9</x:v>
      </x:c>
      <x:c r="G5" s="43" t="str">
        <x:v>10</x:v>
      </x:c>
      <x:c r="H5" s="43" t="str">
        <x:v>Corrected transcription</x:v>
      </x:c>
      <x:c r="I5" s="43" t="str">
        <x:v>included_studies/uygur_2010_aphyhun.pdf, Methods and Table II</x:v>
      </x:c>
      <x:c r="J5" s="43" t="str">
        <x:v>Table II identifies the control group as CON, n=10.</x:v>
      </x:c>
    </x:row>
    <x:row r="6">
      <x:c r="A6" s="43" t="str">
        <x:v>2 – Uygur 2010 exposure and sample sizes</x:v>
      </x:c>
      <x:c r="B6" s="43" t="str">
        <x:v>uygur_2010_aphyhun</x:v>
      </x:c>
      <x:c r="C6" s="43" t="str">
        <x:v>es002</x:v>
      </x:c>
      <x:c r="D6" s="43" t="str">
        <x:v>3</x:v>
      </x:c>
      <x:c r="E6" s="43" t="str">
        <x:v>ex_n</x:v>
      </x:c>
      <x:c r="F6" s="43" t="str">
        <x:v>10</x:v>
      </x:c>
      <x:c r="G6" s="43" t="str">
        <x:v>9</x:v>
      </x:c>
      <x:c r="H6" s="43" t="str">
        <x:v>Corrected transcription</x:v>
      </x:c>
      <x:c r="I6" s="43" t="str">
        <x:v>included_studies/uygur_2010_aphyhun.pdf, Methods and Table II</x:v>
      </x:c>
      <x:c r="J6" s="43" t="str">
        <x:v>Table II identifies the prenatal-stress group as PSN, n=9.</x:v>
      </x:c>
    </x:row>
    <x:row r="7">
      <x:c r="A7" s="43" t="str">
        <x:v>2 – Uygur 2010 exposure and sample sizes</x:v>
      </x:c>
      <x:c r="B7" s="43" t="str">
        <x:v>uygur_2010_aphyhun</x:v>
      </x:c>
      <x:c r="C7" s="43" t="str">
        <x:v>es002</x:v>
      </x:c>
      <x:c r="D7" s="43" t="str">
        <x:v>3</x:v>
      </x:c>
      <x:c r="E7" s="43" t="str">
        <x:v>exposure_session_duration_h</x:v>
      </x:c>
      <x:c r="F7" s="43" t="str">
        <x:v>0.66</x:v>
      </x:c>
      <x:c r="G7" s="43" t="str">
        <x:v>0.75</x:v>
      </x:c>
      <x:c r="H7" s="43" t="str">
        <x:v>Corrected transcription</x:v>
      </x:c>
      <x:c r="I7" s="43" t="str">
        <x:v>included_studies/uygur_2010_aphyhun.pdf, Methods and Table II</x:v>
      </x:c>
      <x:c r="J7" s="43" t="str">
        <x:v>The paper reports 45 minutes per day; 45/60 = 0.75 hours.</x:v>
      </x:c>
    </x:row>
    <x:row r="8">
      <x:c r="A8" s="43" t="str">
        <x:v>2 – Uygur 2010 exposure and sample sizes</x:v>
      </x:c>
      <x:c r="B8" s="43" t="str">
        <x:v>uygur_2010_aphyhun</x:v>
      </x:c>
      <x:c r="C8" s="43" t="str">
        <x:v>es003</x:v>
      </x:c>
      <x:c r="D8" s="43" t="str">
        <x:v>4</x:v>
      </x:c>
      <x:c r="E8" s="43" t="str">
        <x:v>c_n</x:v>
      </x:c>
      <x:c r="F8" s="43" t="str">
        <x:v>9</x:v>
      </x:c>
      <x:c r="G8" s="43" t="str">
        <x:v>10</x:v>
      </x:c>
      <x:c r="H8" s="43" t="str">
        <x:v>Corrected transcription</x:v>
      </x:c>
      <x:c r="I8" s="43" t="str">
        <x:v>included_studies/uygur_2010_aphyhun.pdf, Methods and Table II</x:v>
      </x:c>
      <x:c r="J8" s="43" t="str">
        <x:v>Table II identifies the control group as CON, n=10.</x:v>
      </x:c>
    </x:row>
    <x:row r="9">
      <x:c r="A9" s="43" t="str">
        <x:v>2 – Uygur 2010 exposure and sample sizes</x:v>
      </x:c>
      <x:c r="B9" s="43" t="str">
        <x:v>uygur_2010_aphyhun</x:v>
      </x:c>
      <x:c r="C9" s="43" t="str">
        <x:v>es003</x:v>
      </x:c>
      <x:c r="D9" s="43" t="str">
        <x:v>4</x:v>
      </x:c>
      <x:c r="E9" s="43" t="str">
        <x:v>ex_n</x:v>
      </x:c>
      <x:c r="F9" s="43" t="str">
        <x:v>10</x:v>
      </x:c>
      <x:c r="G9" s="43" t="str">
        <x:v>9</x:v>
      </x:c>
      <x:c r="H9" s="43" t="str">
        <x:v>Corrected transcription</x:v>
      </x:c>
      <x:c r="I9" s="43" t="str">
        <x:v>included_studies/uygur_2010_aphyhun.pdf, Methods and Table II</x:v>
      </x:c>
      <x:c r="J9" s="43" t="str">
        <x:v>Table II identifies the prenatal-stress group as PSN, n=9.</x:v>
      </x:c>
    </x:row>
    <x:row r="10">
      <x:c r="A10" s="44" t="str">
        <x:v>2 – Uygur 2010 exposure and sample sizes</x:v>
      </x:c>
      <x:c r="B10" s="44" t="str">
        <x:v>uygur_2010_aphyhun</x:v>
      </x:c>
      <x:c r="C10" s="44" t="str">
        <x:v>es003</x:v>
      </x:c>
      <x:c r="D10" s="44" t="str">
        <x:v>4</x:v>
      </x:c>
      <x:c r="E10" s="44" t="str">
        <x:v>exposure_session_duration_h</x:v>
      </x:c>
      <x:c r="F10" s="44" t="str">
        <x:v>0.66</x:v>
      </x:c>
      <x:c r="G10" s="44" t="str">
        <x:v>0.75</x:v>
      </x:c>
      <x:c r="H10" s="44" t="str">
        <x:v>Corrected transcription</x:v>
      </x:c>
      <x:c r="I10" s="44" t="str">
        <x:v>included_studies/uygur_2010_aphyhun.pdf, Methods and Table II</x:v>
      </x:c>
      <x:c r="J10" s="44" t="str">
        <x:v>The paper reports 45 minutes per day; 45/60 = 0.75 hours.</x:v>
      </x:c>
    </x:row>
  </x:sheetData>
  <x:conditionalFormatting sqref="H2:H10">
    <x:cfRule type="containsText" dxfId="35" priority="1" operator="containsText" text="Verified"/>
    <x:cfRule type="containsText" dxfId="36" priority="2" operator="containsText" text="Corrected transcription"/>
    <x:cfRule type="containsText" dxfId="37" priority="3" operator="containsText" text="Corrected derived value"/>
    <x:cfRule type="containsText" dxfId="38" priority="4" operator="containsText" text="Analysis decision required"/>
    <x:cfRule type="containsText" dxfId="39" priority="5" operator="containsText" text="Source needed"/>
  </x:conditionalFormatting>
  <x:pageMargins left="0.7" right="0.7" top="0.75" bottom="0.75" header="0.3" footer="0.3"/>
  <x:tableParts count="1">
    <x:tablePart xmlns:r="http://schemas.openxmlformats.org/officeDocument/2006/relationships" r:id="Rd1eab864eac249c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3 – Arjunan 2023 acoustic exposure</x:v>
      </x:c>
      <x:c r="B2" s="42" t="str">
        <x:v>arjunan_2023_stress</x:v>
      </x:c>
      <x:c r="C2" s="42" t="str">
        <x:v>es013</x:v>
      </x:c>
      <x:c r="D2" s="42" t="str">
        <x:v>14</x:v>
      </x:c>
      <x:c r="E2" s="42" t="str">
        <x:v>frequency_Hz</x:v>
      </x:c>
      <x:c r="F2" s="42" t="str">
        <x:v>0-2,000</x:v>
      </x:c>
      <x:c r="G2" s="42" t="str">
        <x:v>0-20,000</x:v>
      </x:c>
      <x:c r="H2" s="42" t="str">
        <x:v>Corrected transcription</x:v>
      </x:c>
      <x:c r="I2" s="42" t="str">
        <x:v>included_studies/arjunan_2023_stress.pdf, Methods section 4.3</x:v>
      </x:c>
      <x:c r="J2" s="42" t="str">
        <x:v>The source states all frequencies from 0 to 20 kHz.</x:v>
      </x:c>
    </x:row>
    <x:row r="3">
      <x:c r="A3" s="43" t="str">
        <x:v>3 – Arjunan 2023 acoustic exposure</x:v>
      </x:c>
      <x:c r="B3" s="43" t="str">
        <x:v>arjunan_2023_stress</x:v>
      </x:c>
      <x:c r="C3" s="43" t="str">
        <x:v>es013</x:v>
      </x:c>
      <x:c r="D3" s="43" t="str">
        <x:v>14</x:v>
      </x:c>
      <x:c r="E3" s="43" t="str">
        <x:v>noise_type</x:v>
      </x:c>
      <x:c r="F3" s="43" t="str">
        <x:v>Ultrasound</x:v>
      </x:c>
      <x:c r="G3" s="43" t="str">
        <x:v>White noise</x:v>
      </x:c>
      <x:c r="H3" s="43" t="str">
        <x:v>Corrected transcription</x:v>
      </x:c>
      <x:c r="I3" s="43" t="str">
        <x:v>included_studies/arjunan_2023_stress.pdf, Methods section 4.3</x:v>
      </x:c>
      <x:c r="J3" s="43" t="str">
        <x:v>The source describes a white-noise generator, not ultrasound.</x:v>
      </x:c>
    </x:row>
    <x:row r="4">
      <x:c r="A4" s="43" t="str">
        <x:v>3 – Arjunan 2023 acoustic exposure</x:v>
      </x:c>
      <x:c r="B4" s="43" t="str">
        <x:v>arjunan_2023_stress</x:v>
      </x:c>
      <x:c r="C4" s="43" t="str">
        <x:v>es013</x:v>
      </x:c>
      <x:c r="D4" s="43" t="str">
        <x:v>14</x:v>
      </x:c>
      <x:c r="E4" s="43" t="str">
        <x:v>noise_type_2</x:v>
      </x:c>
      <x:c r="F4" s="43" t="str">
        <x:v>Ultrasound</x:v>
      </x:c>
      <x:c r="G4" s="43" t="str">
        <x:v>Audible</x:v>
      </x:c>
      <x:c r="H4" s="43" t="str">
        <x:v>Corrected transcription</x:v>
      </x:c>
      <x:c r="I4" s="43" t="str">
        <x:v>included_studies/arjunan_2023_stress.pdf, Methods section 4.3</x:v>
      </x:c>
      <x:c r="J4" s="43" t="str">
        <x:v>The stated range is within the audible/broadband band used in this review.</x:v>
      </x:c>
    </x:row>
    <x:row r="5">
      <x:c r="A5" s="43" t="str">
        <x:v>3 – Arjunan 2023 acoustic exposure</x:v>
      </x:c>
      <x:c r="B5" s="43" t="str">
        <x:v>arjunan_2023_stress</x:v>
      </x:c>
      <x:c r="C5" s="43" t="str">
        <x:v>es014</x:v>
      </x:c>
      <x:c r="D5" s="43" t="str">
        <x:v>15</x:v>
      </x:c>
      <x:c r="E5" s="43" t="str">
        <x:v>data_file</x:v>
      </x:c>
      <x:c r="F5" s="43" t="str">
        <x:v>arjunan_2023_stress_fig3B_per</x:v>
      </x:c>
      <x:c r="G5" s="43" t="str">
        <x:v>arjunan_2023_stress_fig3B_peri.png</x:v>
      </x:c>
      <x:c r="H5" s="43" t="str">
        <x:v>Corrected transcription</x:v>
      </x:c>
      <x:c r="I5" s="43" t="str">
        <x:v>Metadigitise_figs/arjunan_2023_stress_fig3B_peri.png</x:v>
      </x:c>
      <x:c r="J5" s="43" t="str">
        <x:v>Use the exact saved image filename for reproducibility.</x:v>
      </x:c>
    </x:row>
    <x:row r="6">
      <x:c r="A6" s="43" t="str">
        <x:v>3 – Arjunan 2023 acoustic exposure</x:v>
      </x:c>
      <x:c r="B6" s="43" t="str">
        <x:v>arjunan_2023_stress</x:v>
      </x:c>
      <x:c r="C6" s="43" t="str">
        <x:v>es014</x:v>
      </x:c>
      <x:c r="D6" s="43" t="str">
        <x:v>15</x:v>
      </x:c>
      <x:c r="E6" s="43" t="str">
        <x:v>frequency_Hz</x:v>
      </x:c>
      <x:c r="F6" s="43" t="str">
        <x:v>0-2,000</x:v>
      </x:c>
      <x:c r="G6" s="43" t="str">
        <x:v>0-20,000</x:v>
      </x:c>
      <x:c r="H6" s="43" t="str">
        <x:v>Corrected transcription</x:v>
      </x:c>
      <x:c r="I6" s="43" t="str">
        <x:v>included_studies/arjunan_2023_stress.pdf, Methods section 4.3</x:v>
      </x:c>
      <x:c r="J6" s="43" t="str">
        <x:v>The source states all frequencies from 0 to 20 kHz.</x:v>
      </x:c>
    </x:row>
    <x:row r="7">
      <x:c r="A7" s="43" t="str">
        <x:v>3 – Arjunan 2023 acoustic exposure</x:v>
      </x:c>
      <x:c r="B7" s="43" t="str">
        <x:v>arjunan_2023_stress</x:v>
      </x:c>
      <x:c r="C7" s="43" t="str">
        <x:v>es014</x:v>
      </x:c>
      <x:c r="D7" s="43" t="str">
        <x:v>15</x:v>
      </x:c>
      <x:c r="E7" s="43" t="str">
        <x:v>noise_type</x:v>
      </x:c>
      <x:c r="F7" s="43" t="str">
        <x:v>Ultrasound</x:v>
      </x:c>
      <x:c r="G7" s="43" t="str">
        <x:v>White noise</x:v>
      </x:c>
      <x:c r="H7" s="43" t="str">
        <x:v>Corrected transcription</x:v>
      </x:c>
      <x:c r="I7" s="43" t="str">
        <x:v>included_studies/arjunan_2023_stress.pdf, Methods section 4.3</x:v>
      </x:c>
      <x:c r="J7" s="43" t="str">
        <x:v>The source describes a white-noise generator, not ultrasound.</x:v>
      </x:c>
    </x:row>
    <x:row r="8">
      <x:c r="A8" s="43" t="str">
        <x:v>3 – Arjunan 2023 acoustic exposure</x:v>
      </x:c>
      <x:c r="B8" s="43" t="str">
        <x:v>arjunan_2023_stress</x:v>
      </x:c>
      <x:c r="C8" s="43" t="str">
        <x:v>es014</x:v>
      </x:c>
      <x:c r="D8" s="43" t="str">
        <x:v>15</x:v>
      </x:c>
      <x:c r="E8" s="43" t="str">
        <x:v>noise_type_2</x:v>
      </x:c>
      <x:c r="F8" s="43" t="str">
        <x:v>Ultrasound</x:v>
      </x:c>
      <x:c r="G8" s="43" t="str">
        <x:v>Audible</x:v>
      </x:c>
      <x:c r="H8" s="43" t="str">
        <x:v>Corrected transcription</x:v>
      </x:c>
      <x:c r="I8" s="43" t="str">
        <x:v>included_studies/arjunan_2023_stress.pdf, Methods section 4.3</x:v>
      </x:c>
      <x:c r="J8" s="43" t="str">
        <x:v>The stated range is within the audible/broadband band used in this review.</x:v>
      </x:c>
    </x:row>
    <x:row r="9">
      <x:c r="A9" s="43" t="str">
        <x:v>3 – Arjunan 2023 acoustic exposure</x:v>
      </x:c>
      <x:c r="B9" s="43" t="str">
        <x:v>arjunan_2023_stress</x:v>
      </x:c>
      <x:c r="C9" s="43" t="str">
        <x:v>es015</x:v>
      </x:c>
      <x:c r="D9" s="43" t="str">
        <x:v>16</x:v>
      </x:c>
      <x:c r="E9" s="43" t="str">
        <x:v>frequency_Hz</x:v>
      </x:c>
      <x:c r="F9" s="43" t="str">
        <x:v>0-2,000</x:v>
      </x:c>
      <x:c r="G9" s="43" t="str">
        <x:v>0-20,000</x:v>
      </x:c>
      <x:c r="H9" s="43" t="str">
        <x:v>Corrected transcription</x:v>
      </x:c>
      <x:c r="I9" s="43" t="str">
        <x:v>included_studies/arjunan_2023_stress.pdf, Methods section 4.3</x:v>
      </x:c>
      <x:c r="J9" s="43" t="str">
        <x:v>The source states all frequencies from 0 to 20 kHz.</x:v>
      </x:c>
    </x:row>
    <x:row r="10">
      <x:c r="A10" s="43" t="str">
        <x:v>3 – Arjunan 2023 acoustic exposure</x:v>
      </x:c>
      <x:c r="B10" s="43" t="str">
        <x:v>arjunan_2023_stress</x:v>
      </x:c>
      <x:c r="C10" s="43" t="str">
        <x:v>es015</x:v>
      </x:c>
      <x:c r="D10" s="43" t="str">
        <x:v>16</x:v>
      </x:c>
      <x:c r="E10" s="43" t="str">
        <x:v>noise_type</x:v>
      </x:c>
      <x:c r="F10" s="43" t="str">
        <x:v>Ultrasound</x:v>
      </x:c>
      <x:c r="G10" s="43" t="str">
        <x:v>White noise</x:v>
      </x:c>
      <x:c r="H10" s="43" t="str">
        <x:v>Corrected transcription</x:v>
      </x:c>
      <x:c r="I10" s="43" t="str">
        <x:v>included_studies/arjunan_2023_stress.pdf, Methods section 4.3</x:v>
      </x:c>
      <x:c r="J10" s="43" t="str">
        <x:v>The source describes a white-noise generator, not ultrasound.</x:v>
      </x:c>
    </x:row>
    <x:row r="11">
      <x:c r="A11" s="43" t="str">
        <x:v>3 – Arjunan 2023 acoustic exposure</x:v>
      </x:c>
      <x:c r="B11" s="43" t="str">
        <x:v>arjunan_2023_stress</x:v>
      </x:c>
      <x:c r="C11" s="43" t="str">
        <x:v>es015</x:v>
      </x:c>
      <x:c r="D11" s="43" t="str">
        <x:v>16</x:v>
      </x:c>
      <x:c r="E11" s="43" t="str">
        <x:v>noise_type_2</x:v>
      </x:c>
      <x:c r="F11" s="43" t="str">
        <x:v>Ultrasound</x:v>
      </x:c>
      <x:c r="G11" s="43" t="str">
        <x:v>Audible</x:v>
      </x:c>
      <x:c r="H11" s="43" t="str">
        <x:v>Corrected transcription</x:v>
      </x:c>
      <x:c r="I11" s="43" t="str">
        <x:v>included_studies/arjunan_2023_stress.pdf, Methods section 4.3</x:v>
      </x:c>
      <x:c r="J11" s="43" t="str">
        <x:v>The stated range is within the audible/broadband band used in this review.</x:v>
      </x:c>
    </x:row>
    <x:row r="12">
      <x:c r="A12" s="43" t="str">
        <x:v>3 – Arjunan 2023 acoustic exposure</x:v>
      </x:c>
      <x:c r="B12" s="43" t="str">
        <x:v>arjunan_2023_stress</x:v>
      </x:c>
      <x:c r="C12" s="43" t="str">
        <x:v>es016</x:v>
      </x:c>
      <x:c r="D12" s="43" t="str">
        <x:v>17</x:v>
      </x:c>
      <x:c r="E12" s="43" t="str">
        <x:v>data_file</x:v>
      </x:c>
      <x:c r="F12" s="43" t="str">
        <x:v>arjunan_2023_stress_fig3B_per</x:v>
      </x:c>
      <x:c r="G12" s="43" t="str">
        <x:v>arjunan_2023_stress_fig3B_peri.png</x:v>
      </x:c>
      <x:c r="H12" s="43" t="str">
        <x:v>Corrected transcription</x:v>
      </x:c>
      <x:c r="I12" s="43" t="str">
        <x:v>Metadigitise_figs/arjunan_2023_stress_fig3B_peri.png</x:v>
      </x:c>
      <x:c r="J12" s="43" t="str">
        <x:v>Use the exact saved image filename for reproducibility.</x:v>
      </x:c>
    </x:row>
    <x:row r="13">
      <x:c r="A13" s="43" t="str">
        <x:v>3 – Arjunan 2023 acoustic exposure</x:v>
      </x:c>
      <x:c r="B13" s="43" t="str">
        <x:v>arjunan_2023_stress</x:v>
      </x:c>
      <x:c r="C13" s="43" t="str">
        <x:v>es016</x:v>
      </x:c>
      <x:c r="D13" s="43" t="str">
        <x:v>17</x:v>
      </x:c>
      <x:c r="E13" s="43" t="str">
        <x:v>frequency_Hz</x:v>
      </x:c>
      <x:c r="F13" s="43" t="str">
        <x:v>0-2,000</x:v>
      </x:c>
      <x:c r="G13" s="43" t="str">
        <x:v>0-20,000</x:v>
      </x:c>
      <x:c r="H13" s="43" t="str">
        <x:v>Corrected transcription</x:v>
      </x:c>
      <x:c r="I13" s="43" t="str">
        <x:v>included_studies/arjunan_2023_stress.pdf, Methods section 4.3</x:v>
      </x:c>
      <x:c r="J13" s="43" t="str">
        <x:v>The source states all frequencies from 0 to 20 kHz.</x:v>
      </x:c>
    </x:row>
    <x:row r="14">
      <x:c r="A14" s="43" t="str">
        <x:v>3 – Arjunan 2023 acoustic exposure</x:v>
      </x:c>
      <x:c r="B14" s="43" t="str">
        <x:v>arjunan_2023_stress</x:v>
      </x:c>
      <x:c r="C14" s="43" t="str">
        <x:v>es016</x:v>
      </x:c>
      <x:c r="D14" s="43" t="str">
        <x:v>17</x:v>
      </x:c>
      <x:c r="E14" s="43" t="str">
        <x:v>noise_type</x:v>
      </x:c>
      <x:c r="F14" s="43" t="str">
        <x:v>Ultrasound</x:v>
      </x:c>
      <x:c r="G14" s="43" t="str">
        <x:v>White noise</x:v>
      </x:c>
      <x:c r="H14" s="43" t="str">
        <x:v>Corrected transcription</x:v>
      </x:c>
      <x:c r="I14" s="43" t="str">
        <x:v>included_studies/arjunan_2023_stress.pdf, Methods section 4.3</x:v>
      </x:c>
      <x:c r="J14" s="43" t="str">
        <x:v>The source describes a white-noise generator, not ultrasound.</x:v>
      </x:c>
    </x:row>
    <x:row r="15">
      <x:c r="A15" s="43" t="str">
        <x:v>3 – Arjunan 2023 acoustic exposure</x:v>
      </x:c>
      <x:c r="B15" s="43" t="str">
        <x:v>arjunan_2023_stress</x:v>
      </x:c>
      <x:c r="C15" s="43" t="str">
        <x:v>es016</x:v>
      </x:c>
      <x:c r="D15" s="43" t="str">
        <x:v>17</x:v>
      </x:c>
      <x:c r="E15" s="43" t="str">
        <x:v>noise_type_2</x:v>
      </x:c>
      <x:c r="F15" s="43" t="str">
        <x:v>Ultrasound</x:v>
      </x:c>
      <x:c r="G15" s="43" t="str">
        <x:v>Audible</x:v>
      </x:c>
      <x:c r="H15" s="43" t="str">
        <x:v>Corrected transcription</x:v>
      </x:c>
      <x:c r="I15" s="43" t="str">
        <x:v>included_studies/arjunan_2023_stress.pdf, Methods section 4.3</x:v>
      </x:c>
      <x:c r="J15" s="43" t="str">
        <x:v>The stated range is within the audible/broadband band used in this review.</x:v>
      </x:c>
    </x:row>
    <x:row r="16">
      <x:c r="A16" s="43" t="str">
        <x:v>3 – Arjunan 2023 acoustic exposure</x:v>
      </x:c>
      <x:c r="B16" s="43" t="str">
        <x:v>arjunan_2023_stress</x:v>
      </x:c>
      <x:c r="C16" s="43" t="str">
        <x:v>es017</x:v>
      </x:c>
      <x:c r="D16" s="43" t="str">
        <x:v>18</x:v>
      </x:c>
      <x:c r="E16" s="43" t="str">
        <x:v>frequency_Hz</x:v>
      </x:c>
      <x:c r="F16" s="43" t="str">
        <x:v>0-2,000</x:v>
      </x:c>
      <x:c r="G16" s="43" t="str">
        <x:v>0-20,000</x:v>
      </x:c>
      <x:c r="H16" s="43" t="str">
        <x:v>Corrected transcription</x:v>
      </x:c>
      <x:c r="I16" s="43" t="str">
        <x:v>included_studies/arjunan_2023_stress.pdf, Methods section 4.3</x:v>
      </x:c>
      <x:c r="J16" s="43" t="str">
        <x:v>The source states all frequencies from 0 to 20 kHz.</x:v>
      </x:c>
    </x:row>
    <x:row r="17">
      <x:c r="A17" s="43" t="str">
        <x:v>3 – Arjunan 2023 acoustic exposure</x:v>
      </x:c>
      <x:c r="B17" s="43" t="str">
        <x:v>arjunan_2023_stress</x:v>
      </x:c>
      <x:c r="C17" s="43" t="str">
        <x:v>es017</x:v>
      </x:c>
      <x:c r="D17" s="43" t="str">
        <x:v>18</x:v>
      </x:c>
      <x:c r="E17" s="43" t="str">
        <x:v>noise_type</x:v>
      </x:c>
      <x:c r="F17" s="43" t="str">
        <x:v>Ultrasound</x:v>
      </x:c>
      <x:c r="G17" s="43" t="str">
        <x:v>White noise</x:v>
      </x:c>
      <x:c r="H17" s="43" t="str">
        <x:v>Corrected transcription</x:v>
      </x:c>
      <x:c r="I17" s="43" t="str">
        <x:v>included_studies/arjunan_2023_stress.pdf, Methods section 4.3</x:v>
      </x:c>
      <x:c r="J17" s="43" t="str">
        <x:v>The source describes a white-noise generator, not ultrasound.</x:v>
      </x:c>
    </x:row>
    <x:row r="18">
      <x:c r="A18" s="43" t="str">
        <x:v>3 – Arjunan 2023 acoustic exposure</x:v>
      </x:c>
      <x:c r="B18" s="43" t="str">
        <x:v>arjunan_2023_stress</x:v>
      </x:c>
      <x:c r="C18" s="43" t="str">
        <x:v>es017</x:v>
      </x:c>
      <x:c r="D18" s="43" t="str">
        <x:v>18</x:v>
      </x:c>
      <x:c r="E18" s="43" t="str">
        <x:v>noise_type_2</x:v>
      </x:c>
      <x:c r="F18" s="43" t="str">
        <x:v>Ultrasound</x:v>
      </x:c>
      <x:c r="G18" s="43" t="str">
        <x:v>Audible</x:v>
      </x:c>
      <x:c r="H18" s="43" t="str">
        <x:v>Corrected transcription</x:v>
      </x:c>
      <x:c r="I18" s="43" t="str">
        <x:v>included_studies/arjunan_2023_stress.pdf, Methods section 4.3</x:v>
      </x:c>
      <x:c r="J18" s="43" t="str">
        <x:v>The stated range is within the audible/broadband band used in this review.</x:v>
      </x:c>
    </x:row>
    <x:row r="19">
      <x:c r="A19" s="43" t="str">
        <x:v>3 – Arjunan 2023 acoustic exposure</x:v>
      </x:c>
      <x:c r="B19" s="43" t="str">
        <x:v>arjunan_2023_stress</x:v>
      </x:c>
      <x:c r="C19" s="43" t="str">
        <x:v>es018</x:v>
      </x:c>
      <x:c r="D19" s="43" t="str">
        <x:v>19</x:v>
      </x:c>
      <x:c r="E19" s="43" t="str">
        <x:v>data_file</x:v>
      </x:c>
      <x:c r="F19" s="43" t="str">
        <x:v>arjunan_2023_stress_fig3B_per</x:v>
      </x:c>
      <x:c r="G19" s="43" t="str">
        <x:v>arjunan_2023_stress_fig3B_peri.png</x:v>
      </x:c>
      <x:c r="H19" s="43" t="str">
        <x:v>Corrected transcription</x:v>
      </x:c>
      <x:c r="I19" s="43" t="str">
        <x:v>Metadigitise_figs/arjunan_2023_stress_fig3B_peri.png</x:v>
      </x:c>
      <x:c r="J19" s="43" t="str">
        <x:v>Use the exact saved image filename for reproducibility.</x:v>
      </x:c>
    </x:row>
    <x:row r="20">
      <x:c r="A20" s="43" t="str">
        <x:v>3 – Arjunan 2023 acoustic exposure</x:v>
      </x:c>
      <x:c r="B20" s="43" t="str">
        <x:v>arjunan_2023_stress</x:v>
      </x:c>
      <x:c r="C20" s="43" t="str">
        <x:v>es018</x:v>
      </x:c>
      <x:c r="D20" s="43" t="str">
        <x:v>19</x:v>
      </x:c>
      <x:c r="E20" s="43" t="str">
        <x:v>frequency_Hz</x:v>
      </x:c>
      <x:c r="F20" s="43" t="str">
        <x:v>0-2,000</x:v>
      </x:c>
      <x:c r="G20" s="43" t="str">
        <x:v>0-20,000</x:v>
      </x:c>
      <x:c r="H20" s="43" t="str">
        <x:v>Corrected transcription</x:v>
      </x:c>
      <x:c r="I20" s="43" t="str">
        <x:v>included_studies/arjunan_2023_stress.pdf, Methods section 4.3</x:v>
      </x:c>
      <x:c r="J20" s="43" t="str">
        <x:v>The source states all frequencies from 0 to 20 kHz.</x:v>
      </x:c>
    </x:row>
    <x:row r="21">
      <x:c r="A21" s="43" t="str">
        <x:v>3 – Arjunan 2023 acoustic exposure</x:v>
      </x:c>
      <x:c r="B21" s="43" t="str">
        <x:v>arjunan_2023_stress</x:v>
      </x:c>
      <x:c r="C21" s="43" t="str">
        <x:v>es018</x:v>
      </x:c>
      <x:c r="D21" s="43" t="str">
        <x:v>19</x:v>
      </x:c>
      <x:c r="E21" s="43" t="str">
        <x:v>noise_type</x:v>
      </x:c>
      <x:c r="F21" s="43" t="str">
        <x:v>Ultrasound</x:v>
      </x:c>
      <x:c r="G21" s="43" t="str">
        <x:v>White noise</x:v>
      </x:c>
      <x:c r="H21" s="43" t="str">
        <x:v>Corrected transcription</x:v>
      </x:c>
      <x:c r="I21" s="43" t="str">
        <x:v>included_studies/arjunan_2023_stress.pdf, Methods section 4.3</x:v>
      </x:c>
      <x:c r="J21" s="43" t="str">
        <x:v>The source describes a white-noise generator, not ultrasound.</x:v>
      </x:c>
    </x:row>
    <x:row r="22">
      <x:c r="A22" s="44" t="str">
        <x:v>3 – Arjunan 2023 acoustic exposure</x:v>
      </x:c>
      <x:c r="B22" s="44" t="str">
        <x:v>arjunan_2023_stress</x:v>
      </x:c>
      <x:c r="C22" s="44" t="str">
        <x:v>es018</x:v>
      </x:c>
      <x:c r="D22" s="44" t="str">
        <x:v>19</x:v>
      </x:c>
      <x:c r="E22" s="44" t="str">
        <x:v>noise_type_2</x:v>
      </x:c>
      <x:c r="F22" s="44" t="str">
        <x:v>Ultrasound</x:v>
      </x:c>
      <x:c r="G22" s="44" t="str">
        <x:v>Audible</x:v>
      </x:c>
      <x:c r="H22" s="44" t="str">
        <x:v>Corrected transcription</x:v>
      </x:c>
      <x:c r="I22" s="44" t="str">
        <x:v>included_studies/arjunan_2023_stress.pdf, Methods section 4.3</x:v>
      </x:c>
      <x:c r="J22" s="44" t="str">
        <x:v>The stated range is within the audible/broadband band used in this review.</x:v>
      </x:c>
    </x:row>
  </x:sheetData>
  <x:conditionalFormatting sqref="H2:H22">
    <x:cfRule type="containsText" dxfId="40" priority="1" operator="containsText" text="Verified"/>
    <x:cfRule type="containsText" dxfId="41" priority="2" operator="containsText" text="Corrected transcription"/>
    <x:cfRule type="containsText" dxfId="42" priority="3" operator="containsText" text="Corrected derived value"/>
    <x:cfRule type="containsText" dxfId="43" priority="4" operator="containsText" text="Analysis decision required"/>
    <x:cfRule type="containsText" dxfId="44" priority="5" operator="containsText" text="Source needed"/>
  </x:conditionalFormatting>
  <x:pageMargins left="0.7" right="0.7" top="0.75" bottom="0.75" header="0.3" footer="0.3"/>
  <x:tableParts count="1">
    <x:tablePart xmlns:r="http://schemas.openxmlformats.org/officeDocument/2006/relationships" r:id="Rbece1989b09947b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4 – Barzegar 2014 title and SEM</x:v>
      </x:c>
      <x:c r="B2" s="42" t="str">
        <x:v>barzegar_2014_hippo</x:v>
      </x:c>
      <x:c r="C2" s="42" t="str">
        <x:v>es004</x:v>
      </x:c>
      <x:c r="D2" s="42" t="str">
        <x:v>5</x:v>
      </x:c>
      <x:c r="E2" s="42" t="str">
        <x:v>data_file</x:v>
      </x:c>
      <x:c r="F2" s="42" t="str">
        <x:v>barzegar_2014_figure2</x:v>
      </x:c>
      <x:c r="G2" s="42" t="str">
        <x:v>barzegar_2014_figure2a.png</x:v>
      </x:c>
      <x:c r="H2" s="42" t="str">
        <x:v>Corrected transcription</x:v>
      </x:c>
      <x:c r="I2" s="42" t="str">
        <x:v>Metadigitise_figs/barzegar_2014_figure2a.png</x:v>
      </x:c>
      <x:c r="J2" s="42" t="str">
        <x:v>Use the exact saved image filename for reproducibility.</x:v>
      </x:c>
    </x:row>
    <x:row r="3">
      <x:c r="A3" s="43" t="str">
        <x:v>4 – Barzegar 2014 title and SEM</x:v>
      </x:c>
      <x:c r="B3" s="43" t="str">
        <x:v>barzegar_2014_hippo</x:v>
      </x:c>
      <x:c r="C3" s="43" t="str">
        <x:v>es004</x:v>
      </x:c>
      <x:c r="D3" s="43" t="str">
        <x:v>5</x:v>
      </x:c>
      <x:c r="E3" s="43" t="str">
        <x:v>title</x:v>
      </x:c>
      <x:c r="F3" s="43" t="str">
        <x:v>Effects of chronic stress on cognitive functions and anxiety related behaviors in rats</x:v>
      </x:c>
      <x:c r="G3" s="43" t="str">
        <x:v>Prenatal Exposure to Noise Stress: Anxiety, Impaired Spatial Memory, and Deteriorated Hippocampal Plasticity in Postnatal Life</x:v>
      </x:c>
      <x:c r="H3" s="43" t="str">
        <x:v>Corrected transcription</x:v>
      </x:c>
      <x:c r="I3" s="43" t="str">
        <x:v>included_studies/barzegar_2014_hippo.pdf</x:v>
      </x:c>
      <x:c r="J3" s="43" t="str">
        <x:v>Replace the title copied from another study with the Barzegar paper title.</x:v>
      </x:c>
    </x:row>
    <x:row r="4">
      <x:c r="A4" s="43" t="str">
        <x:v>4 – Barzegar 2014 title and SEM</x:v>
      </x:c>
      <x:c r="B4" s="43" t="str">
        <x:v>barzegar_2014_hippo</x:v>
      </x:c>
      <x:c r="C4" s="43" t="str">
        <x:v>es005</x:v>
      </x:c>
      <x:c r="D4" s="43" t="str">
        <x:v>6</x:v>
      </x:c>
      <x:c r="E4" s="43" t="str">
        <x:v>data_file</x:v>
      </x:c>
      <x:c r="F4" s="43" t="str">
        <x:v>barzegar_2014_figure2</x:v>
      </x:c>
      <x:c r="G4" s="43" t="str">
        <x:v>barzegar_2014_figure2b.png</x:v>
      </x:c>
      <x:c r="H4" s="43" t="str">
        <x:v>Corrected transcription</x:v>
      </x:c>
      <x:c r="I4" s="43" t="str">
        <x:v>Metadigitise_figs/barzegar_2014_figure2b.png</x:v>
      </x:c>
      <x:c r="J4" s="43" t="str">
        <x:v>Use the exact saved image filename for reproducibility.</x:v>
      </x:c>
    </x:row>
    <x:row r="5">
      <x:c r="A5" s="43" t="str">
        <x:v>4 – Barzegar 2014 title and SEM</x:v>
      </x:c>
      <x:c r="B5" s="43" t="str">
        <x:v>barzegar_2014_hippo</x:v>
      </x:c>
      <x:c r="C5" s="43" t="str">
        <x:v>es006</x:v>
      </x:c>
      <x:c r="D5" s="43" t="str">
        <x:v>7</x:v>
      </x:c>
      <x:c r="E5" s="43" t="str">
        <x:v>data_file</x:v>
      </x:c>
      <x:c r="F5" s="43" t="str">
        <x:v>barzegar_2014_figure2</x:v>
      </x:c>
      <x:c r="G5" s="43" t="str">
        <x:v>barzegar_2014_figure2a.png</x:v>
      </x:c>
      <x:c r="H5" s="43" t="str">
        <x:v>Corrected transcription</x:v>
      </x:c>
      <x:c r="I5" s="43" t="str">
        <x:v>Metadigitise_figs/barzegar_2014_figure2a.png</x:v>
      </x:c>
      <x:c r="J5" s="43" t="str">
        <x:v>Use the exact saved image filename for reproducibility.</x:v>
      </x:c>
    </x:row>
    <x:row r="6">
      <x:c r="A6" s="43" t="str">
        <x:v>4 – Barzegar 2014 title and SEM</x:v>
      </x:c>
      <x:c r="B6" s="43" t="str">
        <x:v>barzegar_2014_hippo</x:v>
      </x:c>
      <x:c r="C6" s="43" t="str">
        <x:v>es006</x:v>
      </x:c>
      <x:c r="D6" s="43" t="str">
        <x:v>7</x:v>
      </x:c>
      <x:c r="E6" s="43" t="str">
        <x:v>ex_se_reported</x:v>
      </x:c>
      <x:c r="F6" s="43" t="str">
        <x:v>8.43</x:v>
      </x:c>
      <x:c r="G6" s="43" t="str">
        <x:v>2.666667</x:v>
      </x:c>
      <x:c r="H6" s="43" t="str">
        <x:v>Corrected transcription</x:v>
      </x:c>
      <x:c r="I6" s="43" t="str">
        <x:v>Metadigitise_figs/metaDigitise_output.csv; barzegar_2014_figure2a, N2</x:v>
      </x:c>
      <x:c r="J6" s="43" t="str">
        <x:v>The digitised figure error is SEM; 8.43 is the corresponding SD, not the reported SEM.</x:v>
      </x:c>
    </x:row>
    <x:row r="7">
      <x:c r="A7" s="43" t="str">
        <x:v>4 – Barzegar 2014 title and SEM</x:v>
      </x:c>
      <x:c r="B7" s="43" t="str">
        <x:v>barzegar_2014_hippo</x:v>
      </x:c>
      <x:c r="C7" s="43" t="str">
        <x:v>es007</x:v>
      </x:c>
      <x:c r="D7" s="43" t="str">
        <x:v>8</x:v>
      </x:c>
      <x:c r="E7" s="43" t="str">
        <x:v>data_file</x:v>
      </x:c>
      <x:c r="F7" s="43" t="str">
        <x:v>barzegar_2014_figure2</x:v>
      </x:c>
      <x:c r="G7" s="43" t="str">
        <x:v>barzegar_2014_figure2b.png</x:v>
      </x:c>
      <x:c r="H7" s="43" t="str">
        <x:v>Corrected transcription</x:v>
      </x:c>
      <x:c r="I7" s="43" t="str">
        <x:v>Metadigitise_figs/barzegar_2014_figure2b.png</x:v>
      </x:c>
      <x:c r="J7" s="43" t="str">
        <x:v>Use the exact saved image filename for reproducibility.</x:v>
      </x:c>
    </x:row>
    <x:row r="8">
      <x:c r="A8" s="43" t="str">
        <x:v>4 – Barzegar 2014 title and SEM</x:v>
      </x:c>
      <x:c r="B8" s="43" t="str">
        <x:v>barzegar_2014_hippo</x:v>
      </x:c>
      <x:c r="C8" s="43" t="str">
        <x:v>es008</x:v>
      </x:c>
      <x:c r="D8" s="43" t="str">
        <x:v>9</x:v>
      </x:c>
      <x:c r="E8" s="43" t="str">
        <x:v>data_file</x:v>
      </x:c>
      <x:c r="F8" s="43" t="str">
        <x:v>barzegar_2014_figure2</x:v>
      </x:c>
      <x:c r="G8" s="43" t="str">
        <x:v>barzegar_2014_figure2a.png</x:v>
      </x:c>
      <x:c r="H8" s="43" t="str">
        <x:v>Corrected transcription</x:v>
      </x:c>
      <x:c r="I8" s="43" t="str">
        <x:v>Metadigitise_figs/barzegar_2014_figure2a.png</x:v>
      </x:c>
      <x:c r="J8" s="43" t="str">
        <x:v>Use the exact saved image filename for reproducibility.</x:v>
      </x:c>
    </x:row>
    <x:row r="9">
      <x:c r="A9" s="44" t="str">
        <x:v>4 – Barzegar 2014 title and SEM</x:v>
      </x:c>
      <x:c r="B9" s="44" t="str">
        <x:v>barzegar_2014_hippo</x:v>
      </x:c>
      <x:c r="C9" s="44" t="str">
        <x:v>es009</x:v>
      </x:c>
      <x:c r="D9" s="44" t="str">
        <x:v>10</x:v>
      </x:c>
      <x:c r="E9" s="44" t="str">
        <x:v>data_file</x:v>
      </x:c>
      <x:c r="F9" s="44" t="str">
        <x:v>barzegar_2014_figure2b</x:v>
      </x:c>
      <x:c r="G9" s="44" t="str">
        <x:v>barzegar_2014_figure2b.png</x:v>
      </x:c>
      <x:c r="H9" s="44" t="str">
        <x:v>Corrected transcription</x:v>
      </x:c>
      <x:c r="I9" s="44" t="str">
        <x:v>Metadigitise_figs/barzegar_2014_figure2b.png</x:v>
      </x:c>
      <x:c r="J9" s="44" t="str">
        <x:v>Use the exact saved image filename for reproducibility.</x:v>
      </x:c>
    </x:row>
  </x:sheetData>
  <x:conditionalFormatting sqref="H2:H9">
    <x:cfRule type="containsText" dxfId="45" priority="1" operator="containsText" text="Verified"/>
    <x:cfRule type="containsText" dxfId="46" priority="2" operator="containsText" text="Corrected transcription"/>
    <x:cfRule type="containsText" dxfId="47" priority="3" operator="containsText" text="Corrected derived value"/>
    <x:cfRule type="containsText" dxfId="48" priority="4" operator="containsText" text="Analysis decision required"/>
    <x:cfRule type="containsText" dxfId="49" priority="5" operator="containsText" text="Source needed"/>
  </x:conditionalFormatting>
  <x:pageMargins left="0.7" right="0.7" top="0.75" bottom="0.75" header="0.3" footer="0.3"/>
  <x:tableParts count="1">
    <x:tablePart xmlns:r="http://schemas.openxmlformats.org/officeDocument/2006/relationships" r:id="Rf26a840c96234c1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5 – Abramova 2020 derived SEs</x:v>
      </x:c>
      <x:c r="B2" s="42" t="str">
        <x:v>abramova_2020_genpath</x:v>
      </x:c>
      <x:c r="C2" s="42" t="str">
        <x:v>es130</x:v>
      </x:c>
      <x:c r="D2" s="42" t="str">
        <x:v>131</x:v>
      </x:c>
      <x:c r="E2" s="42" t="str">
        <x:v>c_se_analysis</x:v>
      </x:c>
      <x:c r="F2" s="42" t="str">
        <x:v>18.1638</x:v>
      </x:c>
      <x:c r="G2" s="42" t="str">
        <x:v>5.948995</x:v>
      </x:c>
      <x:c r="H2" s="42" t="str">
        <x:v>Corrected derived value</x:v>
      </x:c>
      <x:c r="I2" s="42" t="str">
        <x:v>included_studies/abramova_2020_genpath/abramova2020_descriptives.xlsx, tidy_all</x:v>
      </x:c>
      <x:c r="J2" s="42" t="str">
        <x:v>Retain the author-data SD and n; correct only the deterministic SE derivation.</x:v>
      </x:c>
    </x:row>
    <x:row r="3">
      <x:c r="A3" s="43" t="str">
        <x:v>5 – Abramova 2020 derived SEs</x:v>
      </x:c>
      <x:c r="B3" s="43" t="str">
        <x:v>abramova_2020_genpath</x:v>
      </x:c>
      <x:c r="C3" s="43" t="str">
        <x:v>es131</x:v>
      </x:c>
      <x:c r="D3" s="43" t="str">
        <x:v>132</x:v>
      </x:c>
      <x:c r="E3" s="43" t="str">
        <x:v>c_se_analysis</x:v>
      </x:c>
      <x:c r="F3" s="43" t="str">
        <x:v>23.1577</x:v>
      </x:c>
      <x:c r="G3" s="43" t="str">
        <x:v>6.011893</x:v>
      </x:c>
      <x:c r="H3" s="43" t="str">
        <x:v>Corrected derived value</x:v>
      </x:c>
      <x:c r="I3" s="43" t="str">
        <x:v>included_studies/abramova_2020_genpath/abramova2020_descriptives.xlsx, tidy_all</x:v>
      </x:c>
      <x:c r="J3" s="43" t="str">
        <x:v>Retain the author-data SD and n; correct only the deterministic SE derivation.</x:v>
      </x:c>
    </x:row>
    <x:row r="4">
      <x:c r="A4" s="43" t="str">
        <x:v>5 – Abramova 2020 derived SEs</x:v>
      </x:c>
      <x:c r="B4" s="43" t="str">
        <x:v>abramova_2020_genpath</x:v>
      </x:c>
      <x:c r="C4" s="43" t="str">
        <x:v>es131</x:v>
      </x:c>
      <x:c r="D4" s="43" t="str">
        <x:v>132</x:v>
      </x:c>
      <x:c r="E4" s="43" t="str">
        <x:v>ex_se_analysis</x:v>
      </x:c>
      <x:c r="F4" s="43" t="str">
        <x:v>14.9063</x:v>
      </x:c>
      <x:c r="G4" s="43" t="str">
        <x:v>4.86045</x:v>
      </x:c>
      <x:c r="H4" s="43" t="str">
        <x:v>Corrected derived value</x:v>
      </x:c>
      <x:c r="I4" s="43" t="str">
        <x:v>included_studies/abramova_2020_genpath/abramova2020_descriptives.xlsx, tidy_all</x:v>
      </x:c>
      <x:c r="J4" s="43" t="str">
        <x:v>Retain the author-data SD and n; correct only the deterministic SE derivation.</x:v>
      </x:c>
    </x:row>
    <x:row r="5">
      <x:c r="A5" s="43" t="str">
        <x:v>5 – Abramova 2020 derived SEs</x:v>
      </x:c>
      <x:c r="B5" s="43" t="str">
        <x:v>abramova_2020_genpath</x:v>
      </x:c>
      <x:c r="C5" s="43" t="str">
        <x:v>es132</x:v>
      </x:c>
      <x:c r="D5" s="43" t="str">
        <x:v>133</x:v>
      </x:c>
      <x:c r="E5" s="43" t="str">
        <x:v>c_se_analysis</x:v>
      </x:c>
      <x:c r="F5" s="43" t="str">
        <x:v>8.3527</x:v>
      </x:c>
      <x:c r="G5" s="43" t="str">
        <x:v>2.38249</x:v>
      </x:c>
      <x:c r="H5" s="43" t="str">
        <x:v>Corrected derived value</x:v>
      </x:c>
      <x:c r="I5" s="43" t="str">
        <x:v>included_studies/abramova_2020_genpath/abramova2020_descriptives.xlsx, tidy_all</x:v>
      </x:c>
      <x:c r="J5" s="43" t="str">
        <x:v>Retain the author-data SD and n; correct only the deterministic SE derivation.</x:v>
      </x:c>
    </x:row>
    <x:row r="6">
      <x:c r="A6" s="43" t="str">
        <x:v>5 – Abramova 2020 derived SEs</x:v>
      </x:c>
      <x:c r="B6" s="43" t="str">
        <x:v>abramova_2020_genpath</x:v>
      </x:c>
      <x:c r="C6" s="43" t="str">
        <x:v>es133</x:v>
      </x:c>
      <x:c r="D6" s="43" t="str">
        <x:v>134</x:v>
      </x:c>
      <x:c r="E6" s="43" t="str">
        <x:v>c_se_analysis</x:v>
      </x:c>
      <x:c r="F6" s="43" t="str">
        <x:v>9.9437</x:v>
      </x:c>
      <x:c r="G6" s="43" t="str">
        <x:v>2.286889</x:v>
      </x:c>
      <x:c r="H6" s="43" t="str">
        <x:v>Corrected derived value</x:v>
      </x:c>
      <x:c r="I6" s="43" t="str">
        <x:v>included_studies/abramova_2020_genpath/abramova2020_descriptives.xlsx, tidy_all</x:v>
      </x:c>
      <x:c r="J6" s="43" t="str">
        <x:v>Retain the author-data SD and n; correct only the deterministic SE derivation.</x:v>
      </x:c>
    </x:row>
    <x:row r="7">
      <x:c r="A7" s="43" t="str">
        <x:v>5 – Abramova 2020 derived SEs</x:v>
      </x:c>
      <x:c r="B7" s="43" t="str">
        <x:v>abramova_2020_genpath</x:v>
      </x:c>
      <x:c r="C7" s="43" t="str">
        <x:v>es133</x:v>
      </x:c>
      <x:c r="D7" s="43" t="str">
        <x:v>134</x:v>
      </x:c>
      <x:c r="E7" s="43" t="str">
        <x:v>ex_se_analysis</x:v>
      </x:c>
      <x:c r="F7" s="43" t="str">
        <x:v>7.0469</x:v>
      </x:c>
      <x:c r="G7" s="43" t="str">
        <x:v>2.22715</x:v>
      </x:c>
      <x:c r="H7" s="43" t="str">
        <x:v>Corrected derived value</x:v>
      </x:c>
      <x:c r="I7" s="43" t="str">
        <x:v>included_studies/abramova_2020_genpath/abramova2020_descriptives.xlsx, tidy_all</x:v>
      </x:c>
      <x:c r="J7" s="43" t="str">
        <x:v>Retain the author-data SD and n; correct only the deterministic SE derivation.</x:v>
      </x:c>
    </x:row>
    <x:row r="8">
      <x:c r="A8" s="43" t="str">
        <x:v>5 – Abramova 2020 derived SEs</x:v>
      </x:c>
      <x:c r="B8" s="43" t="str">
        <x:v>abramova_2020_genpath</x:v>
      </x:c>
      <x:c r="C8" s="43" t="str">
        <x:v>es134</x:v>
      </x:c>
      <x:c r="D8" s="43" t="str">
        <x:v>135</x:v>
      </x:c>
      <x:c r="E8" s="43" t="str">
        <x:v>c_se_analysis</x:v>
      </x:c>
      <x:c r="F8" s="43" t="str">
        <x:v>0.6629</x:v>
      </x:c>
      <x:c r="G8" s="43" t="str">
        <x:v>1.0596</x:v>
      </x:c>
      <x:c r="H8" s="43" t="str">
        <x:v>Corrected derived value</x:v>
      </x:c>
      <x:c r="I8" s="43" t="str">
        <x:v>included_studies/abramova_2020_genpath/abramova2020_descriptives.xlsx, tidy_all</x:v>
      </x:c>
      <x:c r="J8" s="43" t="str">
        <x:v>Retain the author-data SD and n; correct only the deterministic SE derivation.</x:v>
      </x:c>
    </x:row>
    <x:row r="9">
      <x:c r="A9" s="43" t="str">
        <x:v>5 – Abramova 2020 derived SEs</x:v>
      </x:c>
      <x:c r="B9" s="43" t="str">
        <x:v>abramova_2020_genpath</x:v>
      </x:c>
      <x:c r="C9" s="43" t="str">
        <x:v>es135</x:v>
      </x:c>
      <x:c r="D9" s="43" t="str">
        <x:v>136</x:v>
      </x:c>
      <x:c r="E9" s="43" t="str">
        <x:v>c_se_analysis</x:v>
      </x:c>
      <x:c r="F9" s="43" t="str">
        <x:v>0.9723</x:v>
      </x:c>
      <x:c r="G9" s="43" t="str">
        <x:v>0.647816</x:v>
      </x:c>
      <x:c r="H9" s="43" t="str">
        <x:v>Corrected derived value</x:v>
      </x:c>
      <x:c r="I9" s="43" t="str">
        <x:v>included_studies/abramova_2020_genpath/abramova2020_descriptives.xlsx, tidy_all</x:v>
      </x:c>
      <x:c r="J9" s="43" t="str">
        <x:v>Retain the author-data SD and n; correct only the deterministic SE derivation.</x:v>
      </x:c>
    </x:row>
    <x:row r="10">
      <x:c r="A10" s="43" t="str">
        <x:v>5 – Abramova 2020 derived SEs</x:v>
      </x:c>
      <x:c r="B10" s="43" t="str">
        <x:v>abramova_2020_genpath</x:v>
      </x:c>
      <x:c r="C10" s="43" t="str">
        <x:v>es135</x:v>
      </x:c>
      <x:c r="D10" s="43" t="str">
        <x:v>136</x:v>
      </x:c>
      <x:c r="E10" s="43" t="str">
        <x:v>ex_se_analysis</x:v>
      </x:c>
      <x:c r="F10" s="43" t="str">
        <x:v>0.3125</x:v>
      </x:c>
      <x:c r="G10" s="43" t="str">
        <x:v>0.232725</x:v>
      </x:c>
      <x:c r="H10" s="43" t="str">
        <x:v>Corrected derived value</x:v>
      </x:c>
      <x:c r="I10" s="43" t="str">
        <x:v>included_studies/abramova_2020_genpath/abramova2020_descriptives.xlsx, tidy_all</x:v>
      </x:c>
      <x:c r="J10" s="43" t="str">
        <x:v>Retain the author-data SD and n; correct only the deterministic SE derivation.</x:v>
      </x:c>
    </x:row>
    <x:row r="11">
      <x:c r="A11" s="43" t="str">
        <x:v>5 – Abramova 2020 derived SEs</x:v>
      </x:c>
      <x:c r="B11" s="43" t="str">
        <x:v>abramova_2020_genpath</x:v>
      </x:c>
      <x:c r="C11" s="43" t="str">
        <x:v>es136</x:v>
      </x:c>
      <x:c r="D11" s="43" t="str">
        <x:v>137</x:v>
      </x:c>
      <x:c r="E11" s="43" t="str">
        <x:v>c_se_analysis</x:v>
      </x:c>
      <x:c r="F11" s="43" t="str">
        <x:v>4.4207</x:v>
      </x:c>
      <x:c r="G11" s="43" t="str">
        <x:v>3.898315</x:v>
      </x:c>
      <x:c r="H11" s="43" t="str">
        <x:v>Corrected derived value</x:v>
      </x:c>
      <x:c r="I11" s="43" t="str">
        <x:v>included_studies/abramova_2020_genpath/abramova2020_descriptives.xlsx, tidy_all</x:v>
      </x:c>
      <x:c r="J11" s="43" t="str">
        <x:v>Retain the author-data SD and n; correct only the deterministic SE derivation.</x:v>
      </x:c>
    </x:row>
    <x:row r="12">
      <x:c r="A12" s="43" t="str">
        <x:v>5 – Abramova 2020 derived SEs</x:v>
      </x:c>
      <x:c r="B12" s="43" t="str">
        <x:v>abramova_2020_genpath</x:v>
      </x:c>
      <x:c r="C12" s="43" t="str">
        <x:v>es137</x:v>
      </x:c>
      <x:c r="D12" s="43" t="str">
        <x:v>138</x:v>
      </x:c>
      <x:c r="E12" s="43" t="str">
        <x:v>c_se_analysis</x:v>
      </x:c>
      <x:c r="F12" s="43" t="str">
        <x:v>4.9042</x:v>
      </x:c>
      <x:c r="G12" s="43" t="str">
        <x:v>4.774845</x:v>
      </x:c>
      <x:c r="H12" s="43" t="str">
        <x:v>Corrected derived value</x:v>
      </x:c>
      <x:c r="I12" s="43" t="str">
        <x:v>included_studies/abramova_2020_genpath/abramova2020_descriptives.xlsx, tidy_all</x:v>
      </x:c>
      <x:c r="J12" s="43" t="str">
        <x:v>Retain the author-data SD and n; correct only the deterministic SE derivation.</x:v>
      </x:c>
    </x:row>
    <x:row r="13">
      <x:c r="A13" s="43" t="str">
        <x:v>5 – Abramova 2020 derived SEs</x:v>
      </x:c>
      <x:c r="B13" s="43" t="str">
        <x:v>abramova_2020_genpath</x:v>
      </x:c>
      <x:c r="C13" s="43" t="str">
        <x:v>es137</x:v>
      </x:c>
      <x:c r="D13" s="43" t="str">
        <x:v>138</x:v>
      </x:c>
      <x:c r="E13" s="43" t="str">
        <x:v>ex_se_analysis</x:v>
      </x:c>
      <x:c r="F13" s="43" t="str">
        <x:v>4.2813</x:v>
      </x:c>
      <x:c r="G13" s="43" t="str">
        <x:v>3.074025</x:v>
      </x:c>
      <x:c r="H13" s="43" t="str">
        <x:v>Corrected derived value</x:v>
      </x:c>
      <x:c r="I13" s="43" t="str">
        <x:v>included_studies/abramova_2020_genpath/abramova2020_descriptives.xlsx, tidy_all</x:v>
      </x:c>
      <x:c r="J13" s="43" t="str">
        <x:v>Retain the author-data SD and n; correct only the deterministic SE derivation.</x:v>
      </x:c>
    </x:row>
    <x:row r="14">
      <x:c r="A14" s="43" t="str">
        <x:v>5 – Abramova 2020 derived SEs</x:v>
      </x:c>
      <x:c r="B14" s="43" t="str">
        <x:v>abramova_2020_genpath</x:v>
      </x:c>
      <x:c r="C14" s="43" t="str">
        <x:v>es138</x:v>
      </x:c>
      <x:c r="D14" s="43" t="str">
        <x:v>139</x:v>
      </x:c>
      <x:c r="E14" s="43" t="str">
        <x:v>c_se_analysis</x:v>
      </x:c>
      <x:c r="F14" s="43" t="str">
        <x:v>3.3508</x:v>
      </x:c>
      <x:c r="G14" s="43" t="str">
        <x:v>5.49871</x:v>
      </x:c>
      <x:c r="H14" s="43" t="str">
        <x:v>Corrected derived value</x:v>
      </x:c>
      <x:c r="I14" s="43" t="str">
        <x:v>included_studies/abramova_2020_genpath/abramova2020_descriptives.xlsx, tidy_all</x:v>
      </x:c>
      <x:c r="J14" s="43" t="str">
        <x:v>Retain the author-data SD and n; correct only the deterministic SE derivation.</x:v>
      </x:c>
    </x:row>
    <x:row r="15">
      <x:c r="A15" s="43" t="str">
        <x:v>5 – Abramova 2020 derived SEs</x:v>
      </x:c>
      <x:c r="B15" s="43" t="str">
        <x:v>abramova_2020_genpath</x:v>
      </x:c>
      <x:c r="C15" s="43" t="str">
        <x:v>es139</x:v>
      </x:c>
      <x:c r="D15" s="43" t="str">
        <x:v>140</x:v>
      </x:c>
      <x:c r="E15" s="43" t="str">
        <x:v>c_se_analysis</x:v>
      </x:c>
      <x:c r="F15" s="43" t="str">
        <x:v>2.919</x:v>
      </x:c>
      <x:c r="G15" s="43" t="str">
        <x:v>7.584251</x:v>
      </x:c>
      <x:c r="H15" s="43" t="str">
        <x:v>Corrected derived value</x:v>
      </x:c>
      <x:c r="I15" s="43" t="str">
        <x:v>included_studies/abramova_2020_genpath/abramova2020_descriptives.xlsx, tidy_all</x:v>
      </x:c>
      <x:c r="J15" s="43" t="str">
        <x:v>Retain the author-data SD and n; correct only the deterministic SE derivation.</x:v>
      </x:c>
    </x:row>
    <x:row r="16">
      <x:c r="A16" s="43" t="str">
        <x:v>5 – Abramova 2020 derived SEs</x:v>
      </x:c>
      <x:c r="B16" s="43" t="str">
        <x:v>abramova_2020_genpath</x:v>
      </x:c>
      <x:c r="C16" s="43" t="str">
        <x:v>es139</x:v>
      </x:c>
      <x:c r="D16" s="43" t="str">
        <x:v>140</x:v>
      </x:c>
      <x:c r="E16" s="43" t="str">
        <x:v>ex_se_analysis</x:v>
      </x:c>
      <x:c r="F16" s="43" t="str">
        <x:v>8.1981</x:v>
      </x:c>
      <x:c r="G16" s="43" t="str">
        <x:v>7.162475</x:v>
      </x:c>
      <x:c r="H16" s="43" t="str">
        <x:v>Corrected derived value</x:v>
      </x:c>
      <x:c r="I16" s="43" t="str">
        <x:v>included_studies/abramova_2020_genpath/abramova2020_descriptives.xlsx, tidy_all</x:v>
      </x:c>
      <x:c r="J16" s="43" t="str">
        <x:v>Retain the author-data SD and n; correct only the deterministic SE derivation.</x:v>
      </x:c>
    </x:row>
    <x:row r="17">
      <x:c r="A17" s="43" t="str">
        <x:v>5 – Abramova 2020 derived SEs</x:v>
      </x:c>
      <x:c r="B17" s="43" t="str">
        <x:v>abramova_2020_genpath</x:v>
      </x:c>
      <x:c r="C17" s="43" t="str">
        <x:v>es140</x:v>
      </x:c>
      <x:c r="D17" s="43" t="str">
        <x:v>141</x:v>
      </x:c>
      <x:c r="E17" s="43" t="str">
        <x:v>c_se_analysis</x:v>
      </x:c>
      <x:c r="F17" s="43" t="str">
        <x:v>1.6352</x:v>
      </x:c>
      <x:c r="G17" s="43" t="str">
        <x:v>1.308466</x:v>
      </x:c>
      <x:c r="H17" s="43" t="str">
        <x:v>Corrected derived value</x:v>
      </x:c>
      <x:c r="I17" s="43" t="str">
        <x:v>included_studies/abramova_2020_genpath/abramova2020_descriptives.xlsx, tidy_all</x:v>
      </x:c>
      <x:c r="J17" s="43" t="str">
        <x:v>Retain the author-data SD and n; correct only the deterministic SE derivation.</x:v>
      </x:c>
    </x:row>
    <x:row r="18">
      <x:c r="A18" s="43" t="str">
        <x:v>5 – Abramova 2020 derived SEs</x:v>
      </x:c>
      <x:c r="B18" s="43" t="str">
        <x:v>abramova_2020_genpath</x:v>
      </x:c>
      <x:c r="C18" s="43" t="str">
        <x:v>es141</x:v>
      </x:c>
      <x:c r="D18" s="43" t="str">
        <x:v>142</x:v>
      </x:c>
      <x:c r="E18" s="43" t="str">
        <x:v>c_se_analysis</x:v>
      </x:c>
      <x:c r="F18" s="43" t="str">
        <x:v>1.0165</x:v>
      </x:c>
      <x:c r="G18" s="43" t="str">
        <x:v>0.639118</x:v>
      </x:c>
      <x:c r="H18" s="43" t="str">
        <x:v>Corrected derived value</x:v>
      </x:c>
      <x:c r="I18" s="43" t="str">
        <x:v>included_studies/abramova_2020_genpath/abramova2020_descriptives.xlsx, tidy_all</x:v>
      </x:c>
      <x:c r="J18" s="43" t="str">
        <x:v>Retain the author-data SD and n; correct only the deterministic SE derivation.</x:v>
      </x:c>
    </x:row>
    <x:row r="19">
      <x:c r="A19" s="43" t="str">
        <x:v>5 – Abramova 2020 derived SEs</x:v>
      </x:c>
      <x:c r="B19" s="43" t="str">
        <x:v>abramova_2020_genpath</x:v>
      </x:c>
      <x:c r="C19" s="43" t="str">
        <x:v>es141</x:v>
      </x:c>
      <x:c r="D19" s="43" t="str">
        <x:v>142</x:v>
      </x:c>
      <x:c r="E19" s="43" t="str">
        <x:v>ex_se_analysis</x:v>
      </x:c>
      <x:c r="F19" s="43" t="str">
        <x:v>0.75</x:v>
      </x:c>
      <x:c r="G19" s="43" t="str">
        <x:v>0.341575</x:v>
      </x:c>
      <x:c r="H19" s="43" t="str">
        <x:v>Corrected derived value</x:v>
      </x:c>
      <x:c r="I19" s="43" t="str">
        <x:v>included_studies/abramova_2020_genpath/abramova2020_descriptives.xlsx, tidy_all</x:v>
      </x:c>
      <x:c r="J19" s="43" t="str">
        <x:v>Retain the author-data SD and n; correct only the deterministic SE derivation.</x:v>
      </x:c>
    </x:row>
    <x:row r="20">
      <x:c r="A20" s="43" t="str">
        <x:v>5 – Abramova 2020 derived SEs</x:v>
      </x:c>
      <x:c r="B20" s="43" t="str">
        <x:v>abramova_2020_genpath</x:v>
      </x:c>
      <x:c r="C20" s="43" t="str">
        <x:v>es142</x:v>
      </x:c>
      <x:c r="D20" s="43" t="str">
        <x:v>143</x:v>
      </x:c>
      <x:c r="E20" s="43" t="str">
        <x:v>c_se_analysis</x:v>
      </x:c>
      <x:c r="F20" s="43" t="str">
        <x:v>63.1059</x:v>
      </x:c>
      <x:c r="G20" s="43" t="str">
        <x:v>3.82068</x:v>
      </x:c>
      <x:c r="H20" s="43" t="str">
        <x:v>Corrected derived value</x:v>
      </x:c>
      <x:c r="I20" s="43" t="str">
        <x:v>included_studies/abramova_2020_genpath/abramova2020_descriptives.xlsx, tidy_all</x:v>
      </x:c>
      <x:c r="J20" s="43" t="str">
        <x:v>Retain the author-data SD and n; correct only the deterministic SE derivation.</x:v>
      </x:c>
    </x:row>
    <x:row r="21">
      <x:c r="A21" s="43" t="str">
        <x:v>5 – Abramova 2020 derived SEs</x:v>
      </x:c>
      <x:c r="B21" s="43" t="str">
        <x:v>abramova_2020_genpath</x:v>
      </x:c>
      <x:c r="C21" s="43" t="str">
        <x:v>es143</x:v>
      </x:c>
      <x:c r="D21" s="43" t="str">
        <x:v>144</x:v>
      </x:c>
      <x:c r="E21" s="43" t="str">
        <x:v>c_se_analysis</x:v>
      </x:c>
      <x:c r="F21" s="43" t="str">
        <x:v>63.7452</x:v>
      </x:c>
      <x:c r="G21" s="43" t="str">
        <x:v>5.562291</x:v>
      </x:c>
      <x:c r="H21" s="43" t="str">
        <x:v>Corrected derived value</x:v>
      </x:c>
      <x:c r="I21" s="43" t="str">
        <x:v>included_studies/abramova_2020_genpath/abramova2020_descriptives.xlsx, tidy_all</x:v>
      </x:c>
      <x:c r="J21" s="43" t="str">
        <x:v>Retain the author-data SD and n; correct only the deterministic SE derivation.</x:v>
      </x:c>
    </x:row>
    <x:row r="22">
      <x:c r="A22" s="43" t="str">
        <x:v>5 – Abramova 2020 derived SEs</x:v>
      </x:c>
      <x:c r="B22" s="43" t="str">
        <x:v>abramova_2020_genpath</x:v>
      </x:c>
      <x:c r="C22" s="43" t="str">
        <x:v>es144</x:v>
      </x:c>
      <x:c r="D22" s="43" t="str">
        <x:v>145</x:v>
      </x:c>
      <x:c r="E22" s="43" t="str">
        <x:v>c_se_analysis</x:v>
      </x:c>
      <x:c r="F22" s="43" t="str">
        <x:v>3.4941</x:v>
      </x:c>
      <x:c r="G22" s="43" t="str">
        <x:v>3.644701</x:v>
      </x:c>
      <x:c r="H22" s="43" t="str">
        <x:v>Corrected derived value</x:v>
      </x:c>
      <x:c r="I22" s="43" t="str">
        <x:v>included_studies/abramova_2020_genpath/abramova2020_descriptives.xlsx, tidy_all</x:v>
      </x:c>
      <x:c r="J22" s="43" t="str">
        <x:v>Retain the author-data SD and n; correct only the deterministic SE derivation.</x:v>
      </x:c>
    </x:row>
    <x:row r="23">
      <x:c r="A23" s="43" t="str">
        <x:v>5 – Abramova 2020 derived SEs</x:v>
      </x:c>
      <x:c r="B23" s="43" t="str">
        <x:v>abramova_2020_genpath</x:v>
      </x:c>
      <x:c r="C23" s="43" t="str">
        <x:v>es145</x:v>
      </x:c>
      <x:c r="D23" s="43" t="str">
        <x:v>146</x:v>
      </x:c>
      <x:c r="E23" s="43" t="str">
        <x:v>c_se_analysis</x:v>
      </x:c>
      <x:c r="F23" s="43" t="str">
        <x:v>6.324</x:v>
      </x:c>
      <x:c r="G23" s="43" t="str">
        <x:v>5.168479</x:v>
      </x:c>
      <x:c r="H23" s="43" t="str">
        <x:v>Corrected derived value</x:v>
      </x:c>
      <x:c r="I23" s="43" t="str">
        <x:v>included_studies/abramova_2020_genpath/abramova2020_descriptives.xlsx, tidy_all</x:v>
      </x:c>
      <x:c r="J23" s="43" t="str">
        <x:v>Retain the author-data SD and n; correct only the deterministic SE derivation.</x:v>
      </x:c>
    </x:row>
    <x:row r="24">
      <x:c r="A24" s="43" t="str">
        <x:v>5 – Abramova 2020 derived SEs</x:v>
      </x:c>
      <x:c r="B24" s="43" t="str">
        <x:v>abramova_2020_genpath</x:v>
      </x:c>
      <x:c r="C24" s="43" t="str">
        <x:v>es146</x:v>
      </x:c>
      <x:c r="D24" s="43" t="str">
        <x:v>147</x:v>
      </x:c>
      <x:c r="E24" s="43" t="str">
        <x:v>c_se_analysis</x:v>
      </x:c>
      <x:c r="F24" s="43" t="str">
        <x:v>0.436</x:v>
      </x:c>
      <x:c r="G24" s="43" t="str">
        <x:v>0.467204</x:v>
      </x:c>
      <x:c r="H24" s="43" t="str">
        <x:v>Corrected derived value</x:v>
      </x:c>
      <x:c r="I24" s="43" t="str">
        <x:v>included_studies/abramova_2020_genpath/abramova2020_descriptives.xlsx, tidy_all</x:v>
      </x:c>
      <x:c r="J24" s="43" t="str">
        <x:v>Retain the author-data SD and n; correct only the deterministic SE derivation.</x:v>
      </x:c>
    </x:row>
    <x:row r="25">
      <x:c r="A25" s="43" t="str">
        <x:v>5 – Abramova 2020 derived SEs</x:v>
      </x:c>
      <x:c r="B25" s="43" t="str">
        <x:v>abramova_2020_genpath</x:v>
      </x:c>
      <x:c r="C25" s="43" t="str">
        <x:v>es147</x:v>
      </x:c>
      <x:c r="D25" s="43" t="str">
        <x:v>148</x:v>
      </x:c>
      <x:c r="E25" s="43" t="str">
        <x:v>c_se_analysis</x:v>
      </x:c>
      <x:c r="F25" s="43" t="str">
        <x:v>1.0345</x:v>
      </x:c>
      <x:c r="G25" s="43" t="str">
        <x:v>0.616432</x:v>
      </x:c>
      <x:c r="H25" s="43" t="str">
        <x:v>Corrected derived value</x:v>
      </x:c>
      <x:c r="I25" s="43" t="str">
        <x:v>included_studies/abramova_2020_genpath/abramova2020_descriptives.xlsx, tidy_all</x:v>
      </x:c>
      <x:c r="J25" s="43" t="str">
        <x:v>Retain the author-data SD and n; correct only the deterministic SE derivation.</x:v>
      </x:c>
    </x:row>
    <x:row r="26">
      <x:c r="A26" s="43" t="str">
        <x:v>5 – Abramova 2020 derived SEs</x:v>
      </x:c>
      <x:c r="B26" s="43" t="str">
        <x:v>abramova_2020_genpath</x:v>
      </x:c>
      <x:c r="C26" s="43" t="str">
        <x:v>es148</x:v>
      </x:c>
      <x:c r="D26" s="43" t="str">
        <x:v>149</x:v>
      </x:c>
      <x:c r="E26" s="43" t="str">
        <x:v>c_se_analysis</x:v>
      </x:c>
      <x:c r="F26" s="43" t="str">
        <x:v>0.6485</x:v>
      </x:c>
      <x:c r="G26" s="43" t="str">
        <x:v>0.280045</x:v>
      </x:c>
      <x:c r="H26" s="43" t="str">
        <x:v>Corrected derived value</x:v>
      </x:c>
      <x:c r="I26" s="43" t="str">
        <x:v>included_studies/abramova_2020_genpath/abramova2020_descriptives.xlsx, tidy_all</x:v>
      </x:c>
      <x:c r="J26" s="43" t="str">
        <x:v>Retain the author-data SD and n; correct only the deterministic SE derivation.</x:v>
      </x:c>
    </x:row>
    <x:row r="27">
      <x:c r="A27" s="43" t="str">
        <x:v>5 – Abramova 2020 derived SEs</x:v>
      </x:c>
      <x:c r="B27" s="43" t="str">
        <x:v>abramova_2020_genpath</x:v>
      </x:c>
      <x:c r="C27" s="43" t="str">
        <x:v>es149</x:v>
      </x:c>
      <x:c r="D27" s="43" t="str">
        <x:v>150</x:v>
      </x:c>
      <x:c r="E27" s="43" t="str">
        <x:v>c_se_analysis</x:v>
      </x:c>
      <x:c r="F27" s="43" t="str">
        <x:v>0.8773</x:v>
      </x:c>
      <x:c r="G27" s="43" t="str">
        <x:v>0.441376</x:v>
      </x:c>
      <x:c r="H27" s="43" t="str">
        <x:v>Corrected derived value</x:v>
      </x:c>
      <x:c r="I27" s="43" t="str">
        <x:v>included_studies/abramova_2020_genpath/abramova2020_descriptives.xlsx, tidy_all</x:v>
      </x:c>
      <x:c r="J27" s="43" t="str">
        <x:v>Retain the author-data SD and n; correct only the deterministic SE derivation.</x:v>
      </x:c>
    </x:row>
    <x:row r="28">
      <x:c r="A28" s="43" t="str">
        <x:v>5 – Abramova 2020 derived SEs</x:v>
      </x:c>
      <x:c r="B28" s="43" t="str">
        <x:v>abramova_2020_genpath</x:v>
      </x:c>
      <x:c r="C28" s="43" t="str">
        <x:v>es150</x:v>
      </x:c>
      <x:c r="D28" s="43" t="str">
        <x:v>151</x:v>
      </x:c>
      <x:c r="E28" s="43" t="str">
        <x:v>c_se_analysis</x:v>
      </x:c>
      <x:c r="F28" s="43" t="str">
        <x:v>0.6596</x:v>
      </x:c>
      <x:c r="G28" s="43" t="str">
        <x:v>0.682381</x:v>
      </x:c>
      <x:c r="H28" s="43" t="str">
        <x:v>Corrected derived value</x:v>
      </x:c>
      <x:c r="I28" s="43" t="str">
        <x:v>included_studies/abramova_2020_genpath/abramova2020_descriptives.xlsx, tidy_all</x:v>
      </x:c>
      <x:c r="J28" s="43" t="str">
        <x:v>Retain the author-data SD and n; correct only the deterministic SE derivation.</x:v>
      </x:c>
    </x:row>
    <x:row r="29">
      <x:c r="A29" s="43" t="str">
        <x:v>5 – Abramova 2020 derived SEs</x:v>
      </x:c>
      <x:c r="B29" s="43" t="str">
        <x:v>abramova_2020_genpath</x:v>
      </x:c>
      <x:c r="C29" s="43" t="str">
        <x:v>es151</x:v>
      </x:c>
      <x:c r="D29" s="43" t="str">
        <x:v>152</x:v>
      </x:c>
      <x:c r="E29" s="43" t="str">
        <x:v>c_se_analysis</x:v>
      </x:c>
      <x:c r="F29" s="43" t="str">
        <x:v>1.3618</x:v>
      </x:c>
      <x:c r="G29" s="43" t="str">
        <x:v>1.164723</x:v>
      </x:c>
      <x:c r="H29" s="43" t="str">
        <x:v>Corrected derived value</x:v>
      </x:c>
      <x:c r="I29" s="43" t="str">
        <x:v>included_studies/abramova_2020_genpath/abramova2020_descriptives.xlsx, tidy_all</x:v>
      </x:c>
      <x:c r="J29" s="43" t="str">
        <x:v>Retain the author-data SD and n; correct only the deterministic SE derivation.</x:v>
      </x:c>
    </x:row>
    <x:row r="30">
      <x:c r="A30" s="43" t="str">
        <x:v>5 – Abramova 2020 derived SEs</x:v>
      </x:c>
      <x:c r="B30" s="43" t="str">
        <x:v>abramova_2020_genpath</x:v>
      </x:c>
      <x:c r="C30" s="43" t="str">
        <x:v>es152</x:v>
      </x:c>
      <x:c r="D30" s="43" t="str">
        <x:v>153</x:v>
      </x:c>
      <x:c r="E30" s="43" t="str">
        <x:v>c_se_analysis</x:v>
      </x:c>
      <x:c r="F30" s="43" t="str">
        <x:v>10.6014</x:v>
      </x:c>
      <x:c r="G30" s="43" t="str">
        <x:v>8.57418</x:v>
      </x:c>
      <x:c r="H30" s="43" t="str">
        <x:v>Corrected derived value</x:v>
      </x:c>
      <x:c r="I30" s="43" t="str">
        <x:v>included_studies/abramova_2020_genpath/abramova2020_descriptives.xlsx, tidy_all</x:v>
      </x:c>
      <x:c r="J30" s="43" t="str">
        <x:v>Retain the author-data SD and n; correct only the deterministic SE derivation.</x:v>
      </x:c>
    </x:row>
    <x:row r="31">
      <x:c r="A31" s="43" t="str">
        <x:v>5 – Abramova 2020 derived SEs</x:v>
      </x:c>
      <x:c r="B31" s="43" t="str">
        <x:v>abramova_2020_genpath</x:v>
      </x:c>
      <x:c r="C31" s="43" t="str">
        <x:v>es153</x:v>
      </x:c>
      <x:c r="D31" s="43" t="str">
        <x:v>154</x:v>
      </x:c>
      <x:c r="E31" s="43" t="str">
        <x:v>c_se_analysis</x:v>
      </x:c>
      <x:c r="F31" s="43" t="str">
        <x:v>11.0271</x:v>
      </x:c>
      <x:c r="G31" s="43" t="str">
        <x:v>10.421458</x:v>
      </x:c>
      <x:c r="H31" s="43" t="str">
        <x:v>Corrected derived value</x:v>
      </x:c>
      <x:c r="I31" s="43" t="str">
        <x:v>included_studies/abramova_2020_genpath/abramova2020_descriptives.xlsx, tidy_all</x:v>
      </x:c>
      <x:c r="J31" s="43" t="str">
        <x:v>Retain the author-data SD and n; correct only the deterministic SE derivation.</x:v>
      </x:c>
    </x:row>
    <x:row r="32">
      <x:c r="A32" s="43" t="str">
        <x:v>5 – Abramova 2020 derived SEs</x:v>
      </x:c>
      <x:c r="B32" s="43" t="str">
        <x:v>abramova_2020_genpath</x:v>
      </x:c>
      <x:c r="C32" s="43" t="str">
        <x:v>es154</x:v>
      </x:c>
      <x:c r="D32" s="43" t="str">
        <x:v>155</x:v>
      </x:c>
      <x:c r="E32" s="43" t="str">
        <x:v>c_se_analysis</x:v>
      </x:c>
      <x:c r="F32" s="43" t="str">
        <x:v>1.8448</x:v>
      </x:c>
      <x:c r="G32" s="43" t="str">
        <x:v>0.864128</x:v>
      </x:c>
      <x:c r="H32" s="43" t="str">
        <x:v>Corrected derived value</x:v>
      </x:c>
      <x:c r="I32" s="43" t="str">
        <x:v>included_studies/abramova_2020_genpath/abramova2020_descriptives.xlsx, tidy_all</x:v>
      </x:c>
      <x:c r="J32" s="43" t="str">
        <x:v>Retain the author-data SD and n; correct only the deterministic SE derivation.</x:v>
      </x:c>
    </x:row>
    <x:row r="33">
      <x:c r="A33" s="43" t="str">
        <x:v>5 – Abramova 2020 derived SEs</x:v>
      </x:c>
      <x:c r="B33" s="43" t="str">
        <x:v>abramova_2020_genpath</x:v>
      </x:c>
      <x:c r="C33" s="43" t="str">
        <x:v>es155</x:v>
      </x:c>
      <x:c r="D33" s="43" t="str">
        <x:v>156</x:v>
      </x:c>
      <x:c r="E33" s="43" t="str">
        <x:v>c_se_analysis</x:v>
      </x:c>
      <x:c r="F33" s="43" t="str">
        <x:v>2.763</x:v>
      </x:c>
      <x:c r="G33" s="43" t="str">
        <x:v>1.295561</x:v>
      </x:c>
      <x:c r="H33" s="43" t="str">
        <x:v>Corrected derived value</x:v>
      </x:c>
      <x:c r="I33" s="43" t="str">
        <x:v>included_studies/abramova_2020_genpath/abramova2020_descriptives.xlsx, tidy_all</x:v>
      </x:c>
      <x:c r="J33" s="43" t="str">
        <x:v>Retain the author-data SD and n; correct only the deterministic SE derivation.</x:v>
      </x:c>
    </x:row>
    <x:row r="34">
      <x:c r="A34" s="43" t="str">
        <x:v>5 – Abramova 2020 derived SEs</x:v>
      </x:c>
      <x:c r="B34" s="43" t="str">
        <x:v>abramova_2020_genpath</x:v>
      </x:c>
      <x:c r="C34" s="43" t="str">
        <x:v>es156</x:v>
      </x:c>
      <x:c r="D34" s="43" t="str">
        <x:v>157</x:v>
      </x:c>
      <x:c r="E34" s="43" t="str">
        <x:v>c_se_analysis</x:v>
      </x:c>
      <x:c r="F34" s="43" t="str">
        <x:v>5.1394</x:v>
      </x:c>
      <x:c r="G34" s="43" t="str">
        <x:v>8.108117</x:v>
      </x:c>
      <x:c r="H34" s="43" t="str">
        <x:v>Corrected derived value</x:v>
      </x:c>
      <x:c r="I34" s="43" t="str">
        <x:v>included_studies/abramova_2020_genpath/abramova2020_descriptives.xlsx, tidy_all</x:v>
      </x:c>
      <x:c r="J34" s="43" t="str">
        <x:v>Retain the author-data SD and n; correct only the deterministic SE derivation.</x:v>
      </x:c>
    </x:row>
    <x:row r="35">
      <x:c r="A35" s="43" t="str">
        <x:v>5 – Abramova 2020 derived SEs</x:v>
      </x:c>
      <x:c r="B35" s="43" t="str">
        <x:v>abramova_2020_genpath</x:v>
      </x:c>
      <x:c r="C35" s="43" t="str">
        <x:v>es157</x:v>
      </x:c>
      <x:c r="D35" s="43" t="str">
        <x:v>158</x:v>
      </x:c>
      <x:c r="E35" s="43" t="str">
        <x:v>c_se_analysis</x:v>
      </x:c>
      <x:c r="F35" s="43" t="str">
        <x:v>2.6348</x:v>
      </x:c>
      <x:c r="G35" s="43" t="str">
        <x:v>7.265923</x:v>
      </x:c>
      <x:c r="H35" s="43" t="str">
        <x:v>Corrected derived value</x:v>
      </x:c>
      <x:c r="I35" s="43" t="str">
        <x:v>included_studies/abramova_2020_genpath/abramova2020_descriptives.xlsx, tidy_all</x:v>
      </x:c>
      <x:c r="J35" s="43" t="str">
        <x:v>Retain the author-data SD and n; correct only the deterministic SE derivation.</x:v>
      </x:c>
    </x:row>
    <x:row r="36">
      <x:c r="A36" s="43" t="str">
        <x:v>5 – Abramova 2020 derived SEs</x:v>
      </x:c>
      <x:c r="B36" s="43" t="str">
        <x:v>abramova_2020_genpath</x:v>
      </x:c>
      <x:c r="C36" s="43" t="str">
        <x:v>es158</x:v>
      </x:c>
      <x:c r="D36" s="43" t="str">
        <x:v>159</x:v>
      </x:c>
      <x:c r="E36" s="43" t="str">
        <x:v>c_se_analysis</x:v>
      </x:c>
      <x:c r="F36" s="43" t="str">
        <x:v>0.8497</x:v>
      </x:c>
      <x:c r="G36" s="43" t="str">
        <x:v>0.531133</x:v>
      </x:c>
      <x:c r="H36" s="43" t="str">
        <x:v>Corrected derived value</x:v>
      </x:c>
      <x:c r="I36" s="43" t="str">
        <x:v>included_studies/abramova_2020_genpath/abramova2020_descriptives.xlsx, tidy_all</x:v>
      </x:c>
      <x:c r="J36" s="43" t="str">
        <x:v>Retain the author-data SD and n; correct only the deterministic SE derivation.</x:v>
      </x:c>
    </x:row>
    <x:row r="37">
      <x:c r="A37" s="43" t="str">
        <x:v>5 – Abramova 2020 derived SEs</x:v>
      </x:c>
      <x:c r="B37" s="43" t="str">
        <x:v>abramova_2020_genpath</x:v>
      </x:c>
      <x:c r="C37" s="43" t="str">
        <x:v>es159</x:v>
      </x:c>
      <x:c r="D37" s="43" t="str">
        <x:v>160</x:v>
      </x:c>
      <x:c r="E37" s="43" t="str">
        <x:v>c_se_analysis</x:v>
      </x:c>
      <x:c r="F37" s="43" t="str">
        <x:v>1.0345</x:v>
      </x:c>
      <x:c r="G37" s="43" t="str">
        <x:v>0.53099</x:v>
      </x:c>
      <x:c r="H37" s="43" t="str">
        <x:v>Corrected derived value</x:v>
      </x:c>
      <x:c r="I37" s="43" t="str">
        <x:v>included_studies/abramova_2020_genpath/abramova2020_descriptives.xlsx, tidy_all</x:v>
      </x:c>
      <x:c r="J37" s="43" t="str">
        <x:v>Retain the author-data SD and n; correct only the deterministic SE derivation.</x:v>
      </x:c>
    </x:row>
    <x:row r="38">
      <x:c r="A38" s="43" t="str">
        <x:v>5 – Abramova 2020 derived SEs</x:v>
      </x:c>
      <x:c r="B38" s="43" t="str">
        <x:v>abramova_2020_genpath</x:v>
      </x:c>
      <x:c r="C38" s="43" t="str">
        <x:v>es160</x:v>
      </x:c>
      <x:c r="D38" s="43" t="str">
        <x:v>161</x:v>
      </x:c>
      <x:c r="E38" s="43" t="str">
        <x:v>c_se_analysis</x:v>
      </x:c>
      <x:c r="F38" s="43" t="str">
        <x:v>54.0167</x:v>
      </x:c>
      <x:c r="G38" s="43" t="str">
        <x:v>13.930026</x:v>
      </x:c>
      <x:c r="H38" s="43" t="str">
        <x:v>Corrected derived value</x:v>
      </x:c>
      <x:c r="I38" s="43" t="str">
        <x:v>included_studies/abramova_2020_genpath/abramova2020_descriptives.xlsx, tidy_all</x:v>
      </x:c>
      <x:c r="J38" s="43" t="str">
        <x:v>Retain the author-data SD and n; correct only the deterministic SE derivation.</x:v>
      </x:c>
    </x:row>
    <x:row r="39">
      <x:c r="A39" s="43" t="str">
        <x:v>5 – Abramova 2020 derived SEs</x:v>
      </x:c>
      <x:c r="B39" s="43" t="str">
        <x:v>abramova_2020_genpath</x:v>
      </x:c>
      <x:c r="C39" s="43" t="str">
        <x:v>es160</x:v>
      </x:c>
      <x:c r="D39" s="43" t="str">
        <x:v>161</x:v>
      </x:c>
      <x:c r="E39" s="43" t="str">
        <x:v>ex_se_analysis</x:v>
      </x:c>
      <x:c r="F39" s="43" t="str">
        <x:v>42.7578</x:v>
      </x:c>
      <x:c r="G39" s="43" t="str">
        <x:v>16.378815</x:v>
      </x:c>
      <x:c r="H39" s="43" t="str">
        <x:v>Corrected derived value</x:v>
      </x:c>
      <x:c r="I39" s="43" t="str">
        <x:v>included_studies/abramova_2020_genpath/abramova2020_descriptives.xlsx, tidy_all</x:v>
      </x:c>
      <x:c r="J39" s="43" t="str">
        <x:v>Retain the author-data SD and n; correct only the deterministic SE derivation.</x:v>
      </x:c>
    </x:row>
    <x:row r="40">
      <x:c r="A40" s="43" t="str">
        <x:v>5 – Abramova 2020 derived SEs</x:v>
      </x:c>
      <x:c r="B40" s="43" t="str">
        <x:v>abramova_2020_genpath</x:v>
      </x:c>
      <x:c r="C40" s="43" t="str">
        <x:v>es161</x:v>
      </x:c>
      <x:c r="D40" s="43" t="str">
        <x:v>162</x:v>
      </x:c>
      <x:c r="E40" s="43" t="str">
        <x:v>c_se_analysis</x:v>
      </x:c>
      <x:c r="F40" s="43" t="str">
        <x:v>42.2685</x:v>
      </x:c>
      <x:c r="G40" s="43" t="str">
        <x:v>13.264451</x:v>
      </x:c>
      <x:c r="H40" s="43" t="str">
        <x:v>Corrected derived value</x:v>
      </x:c>
      <x:c r="I40" s="43" t="str">
        <x:v>included_studies/abramova_2020_genpath/abramova2020_descriptives.xlsx, tidy_all</x:v>
      </x:c>
      <x:c r="J40" s="43" t="str">
        <x:v>Retain the author-data SD and n; correct only the deterministic SE derivation.</x:v>
      </x:c>
    </x:row>
    <x:row r="41">
      <x:c r="A41" s="43" t="str">
        <x:v>5 – Abramova 2020 derived SEs</x:v>
      </x:c>
      <x:c r="B41" s="43" t="str">
        <x:v>abramova_2020_genpath</x:v>
      </x:c>
      <x:c r="C41" s="43" t="str">
        <x:v>es161</x:v>
      </x:c>
      <x:c r="D41" s="43" t="str">
        <x:v>162</x:v>
      </x:c>
      <x:c r="E41" s="43" t="str">
        <x:v>ex_se_analysis</x:v>
      </x:c>
      <x:c r="F41" s="43" t="str">
        <x:v>51.7909</x:v>
      </x:c>
      <x:c r="G41" s="43" t="str">
        <x:v>18.9553</x:v>
      </x:c>
      <x:c r="H41" s="43" t="str">
        <x:v>Corrected derived value</x:v>
      </x:c>
      <x:c r="I41" s="43" t="str">
        <x:v>included_studies/abramova_2020_genpath/abramova2020_descriptives.xlsx, tidy_all</x:v>
      </x:c>
      <x:c r="J41" s="43" t="str">
        <x:v>Retain the author-data SD and n; correct only the deterministic SE derivation.</x:v>
      </x:c>
    </x:row>
    <x:row r="42">
      <x:c r="A42" s="43" t="str">
        <x:v>5 – Abramova 2020 derived SEs</x:v>
      </x:c>
      <x:c r="B42" s="43" t="str">
        <x:v>abramova_2020_genpath</x:v>
      </x:c>
      <x:c r="C42" s="43" t="str">
        <x:v>es162</x:v>
      </x:c>
      <x:c r="D42" s="43" t="str">
        <x:v>163</x:v>
      </x:c>
      <x:c r="E42" s="43" t="str">
        <x:v>c_se_analysis</x:v>
      </x:c>
      <x:c r="F42" s="43" t="str">
        <x:v>18.658</x:v>
      </x:c>
      <x:c r="G42" s="43" t="str">
        <x:v>12.045387</x:v>
      </x:c>
      <x:c r="H42" s="43" t="str">
        <x:v>Corrected derived value</x:v>
      </x:c>
      <x:c r="I42" s="43" t="str">
        <x:v>included_studies/abramova_2020_genpath/abramova2020_descriptives.xlsx, tidy_all</x:v>
      </x:c>
      <x:c r="J42" s="43" t="str">
        <x:v>Retain the author-data SD and n; correct only the deterministic SE derivation.</x:v>
      </x:c>
    </x:row>
    <x:row r="43">
      <x:c r="A43" s="43" t="str">
        <x:v>5 – Abramova 2020 derived SEs</x:v>
      </x:c>
      <x:c r="B43" s="43" t="str">
        <x:v>abramova_2020_genpath</x:v>
      </x:c>
      <x:c r="C43" s="43" t="str">
        <x:v>es162</x:v>
      </x:c>
      <x:c r="D43" s="43" t="str">
        <x:v>163</x:v>
      </x:c>
      <x:c r="E43" s="43" t="str">
        <x:v>ex_sd</x:v>
      </x:c>
      <x:c r="F43" s="43" t="str">
        <x:v>28.588</x:v>
      </x:c>
      <x:c r="G43" s="43" t="str">
        <x:v>28.935591</x:v>
      </x:c>
      <x:c r="H43" s="43" t="str">
        <x:v>Corrected transcription</x:v>
      </x:c>
      <x:c r="I43" s="43" t="str">
        <x:v>included_studies/abramova_2020_genpath/abramova2020_descriptives.xlsx, tidy_all</x:v>
      </x:c>
      <x:c r="J43" s="43" t="str">
        <x:v>Use the SD in the matching author-data descriptive row before deriving SE.</x:v>
      </x:c>
    </x:row>
    <x:row r="44">
      <x:c r="A44" s="43" t="str">
        <x:v>5 – Abramova 2020 derived SEs</x:v>
      </x:c>
      <x:c r="B44" s="43" t="str">
        <x:v>abramova_2020_genpath</x:v>
      </x:c>
      <x:c r="C44" s="43" t="str">
        <x:v>es162</x:v>
      </x:c>
      <x:c r="D44" s="43" t="str">
        <x:v>163</x:v>
      </x:c>
      <x:c r="E44" s="43" t="str">
        <x:v>ex_se_analysis</x:v>
      </x:c>
      <x:c r="F44" s="43" t="str">
        <x:v>13.4021</x:v>
      </x:c>
      <x:c r="G44" s="43" t="str">
        <x:v>6.63828</x:v>
      </x:c>
      <x:c r="H44" s="43" t="str">
        <x:v>Corrected derived value</x:v>
      </x:c>
      <x:c r="I44" s="43" t="str">
        <x:v>included_studies/abramova_2020_genpath/abramova2020_descriptives.xlsx, tidy_all</x:v>
      </x:c>
      <x:c r="J44" s="43" t="str">
        <x:v>Retain the author-data SD and n; correct only the deterministic SE derivation.</x:v>
      </x:c>
    </x:row>
    <x:row r="45">
      <x:c r="A45" s="43" t="str">
        <x:v>5 – Abramova 2020 derived SEs</x:v>
      </x:c>
      <x:c r="B45" s="43" t="str">
        <x:v>abramova_2020_genpath</x:v>
      </x:c>
      <x:c r="C45" s="43" t="str">
        <x:v>es163</x:v>
      </x:c>
      <x:c r="D45" s="43" t="str">
        <x:v>164</x:v>
      </x:c>
      <x:c r="E45" s="43" t="str">
        <x:v>c_se_analysis</x:v>
      </x:c>
      <x:c r="F45" s="43" t="str">
        <x:v>15.4811</x:v>
      </x:c>
      <x:c r="G45" s="43" t="str">
        <x:v>6.411963</x:v>
      </x:c>
      <x:c r="H45" s="43" t="str">
        <x:v>Corrected derived value</x:v>
      </x:c>
      <x:c r="I45" s="43" t="str">
        <x:v>included_studies/abramova_2020_genpath/abramova2020_descriptives.xlsx, tidy_all</x:v>
      </x:c>
      <x:c r="J45" s="43" t="str">
        <x:v>Retain the author-data SD and n; correct only the deterministic SE derivation.</x:v>
      </x:c>
    </x:row>
    <x:row r="46">
      <x:c r="A46" s="44" t="str">
        <x:v>5 – Abramova 2020 derived SEs</x:v>
      </x:c>
      <x:c r="B46" s="44" t="str">
        <x:v>abramova_2020_genpath</x:v>
      </x:c>
      <x:c r="C46" s="44" t="str">
        <x:v>es163</x:v>
      </x:c>
      <x:c r="D46" s="44" t="str">
        <x:v>164</x:v>
      </x:c>
      <x:c r="E46" s="44" t="str">
        <x:v>ex_se_analysis</x:v>
      </x:c>
      <x:c r="F46" s="44" t="str">
        <x:v>12.4549</x:v>
      </x:c>
      <x:c r="G46" s="44" t="str">
        <x:v>8.4909</x:v>
      </x:c>
      <x:c r="H46" s="44" t="str">
        <x:v>Corrected derived value</x:v>
      </x:c>
      <x:c r="I46" s="44" t="str">
        <x:v>included_studies/abramova_2020_genpath/abramova2020_descriptives.xlsx, tidy_all</x:v>
      </x:c>
      <x:c r="J46" s="44" t="str">
        <x:v>Retain the author-data SD and n; correct only the deterministic SE derivation.</x:v>
      </x:c>
    </x:row>
  </x:sheetData>
  <x:conditionalFormatting sqref="H2:H46">
    <x:cfRule type="containsText" dxfId="50" priority="1" operator="containsText" text="Verified"/>
    <x:cfRule type="containsText" dxfId="51" priority="2" operator="containsText" text="Corrected transcription"/>
    <x:cfRule type="containsText" dxfId="52" priority="3" operator="containsText" text="Corrected derived value"/>
    <x:cfRule type="containsText" dxfId="53" priority="4" operator="containsText" text="Analysis decision required"/>
    <x:cfRule type="containsText" dxfId="54" priority="5" operator="containsText" text="Source needed"/>
  </x:conditionalFormatting>
  <x:pageMargins left="0.7" right="0.7" top="0.75" bottom="0.75" header="0.3" footer="0.3"/>
  <x:tableParts count="1">
    <x:tablePart xmlns:r="http://schemas.openxmlformats.org/officeDocument/2006/relationships" r:id="R28a4b5faf93b431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6 – Abramova 2021 same-sex controls</x:v>
      </x:c>
      <x:c r="B2" s="42" t="str">
        <x:v>abramova_2021_front</x:v>
      </x:c>
      <x:c r="C2" s="42" t="str">
        <x:v>es074</x:v>
      </x:c>
      <x:c r="D2" s="42" t="str">
        <x:v>75</x:v>
      </x:c>
      <x:c r="E2" s="42" t="str">
        <x:v>c_mean</x:v>
      </x:c>
      <x:c r="F2" s="42" t="str">
        <x:v>29</x:v>
      </x:c>
      <x:c r="G2" s="42" t="str">
        <x:v>33.73913</x:v>
      </x:c>
      <x:c r="H2" s="42" t="str">
        <x:v>Corrected transcription</x:v>
      </x:c>
      <x:c r="I2" s="42" t="str">
        <x:v>included_studies/abramova_2021_front/abramova_2021_front.xlsx, Лист1, handling=No handling</x:v>
      </x:c>
      <x:c r="J2" s="42" t="str">
        <x:v>Recalculate the control mean from the same-sex author raw subgroup (squares).</x:v>
      </x:c>
    </x:row>
    <x:row r="3">
      <x:c r="A3" s="43" t="str">
        <x:v>6 – Abramova 2021 same-sex controls</x:v>
      </x:c>
      <x:c r="B3" s="43" t="str">
        <x:v>abramova_2021_front</x:v>
      </x:c>
      <x:c r="C3" s="43" t="str">
        <x:v>es074</x:v>
      </x:c>
      <x:c r="D3" s="43" t="str">
        <x:v>75</x:v>
      </x:c>
      <x:c r="E3" s="43" t="str">
        <x:v>c_n</x:v>
      </x:c>
      <x:c r="F3" s="43" t="str">
        <x:v>25</x:v>
      </x:c>
      <x:c r="G3" s="43" t="str">
        <x:v>23</x:v>
      </x:c>
      <x:c r="H3" s="43" t="str">
        <x:v>Corrected transcription</x:v>
      </x:c>
      <x:c r="I3" s="43" t="str">
        <x:v>included_studies/abramova_2021_front/abramova_2021_front.xlsx, Лист1, handling=No handling</x:v>
      </x:c>
      <x:c r="J3" s="43" t="str">
        <x:v>Use the females control subgroup matching offspring_sex.</x:v>
      </x:c>
    </x:row>
    <x:row r="4">
      <x:c r="A4" s="43" t="str">
        <x:v>6 – Abramova 2021 same-sex controls</x:v>
      </x:c>
      <x:c r="B4" s="43" t="str">
        <x:v>abramova_2021_front</x:v>
      </x:c>
      <x:c r="C4" s="43" t="str">
        <x:v>es074</x:v>
      </x:c>
      <x:c r="D4" s="43" t="str">
        <x:v>75</x:v>
      </x:c>
      <x:c r="E4" s="43" t="str">
        <x:v>c_sd</x:v>
      </x:c>
      <x:c r="F4" s="43" t="str">
        <x:v>15.7903</x:v>
      </x:c>
      <x:c r="G4" s="43" t="str">
        <x:v>16.895985</x:v>
      </x:c>
      <x:c r="H4" s="43" t="str">
        <x:v>Corrected transcription</x:v>
      </x:c>
      <x:c r="I4" s="43" t="str">
        <x:v>included_studies/abramova_2021_front/abramova_2021_front.xlsx, Лист1, handling=No handling</x:v>
      </x:c>
      <x:c r="J4" s="43" t="str">
        <x:v>Recalculate the control SD from the same-sex author raw subgroup (squares).</x:v>
      </x:c>
    </x:row>
    <x:row r="5">
      <x:c r="A5" s="43" t="str">
        <x:v>6 – Abramova 2021 same-sex controls</x:v>
      </x:c>
      <x:c r="B5" s="43" t="str">
        <x:v>abramova_2021_front</x:v>
      </x:c>
      <x:c r="C5" s="43" t="str">
        <x:v>es074</x:v>
      </x:c>
      <x:c r="D5" s="43" t="str">
        <x:v>75</x:v>
      </x:c>
      <x:c r="E5" s="43" t="str">
        <x:v>c_se_analysis</x:v>
      </x:c>
      <x:c r="F5" s="43" t="str">
        <x:v>3.1581</x:v>
      </x:c>
      <x:c r="G5" s="43" t="str">
        <x:v>3.523056</x:v>
      </x:c>
      <x:c r="H5" s="43" t="str">
        <x:v>Corrected derived value</x:v>
      </x:c>
      <x:c r="I5" s="43" t="str">
        <x:v>included_studies/abramova_2021_front/abramova_2021_front.xlsx, Лист1, handling=No handling</x:v>
      </x:c>
      <x:c r="J5" s="43" t="str">
        <x:v>Recalculate SE after replacing the opposite-sex control summary with the same-sex subgroup.</x:v>
      </x:c>
    </x:row>
    <x:row r="6">
      <x:c r="A6" s="43" t="str">
        <x:v>6 – Abramova 2021 same-sex controls</x:v>
      </x:c>
      <x:c r="B6" s="43" t="str">
        <x:v>abramova_2021_front</x:v>
      </x:c>
      <x:c r="C6" s="43" t="str">
        <x:v>es074</x:v>
      </x:c>
      <x:c r="D6" s="43" t="str">
        <x:v>75</x:v>
      </x:c>
      <x:c r="E6" s="43" t="str">
        <x:v>data_file</x:v>
      </x:c>
      <x:c r="F6" s="43" t="str">
        <x:v>OF-pups-abramova2015</x:v>
      </x:c>
      <x:c r="G6" s="43" t="str">
        <x:v>included_studies/abramova_2021_front/abramova_2021_front.xlsx</x:v>
      </x:c>
      <x:c r="H6" s="43" t="str">
        <x:v>Corrected transcription</x:v>
      </x:c>
      <x:c r="I6" s="43" t="str">
        <x:v>included_studies/abramova_2021_front/abramova_2021_front.xlsx, Лист1, handling=No handling</x:v>
      </x:c>
      <x:c r="J6" s="43" t="str">
        <x:v>Use the stable path to the saved author workbook.</x:v>
      </x:c>
    </x:row>
    <x:row r="7">
      <x:c r="A7" s="43" t="str">
        <x:v>6 – Abramova 2021 same-sex controls</x:v>
      </x:c>
      <x:c r="B7" s="43" t="str">
        <x:v>abramova_2021_front</x:v>
      </x:c>
      <x:c r="C7" s="43" t="str">
        <x:v>es074</x:v>
      </x:c>
      <x:c r="D7" s="43" t="str">
        <x:v>75</x:v>
      </x:c>
      <x:c r="E7" s="43" t="str">
        <x:v>data_source</x:v>
      </x:c>
      <x:c r="F7" s="43" t="str">
        <x:v>Figure 2a</x:v>
      </x:c>
      <x:c r="G7" s="43" t="str">
        <x:v>Author raw data</x:v>
      </x:c>
      <x:c r="H7" s="43" t="str">
        <x:v>Corrected transcription</x:v>
      </x:c>
      <x:c r="I7" s="43" t="str">
        <x:v>included_studies/abramova_2021_front/abramova_2021_front.xlsx, Лист1, handling=No handling</x:v>
      </x:c>
      <x:c r="J7" s="43" t="str">
        <x:v>All summaries in this package are calculated from the saved author workbook.</x:v>
      </x:c>
    </x:row>
    <x:row r="8">
      <x:c r="A8" s="43" t="str">
        <x:v>6 – Abramova 2021 same-sex controls</x:v>
      </x:c>
      <x:c r="B8" s="43" t="str">
        <x:v>abramova_2021_front</x:v>
      </x:c>
      <x:c r="C8" s="43" t="str">
        <x:v>es075</x:v>
      </x:c>
      <x:c r="D8" s="43" t="str">
        <x:v>76</x:v>
      </x:c>
      <x:c r="E8" s="43" t="str">
        <x:v>c_mean</x:v>
      </x:c>
      <x:c r="F8" s="43" t="str">
        <x:v>33.7391</x:v>
      </x:c>
      <x:c r="G8" s="43" t="str">
        <x:v>29</x:v>
      </x:c>
      <x:c r="H8" s="43" t="str">
        <x:v>Corrected transcription</x:v>
      </x:c>
      <x:c r="I8" s="43" t="str">
        <x:v>included_studies/abramova_2021_front/abramova_2021_front.xlsx, Лист1, handling=No handling</x:v>
      </x:c>
      <x:c r="J8" s="43" t="str">
        <x:v>Recalculate the control mean from the same-sex author raw subgroup (squares).</x:v>
      </x:c>
    </x:row>
    <x:row r="9">
      <x:c r="A9" s="43" t="str">
        <x:v>6 – Abramova 2021 same-sex controls</x:v>
      </x:c>
      <x:c r="B9" s="43" t="str">
        <x:v>abramova_2021_front</x:v>
      </x:c>
      <x:c r="C9" s="43" t="str">
        <x:v>es075</x:v>
      </x:c>
      <x:c r="D9" s="43" t="str">
        <x:v>76</x:v>
      </x:c>
      <x:c r="E9" s="43" t="str">
        <x:v>c_n</x:v>
      </x:c>
      <x:c r="F9" s="43" t="str">
        <x:v>23</x:v>
      </x:c>
      <x:c r="G9" s="43" t="str">
        <x:v>25</x:v>
      </x:c>
      <x:c r="H9" s="43" t="str">
        <x:v>Corrected transcription</x:v>
      </x:c>
      <x:c r="I9" s="43" t="str">
        <x:v>included_studies/abramova_2021_front/abramova_2021_front.xlsx, Лист1, handling=No handling</x:v>
      </x:c>
      <x:c r="J9" s="43" t="str">
        <x:v>Use the males control subgroup matching offspring_sex.</x:v>
      </x:c>
    </x:row>
    <x:row r="10">
      <x:c r="A10" s="43" t="str">
        <x:v>6 – Abramova 2021 same-sex controls</x:v>
      </x:c>
      <x:c r="B10" s="43" t="str">
        <x:v>abramova_2021_front</x:v>
      </x:c>
      <x:c r="C10" s="43" t="str">
        <x:v>es075</x:v>
      </x:c>
      <x:c r="D10" s="43" t="str">
        <x:v>76</x:v>
      </x:c>
      <x:c r="E10" s="43" t="str">
        <x:v>c_sd</x:v>
      </x:c>
      <x:c r="F10" s="43" t="str">
        <x:v>16.896</x:v>
      </x:c>
      <x:c r="G10" s="43" t="str">
        <x:v>15.790292</x:v>
      </x:c>
      <x:c r="H10" s="43" t="str">
        <x:v>Corrected transcription</x:v>
      </x:c>
      <x:c r="I10" s="43" t="str">
        <x:v>included_studies/abramova_2021_front/abramova_2021_front.xlsx, Лист1, handling=No handling</x:v>
      </x:c>
      <x:c r="J10" s="43" t="str">
        <x:v>Recalculate the control SD from the same-sex author raw subgroup (squares).</x:v>
      </x:c>
    </x:row>
    <x:row r="11">
      <x:c r="A11" s="43" t="str">
        <x:v>6 – Abramova 2021 same-sex controls</x:v>
      </x:c>
      <x:c r="B11" s="43" t="str">
        <x:v>abramova_2021_front</x:v>
      </x:c>
      <x:c r="C11" s="43" t="str">
        <x:v>es075</x:v>
      </x:c>
      <x:c r="D11" s="43" t="str">
        <x:v>76</x:v>
      </x:c>
      <x:c r="E11" s="43" t="str">
        <x:v>c_se_analysis</x:v>
      </x:c>
      <x:c r="F11" s="43" t="str">
        <x:v>3.5231</x:v>
      </x:c>
      <x:c r="G11" s="43" t="str">
        <x:v>3.158058</x:v>
      </x:c>
      <x:c r="H11" s="43" t="str">
        <x:v>Corrected derived value</x:v>
      </x:c>
      <x:c r="I11" s="43" t="str">
        <x:v>included_studies/abramova_2021_front/abramova_2021_front.xlsx, Лист1, handling=No handling</x:v>
      </x:c>
      <x:c r="J11" s="43" t="str">
        <x:v>Recalculate SE after replacing the opposite-sex control summary with the same-sex subgroup.</x:v>
      </x:c>
    </x:row>
    <x:row r="12">
      <x:c r="A12" s="43" t="str">
        <x:v>6 – Abramova 2021 same-sex controls</x:v>
      </x:c>
      <x:c r="B12" s="43" t="str">
        <x:v>abramova_2021_front</x:v>
      </x:c>
      <x:c r="C12" s="43" t="str">
        <x:v>es075</x:v>
      </x:c>
      <x:c r="D12" s="43" t="str">
        <x:v>76</x:v>
      </x:c>
      <x:c r="E12" s="43" t="str">
        <x:v>data_file</x:v>
      </x:c>
      <x:c r="F12" s="43" t="str">
        <x:v>OF-pups-abramova2016</x:v>
      </x:c>
      <x:c r="G12" s="43" t="str">
        <x:v>included_studies/abramova_2021_front/abramova_2021_front.xlsx</x:v>
      </x:c>
      <x:c r="H12" s="43" t="str">
        <x:v>Corrected transcription</x:v>
      </x:c>
      <x:c r="I12" s="43" t="str">
        <x:v>included_studies/abramova_2021_front/abramova_2021_front.xlsx, Лист1, handling=No handling</x:v>
      </x:c>
      <x:c r="J12" s="43" t="str">
        <x:v>Use the stable path to the saved author workbook.</x:v>
      </x:c>
    </x:row>
    <x:row r="13">
      <x:c r="A13" s="43" t="str">
        <x:v>6 – Abramova 2021 same-sex controls</x:v>
      </x:c>
      <x:c r="B13" s="43" t="str">
        <x:v>abramova_2021_front</x:v>
      </x:c>
      <x:c r="C13" s="43" t="str">
        <x:v>es075</x:v>
      </x:c>
      <x:c r="D13" s="43" t="str">
        <x:v>76</x:v>
      </x:c>
      <x:c r="E13" s="43" t="str">
        <x:v>data_source</x:v>
      </x:c>
      <x:c r="F13" s="43" t="str">
        <x:v>Figure 2a</x:v>
      </x:c>
      <x:c r="G13" s="43" t="str">
        <x:v>Author raw data</x:v>
      </x:c>
      <x:c r="H13" s="43" t="str">
        <x:v>Corrected transcription</x:v>
      </x:c>
      <x:c r="I13" s="43" t="str">
        <x:v>included_studies/abramova_2021_front/abramova_2021_front.xlsx, Лист1, handling=No handling</x:v>
      </x:c>
      <x:c r="J13" s="43" t="str">
        <x:v>All summaries in this package are calculated from the saved author workbook.</x:v>
      </x:c>
    </x:row>
    <x:row r="14">
      <x:c r="A14" s="43" t="str">
        <x:v>6 – Abramova 2021 same-sex controls</x:v>
      </x:c>
      <x:c r="B14" s="43" t="str">
        <x:v>abramova_2021_front</x:v>
      </x:c>
      <x:c r="C14" s="43" t="str">
        <x:v>es076</x:v>
      </x:c>
      <x:c r="D14" s="43" t="str">
        <x:v>77</x:v>
      </x:c>
      <x:c r="E14" s="43" t="str">
        <x:v>c_mean</x:v>
      </x:c>
      <x:c r="F14" s="43" t="str">
        <x:v>8.92</x:v>
      </x:c>
      <x:c r="G14" s="43" t="str">
        <x:v>10.130435</x:v>
      </x:c>
      <x:c r="H14" s="43" t="str">
        <x:v>Corrected transcription</x:v>
      </x:c>
      <x:c r="I14" s="43" t="str">
        <x:v>included_studies/abramova_2021_front/abramova_2021_front.xlsx, Лист1, handling=No handling</x:v>
      </x:c>
      <x:c r="J14" s="43" t="str">
        <x:v>Recalculate the control mean from the same-sex author raw subgroup (rearing).</x:v>
      </x:c>
    </x:row>
    <x:row r="15">
      <x:c r="A15" s="43" t="str">
        <x:v>6 – Abramova 2021 same-sex controls</x:v>
      </x:c>
      <x:c r="B15" s="43" t="str">
        <x:v>abramova_2021_front</x:v>
      </x:c>
      <x:c r="C15" s="43" t="str">
        <x:v>es076</x:v>
      </x:c>
      <x:c r="D15" s="43" t="str">
        <x:v>77</x:v>
      </x:c>
      <x:c r="E15" s="43" t="str">
        <x:v>c_n</x:v>
      </x:c>
      <x:c r="F15" s="43" t="str">
        <x:v>25</x:v>
      </x:c>
      <x:c r="G15" s="43" t="str">
        <x:v>23</x:v>
      </x:c>
      <x:c r="H15" s="43" t="str">
        <x:v>Corrected transcription</x:v>
      </x:c>
      <x:c r="I15" s="43" t="str">
        <x:v>included_studies/abramova_2021_front/abramova_2021_front.xlsx, Лист1, handling=No handling</x:v>
      </x:c>
      <x:c r="J15" s="43" t="str">
        <x:v>Use the females control subgroup matching offspring_sex.</x:v>
      </x:c>
    </x:row>
    <x:row r="16">
      <x:c r="A16" s="43" t="str">
        <x:v>6 – Abramova 2021 same-sex controls</x:v>
      </x:c>
      <x:c r="B16" s="43" t="str">
        <x:v>abramova_2021_front</x:v>
      </x:c>
      <x:c r="C16" s="43" t="str">
        <x:v>es076</x:v>
      </x:c>
      <x:c r="D16" s="43" t="str">
        <x:v>77</x:v>
      </x:c>
      <x:c r="E16" s="43" t="str">
        <x:v>c_sd</x:v>
      </x:c>
      <x:c r="F16" s="43" t="str">
        <x:v>6.9337</x:v>
      </x:c>
      <x:c r="G16" s="43" t="str">
        <x:v>8.7558</x:v>
      </x:c>
      <x:c r="H16" s="43" t="str">
        <x:v>Corrected transcription</x:v>
      </x:c>
      <x:c r="I16" s="43" t="str">
        <x:v>included_studies/abramova_2021_front/abramova_2021_front.xlsx, Лист1, handling=No handling</x:v>
      </x:c>
      <x:c r="J16" s="43" t="str">
        <x:v>Recalculate the control SD from the same-sex author raw subgroup (rearing).</x:v>
      </x:c>
    </x:row>
    <x:row r="17">
      <x:c r="A17" s="43" t="str">
        <x:v>6 – Abramova 2021 same-sex controls</x:v>
      </x:c>
      <x:c r="B17" s="43" t="str">
        <x:v>abramova_2021_front</x:v>
      </x:c>
      <x:c r="C17" s="43" t="str">
        <x:v>es076</x:v>
      </x:c>
      <x:c r="D17" s="43" t="str">
        <x:v>77</x:v>
      </x:c>
      <x:c r="E17" s="43" t="str">
        <x:v>c_se_analysis</x:v>
      </x:c>
      <x:c r="F17" s="43" t="str">
        <x:v>1.3867</x:v>
      </x:c>
      <x:c r="G17" s="43" t="str">
        <x:v>1.825711</x:v>
      </x:c>
      <x:c r="H17" s="43" t="str">
        <x:v>Corrected derived value</x:v>
      </x:c>
      <x:c r="I17" s="43" t="str">
        <x:v>included_studies/abramova_2021_front/abramova_2021_front.xlsx, Лист1, handling=No handling</x:v>
      </x:c>
      <x:c r="J17" s="43" t="str">
        <x:v>Recalculate SE after replacing the opposite-sex control summary with the same-sex subgroup.</x:v>
      </x:c>
    </x:row>
    <x:row r="18">
      <x:c r="A18" s="43" t="str">
        <x:v>6 – Abramova 2021 same-sex controls</x:v>
      </x:c>
      <x:c r="B18" s="43" t="str">
        <x:v>abramova_2021_front</x:v>
      </x:c>
      <x:c r="C18" s="43" t="str">
        <x:v>es076</x:v>
      </x:c>
      <x:c r="D18" s="43" t="str">
        <x:v>77</x:v>
      </x:c>
      <x:c r="E18" s="43" t="str">
        <x:v>data_file</x:v>
      </x:c>
      <x:c r="F18" s="43" t="str">
        <x:v>OF-pups-abramova2017</x:v>
      </x:c>
      <x:c r="G18" s="43" t="str">
        <x:v>included_studies/abramova_2021_front/abramova_2021_front.xlsx</x:v>
      </x:c>
      <x:c r="H18" s="43" t="str">
        <x:v>Corrected transcription</x:v>
      </x:c>
      <x:c r="I18" s="43" t="str">
        <x:v>included_studies/abramova_2021_front/abramova_2021_front.xlsx, Лист1, handling=No handling</x:v>
      </x:c>
      <x:c r="J18" s="43" t="str">
        <x:v>Use the stable path to the saved author workbook.</x:v>
      </x:c>
    </x:row>
    <x:row r="19">
      <x:c r="A19" s="43" t="str">
        <x:v>6 – Abramova 2021 same-sex controls</x:v>
      </x:c>
      <x:c r="B19" s="43" t="str">
        <x:v>abramova_2021_front</x:v>
      </x:c>
      <x:c r="C19" s="43" t="str">
        <x:v>es076</x:v>
      </x:c>
      <x:c r="D19" s="43" t="str">
        <x:v>77</x:v>
      </x:c>
      <x:c r="E19" s="43" t="str">
        <x:v>data_source</x:v>
      </x:c>
      <x:c r="F19" s="43" t="str">
        <x:v>Figure 2b</x:v>
      </x:c>
      <x:c r="G19" s="43" t="str">
        <x:v>Author raw data</x:v>
      </x:c>
      <x:c r="H19" s="43" t="str">
        <x:v>Corrected transcription</x:v>
      </x:c>
      <x:c r="I19" s="43" t="str">
        <x:v>included_studies/abramova_2021_front/abramova_2021_front.xlsx, Лист1, handling=No handling</x:v>
      </x:c>
      <x:c r="J19" s="43" t="str">
        <x:v>All summaries in this package are calculated from the saved author workbook.</x:v>
      </x:c>
    </x:row>
    <x:row r="20">
      <x:c r="A20" s="43" t="str">
        <x:v>6 – Abramova 2021 same-sex controls</x:v>
      </x:c>
      <x:c r="B20" s="43" t="str">
        <x:v>abramova_2021_front</x:v>
      </x:c>
      <x:c r="C20" s="43" t="str">
        <x:v>es077</x:v>
      </x:c>
      <x:c r="D20" s="43" t="str">
        <x:v>78</x:v>
      </x:c>
      <x:c r="E20" s="43" t="str">
        <x:v>c_mean</x:v>
      </x:c>
      <x:c r="F20" s="43" t="str">
        <x:v>10.1304</x:v>
      </x:c>
      <x:c r="G20" s="43" t="str">
        <x:v>8.92</x:v>
      </x:c>
      <x:c r="H20" s="43" t="str">
        <x:v>Corrected transcription</x:v>
      </x:c>
      <x:c r="I20" s="43" t="str">
        <x:v>included_studies/abramova_2021_front/abramova_2021_front.xlsx, Лист1, handling=No handling</x:v>
      </x:c>
      <x:c r="J20" s="43" t="str">
        <x:v>Recalculate the control mean from the same-sex author raw subgroup (rearing).</x:v>
      </x:c>
    </x:row>
    <x:row r="21">
      <x:c r="A21" s="43" t="str">
        <x:v>6 – Abramova 2021 same-sex controls</x:v>
      </x:c>
      <x:c r="B21" s="43" t="str">
        <x:v>abramova_2021_front</x:v>
      </x:c>
      <x:c r="C21" s="43" t="str">
        <x:v>es077</x:v>
      </x:c>
      <x:c r="D21" s="43" t="str">
        <x:v>78</x:v>
      </x:c>
      <x:c r="E21" s="43" t="str">
        <x:v>c_n</x:v>
      </x:c>
      <x:c r="F21" s="43" t="str">
        <x:v>23</x:v>
      </x:c>
      <x:c r="G21" s="43" t="str">
        <x:v>25</x:v>
      </x:c>
      <x:c r="H21" s="43" t="str">
        <x:v>Corrected transcription</x:v>
      </x:c>
      <x:c r="I21" s="43" t="str">
        <x:v>included_studies/abramova_2021_front/abramova_2021_front.xlsx, Лист1, handling=No handling</x:v>
      </x:c>
      <x:c r="J21" s="43" t="str">
        <x:v>Use the males control subgroup matching offspring_sex.</x:v>
      </x:c>
    </x:row>
    <x:row r="22">
      <x:c r="A22" s="43" t="str">
        <x:v>6 – Abramova 2021 same-sex controls</x:v>
      </x:c>
      <x:c r="B22" s="43" t="str">
        <x:v>abramova_2021_front</x:v>
      </x:c>
      <x:c r="C22" s="43" t="str">
        <x:v>es077</x:v>
      </x:c>
      <x:c r="D22" s="43" t="str">
        <x:v>78</x:v>
      </x:c>
      <x:c r="E22" s="43" t="str">
        <x:v>c_sd</x:v>
      </x:c>
      <x:c r="F22" s="43" t="str">
        <x:v>8.7558</x:v>
      </x:c>
      <x:c r="G22" s="43" t="str">
        <x:v>6.933734</x:v>
      </x:c>
      <x:c r="H22" s="43" t="str">
        <x:v>Corrected transcription</x:v>
      </x:c>
      <x:c r="I22" s="43" t="str">
        <x:v>included_studies/abramova_2021_front/abramova_2021_front.xlsx, Лист1, handling=No handling</x:v>
      </x:c>
      <x:c r="J22" s="43" t="str">
        <x:v>Recalculate the control SD from the same-sex author raw subgroup (rearing).</x:v>
      </x:c>
    </x:row>
    <x:row r="23">
      <x:c r="A23" s="43" t="str">
        <x:v>6 – Abramova 2021 same-sex controls</x:v>
      </x:c>
      <x:c r="B23" s="43" t="str">
        <x:v>abramova_2021_front</x:v>
      </x:c>
      <x:c r="C23" s="43" t="str">
        <x:v>es077</x:v>
      </x:c>
      <x:c r="D23" s="43" t="str">
        <x:v>78</x:v>
      </x:c>
      <x:c r="E23" s="43" t="str">
        <x:v>c_se_analysis</x:v>
      </x:c>
      <x:c r="F23" s="43" t="str">
        <x:v>1.8257</x:v>
      </x:c>
      <x:c r="G23" s="43" t="str">
        <x:v>1.386747</x:v>
      </x:c>
      <x:c r="H23" s="43" t="str">
        <x:v>Corrected derived value</x:v>
      </x:c>
      <x:c r="I23" s="43" t="str">
        <x:v>included_studies/abramova_2021_front/abramova_2021_front.xlsx, Лист1, handling=No handling</x:v>
      </x:c>
      <x:c r="J23" s="43" t="str">
        <x:v>Recalculate SE after replacing the opposite-sex control summary with the same-sex subgroup.</x:v>
      </x:c>
    </x:row>
    <x:row r="24">
      <x:c r="A24" s="43" t="str">
        <x:v>6 – Abramova 2021 same-sex controls</x:v>
      </x:c>
      <x:c r="B24" s="43" t="str">
        <x:v>abramova_2021_front</x:v>
      </x:c>
      <x:c r="C24" s="43" t="str">
        <x:v>es077</x:v>
      </x:c>
      <x:c r="D24" s="43" t="str">
        <x:v>78</x:v>
      </x:c>
      <x:c r="E24" s="43" t="str">
        <x:v>data_file</x:v>
      </x:c>
      <x:c r="F24" s="43" t="str">
        <x:v>OF-pups-abramova2018</x:v>
      </x:c>
      <x:c r="G24" s="43" t="str">
        <x:v>included_studies/abramova_2021_front/abramova_2021_front.xlsx</x:v>
      </x:c>
      <x:c r="H24" s="43" t="str">
        <x:v>Corrected transcription</x:v>
      </x:c>
      <x:c r="I24" s="43" t="str">
        <x:v>included_studies/abramova_2021_front/abramova_2021_front.xlsx, Лист1, handling=No handling</x:v>
      </x:c>
      <x:c r="J24" s="43" t="str">
        <x:v>Use the stable path to the saved author workbook.</x:v>
      </x:c>
    </x:row>
    <x:row r="25">
      <x:c r="A25" s="43" t="str">
        <x:v>6 – Abramova 2021 same-sex controls</x:v>
      </x:c>
      <x:c r="B25" s="43" t="str">
        <x:v>abramova_2021_front</x:v>
      </x:c>
      <x:c r="C25" s="43" t="str">
        <x:v>es077</x:v>
      </x:c>
      <x:c r="D25" s="43" t="str">
        <x:v>78</x:v>
      </x:c>
      <x:c r="E25" s="43" t="str">
        <x:v>data_source</x:v>
      </x:c>
      <x:c r="F25" s="43" t="str">
        <x:v>Figure 2b</x:v>
      </x:c>
      <x:c r="G25" s="43" t="str">
        <x:v>Author raw data</x:v>
      </x:c>
      <x:c r="H25" s="43" t="str">
        <x:v>Corrected transcription</x:v>
      </x:c>
      <x:c r="I25" s="43" t="str">
        <x:v>included_studies/abramova_2021_front/abramova_2021_front.xlsx, Лист1, handling=No handling</x:v>
      </x:c>
      <x:c r="J25" s="43" t="str">
        <x:v>All summaries in this package are calculated from the saved author workbook.</x:v>
      </x:c>
    </x:row>
    <x:row r="26">
      <x:c r="A26" s="43" t="str">
        <x:v>6 – Abramova 2021 same-sex controls</x:v>
      </x:c>
      <x:c r="B26" s="43" t="str">
        <x:v>abramova_2021_front</x:v>
      </x:c>
      <x:c r="C26" s="43" t="str">
        <x:v>es078</x:v>
      </x:c>
      <x:c r="D26" s="43" t="str">
        <x:v>79</x:v>
      </x:c>
      <x:c r="E26" s="43" t="str">
        <x:v>c_mean</x:v>
      </x:c>
      <x:c r="F26" s="43" t="str">
        <x:v>1.16</x:v>
      </x:c>
      <x:c r="G26" s="43" t="str">
        <x:v>2.26087</x:v>
      </x:c>
      <x:c r="H26" s="43" t="str">
        <x:v>Corrected transcription</x:v>
      </x:c>
      <x:c r="I26" s="43" t="str">
        <x:v>included_studies/abramova_2021_front/abramova_2021_front.xlsx, Лист1, handling=No handling</x:v>
      </x:c>
      <x:c r="J26" s="43" t="str">
        <x:v>Recalculate the control mean from the same-sex author raw subgroup (center_num).</x:v>
      </x:c>
    </x:row>
    <x:row r="27">
      <x:c r="A27" s="43" t="str">
        <x:v>6 – Abramova 2021 same-sex controls</x:v>
      </x:c>
      <x:c r="B27" s="43" t="str">
        <x:v>abramova_2021_front</x:v>
      </x:c>
      <x:c r="C27" s="43" t="str">
        <x:v>es078</x:v>
      </x:c>
      <x:c r="D27" s="43" t="str">
        <x:v>79</x:v>
      </x:c>
      <x:c r="E27" s="43" t="str">
        <x:v>c_n</x:v>
      </x:c>
      <x:c r="F27" s="43" t="str">
        <x:v>25</x:v>
      </x:c>
      <x:c r="G27" s="43" t="str">
        <x:v>23</x:v>
      </x:c>
      <x:c r="H27" s="43" t="str">
        <x:v>Corrected transcription</x:v>
      </x:c>
      <x:c r="I27" s="43" t="str">
        <x:v>included_studies/abramova_2021_front/abramova_2021_front.xlsx, Лист1, handling=No handling</x:v>
      </x:c>
      <x:c r="J27" s="43" t="str">
        <x:v>Use the females control subgroup matching offspring_sex.</x:v>
      </x:c>
    </x:row>
    <x:row r="28">
      <x:c r="A28" s="43" t="str">
        <x:v>6 – Abramova 2021 same-sex controls</x:v>
      </x:c>
      <x:c r="B28" s="43" t="str">
        <x:v>abramova_2021_front</x:v>
      </x:c>
      <x:c r="C28" s="43" t="str">
        <x:v>es078</x:v>
      </x:c>
      <x:c r="D28" s="43" t="str">
        <x:v>79</x:v>
      </x:c>
      <x:c r="E28" s="43" t="str">
        <x:v>c_sd</x:v>
      </x:c>
      <x:c r="F28" s="43" t="str">
        <x:v>1.4911</x:v>
      </x:c>
      <x:c r="G28" s="43" t="str">
        <x:v>2.526539</x:v>
      </x:c>
      <x:c r="H28" s="43" t="str">
        <x:v>Corrected transcription</x:v>
      </x:c>
      <x:c r="I28" s="43" t="str">
        <x:v>included_studies/abramova_2021_front/abramova_2021_front.xlsx, Лист1, handling=No handling</x:v>
      </x:c>
      <x:c r="J28" s="43" t="str">
        <x:v>Recalculate the control SD from the same-sex author raw subgroup (center_num).</x:v>
      </x:c>
    </x:row>
    <x:row r="29">
      <x:c r="A29" s="43" t="str">
        <x:v>6 – Abramova 2021 same-sex controls</x:v>
      </x:c>
      <x:c r="B29" s="43" t="str">
        <x:v>abramova_2021_front</x:v>
      </x:c>
      <x:c r="C29" s="43" t="str">
        <x:v>es078</x:v>
      </x:c>
      <x:c r="D29" s="43" t="str">
        <x:v>79</x:v>
      </x:c>
      <x:c r="E29" s="43" t="str">
        <x:v>c_se_analysis</x:v>
      </x:c>
      <x:c r="F29" s="43" t="str">
        <x:v>0.2982</x:v>
      </x:c>
      <x:c r="G29" s="43" t="str">
        <x:v>0.52682</x:v>
      </x:c>
      <x:c r="H29" s="43" t="str">
        <x:v>Corrected derived value</x:v>
      </x:c>
      <x:c r="I29" s="43" t="str">
        <x:v>included_studies/abramova_2021_front/abramova_2021_front.xlsx, Лист1, handling=No handling</x:v>
      </x:c>
      <x:c r="J29" s="43" t="str">
        <x:v>Recalculate SE after replacing the opposite-sex control summary with the same-sex subgroup.</x:v>
      </x:c>
    </x:row>
    <x:row r="30">
      <x:c r="A30" s="43" t="str">
        <x:v>6 – Abramova 2021 same-sex controls</x:v>
      </x:c>
      <x:c r="B30" s="43" t="str">
        <x:v>abramova_2021_front</x:v>
      </x:c>
      <x:c r="C30" s="43" t="str">
        <x:v>es078</x:v>
      </x:c>
      <x:c r="D30" s="43" t="str">
        <x:v>79</x:v>
      </x:c>
      <x:c r="E30" s="43" t="str">
        <x:v>data_file</x:v>
      </x:c>
      <x:c r="F30" s="43" t="str">
        <x:v>OF-pups-abramova2019</x:v>
      </x:c>
      <x:c r="G30" s="43" t="str">
        <x:v>included_studies/abramova_2021_front/abramova_2021_front.xlsx</x:v>
      </x:c>
      <x:c r="H30" s="43" t="str">
        <x:v>Corrected transcription</x:v>
      </x:c>
      <x:c r="I30" s="43" t="str">
        <x:v>included_studies/abramova_2021_front/abramova_2021_front.xlsx, Лист1, handling=No handling</x:v>
      </x:c>
      <x:c r="J30" s="43" t="str">
        <x:v>Use the stable path to the saved author workbook.</x:v>
      </x:c>
    </x:row>
    <x:row r="31">
      <x:c r="A31" s="43" t="str">
        <x:v>6 – Abramova 2021 same-sex controls</x:v>
      </x:c>
      <x:c r="B31" s="43" t="str">
        <x:v>abramova_2021_front</x:v>
      </x:c>
      <x:c r="C31" s="43" t="str">
        <x:v>es078</x:v>
      </x:c>
      <x:c r="D31" s="43" t="str">
        <x:v>79</x:v>
      </x:c>
      <x:c r="E31" s="43" t="str">
        <x:v>data_source</x:v>
      </x:c>
      <x:c r="F31" s="43" t="str">
        <x:v>Raw data</x:v>
      </x:c>
      <x:c r="G31" s="43" t="str">
        <x:v>Author raw data</x:v>
      </x:c>
      <x:c r="H31" s="43" t="str">
        <x:v>Corrected transcription</x:v>
      </x:c>
      <x:c r="I31" s="43" t="str">
        <x:v>included_studies/abramova_2021_front/abramova_2021_front.xlsx, Лист1, handling=No handling</x:v>
      </x:c>
      <x:c r="J31" s="43" t="str">
        <x:v>All summaries in this package are calculated from the saved author workbook.</x:v>
      </x:c>
    </x:row>
    <x:row r="32">
      <x:c r="A32" s="43" t="str">
        <x:v>6 – Abramova 2021 same-sex controls</x:v>
      </x:c>
      <x:c r="B32" s="43" t="str">
        <x:v>abramova_2021_front</x:v>
      </x:c>
      <x:c r="C32" s="43" t="str">
        <x:v>es079</x:v>
      </x:c>
      <x:c r="D32" s="43" t="str">
        <x:v>80</x:v>
      </x:c>
      <x:c r="E32" s="43" t="str">
        <x:v>c_mean</x:v>
      </x:c>
      <x:c r="F32" s="43" t="str">
        <x:v>2.2609</x:v>
      </x:c>
      <x:c r="G32" s="43" t="str">
        <x:v>1.16</x:v>
      </x:c>
      <x:c r="H32" s="43" t="str">
        <x:v>Corrected transcription</x:v>
      </x:c>
      <x:c r="I32" s="43" t="str">
        <x:v>included_studies/abramova_2021_front/abramova_2021_front.xlsx, Лист1, handling=No handling</x:v>
      </x:c>
      <x:c r="J32" s="43" t="str">
        <x:v>Recalculate the control mean from the same-sex author raw subgroup (center_num).</x:v>
      </x:c>
    </x:row>
    <x:row r="33">
      <x:c r="A33" s="43" t="str">
        <x:v>6 – Abramova 2021 same-sex controls</x:v>
      </x:c>
      <x:c r="B33" s="43" t="str">
        <x:v>abramova_2021_front</x:v>
      </x:c>
      <x:c r="C33" s="43" t="str">
        <x:v>es079</x:v>
      </x:c>
      <x:c r="D33" s="43" t="str">
        <x:v>80</x:v>
      </x:c>
      <x:c r="E33" s="43" t="str">
        <x:v>c_n</x:v>
      </x:c>
      <x:c r="F33" s="43" t="str">
        <x:v>23</x:v>
      </x:c>
      <x:c r="G33" s="43" t="str">
        <x:v>25</x:v>
      </x:c>
      <x:c r="H33" s="43" t="str">
        <x:v>Corrected transcription</x:v>
      </x:c>
      <x:c r="I33" s="43" t="str">
        <x:v>included_studies/abramova_2021_front/abramova_2021_front.xlsx, Лист1, handling=No handling</x:v>
      </x:c>
      <x:c r="J33" s="43" t="str">
        <x:v>Use the males control subgroup matching offspring_sex.</x:v>
      </x:c>
    </x:row>
    <x:row r="34">
      <x:c r="A34" s="43" t="str">
        <x:v>6 – Abramova 2021 same-sex controls</x:v>
      </x:c>
      <x:c r="B34" s="43" t="str">
        <x:v>abramova_2021_front</x:v>
      </x:c>
      <x:c r="C34" s="43" t="str">
        <x:v>es079</x:v>
      </x:c>
      <x:c r="D34" s="43" t="str">
        <x:v>80</x:v>
      </x:c>
      <x:c r="E34" s="43" t="str">
        <x:v>c_sd</x:v>
      </x:c>
      <x:c r="F34" s="43" t="str">
        <x:v>2.5265</x:v>
      </x:c>
      <x:c r="G34" s="43" t="str">
        <x:v>1.491085</x:v>
      </x:c>
      <x:c r="H34" s="43" t="str">
        <x:v>Corrected transcription</x:v>
      </x:c>
      <x:c r="I34" s="43" t="str">
        <x:v>included_studies/abramova_2021_front/abramova_2021_front.xlsx, Лист1, handling=No handling</x:v>
      </x:c>
      <x:c r="J34" s="43" t="str">
        <x:v>Recalculate the control SD from the same-sex author raw subgroup (center_num).</x:v>
      </x:c>
    </x:row>
    <x:row r="35">
      <x:c r="A35" s="43" t="str">
        <x:v>6 – Abramova 2021 same-sex controls</x:v>
      </x:c>
      <x:c r="B35" s="43" t="str">
        <x:v>abramova_2021_front</x:v>
      </x:c>
      <x:c r="C35" s="43" t="str">
        <x:v>es079</x:v>
      </x:c>
      <x:c r="D35" s="43" t="str">
        <x:v>80</x:v>
      </x:c>
      <x:c r="E35" s="43" t="str">
        <x:v>c_se_analysis</x:v>
      </x:c>
      <x:c r="F35" s="43" t="str">
        <x:v>0.5268</x:v>
      </x:c>
      <x:c r="G35" s="43" t="str">
        <x:v>0.298217</x:v>
      </x:c>
      <x:c r="H35" s="43" t="str">
        <x:v>Corrected derived value</x:v>
      </x:c>
      <x:c r="I35" s="43" t="str">
        <x:v>included_studies/abramova_2021_front/abramova_2021_front.xlsx, Лист1, handling=No handling</x:v>
      </x:c>
      <x:c r="J35" s="43" t="str">
        <x:v>Recalculate SE after replacing the opposite-sex control summary with the same-sex subgroup.</x:v>
      </x:c>
    </x:row>
    <x:row r="36">
      <x:c r="A36" s="43" t="str">
        <x:v>6 – Abramova 2021 same-sex controls</x:v>
      </x:c>
      <x:c r="B36" s="43" t="str">
        <x:v>abramova_2021_front</x:v>
      </x:c>
      <x:c r="C36" s="43" t="str">
        <x:v>es079</x:v>
      </x:c>
      <x:c r="D36" s="43" t="str">
        <x:v>80</x:v>
      </x:c>
      <x:c r="E36" s="43" t="str">
        <x:v>data_file</x:v>
      </x:c>
      <x:c r="F36" s="43" t="str">
        <x:v>OF-pups-abramova2020</x:v>
      </x:c>
      <x:c r="G36" s="43" t="str">
        <x:v>included_studies/abramova_2021_front/abramova_2021_front.xlsx</x:v>
      </x:c>
      <x:c r="H36" s="43" t="str">
        <x:v>Corrected transcription</x:v>
      </x:c>
      <x:c r="I36" s="43" t="str">
        <x:v>included_studies/abramova_2021_front/abramova_2021_front.xlsx, Лист1, handling=No handling</x:v>
      </x:c>
      <x:c r="J36" s="43" t="str">
        <x:v>Use the stable path to the saved author workbook.</x:v>
      </x:c>
    </x:row>
    <x:row r="37">
      <x:c r="A37" s="43" t="str">
        <x:v>6 – Abramova 2021 same-sex controls</x:v>
      </x:c>
      <x:c r="B37" s="43" t="str">
        <x:v>abramova_2021_front</x:v>
      </x:c>
      <x:c r="C37" s="43" t="str">
        <x:v>es079</x:v>
      </x:c>
      <x:c r="D37" s="43" t="str">
        <x:v>80</x:v>
      </x:c>
      <x:c r="E37" s="43" t="str">
        <x:v>data_source</x:v>
      </x:c>
      <x:c r="F37" s="43" t="str">
        <x:v>Raw data</x:v>
      </x:c>
      <x:c r="G37" s="43" t="str">
        <x:v>Author raw data</x:v>
      </x:c>
      <x:c r="H37" s="43" t="str">
        <x:v>Corrected transcription</x:v>
      </x:c>
      <x:c r="I37" s="43" t="str">
        <x:v>included_studies/abramova_2021_front/abramova_2021_front.xlsx, Лист1, handling=No handling</x:v>
      </x:c>
      <x:c r="J37" s="43" t="str">
        <x:v>All summaries in this package are calculated from the saved author workbook.</x:v>
      </x:c>
    </x:row>
    <x:row r="38">
      <x:c r="A38" s="43" t="str">
        <x:v>6 – Abramova 2021 same-sex controls</x:v>
      </x:c>
      <x:c r="B38" s="43" t="str">
        <x:v>abramova_2021_front</x:v>
      </x:c>
      <x:c r="C38" s="43" t="str">
        <x:v>es080</x:v>
      </x:c>
      <x:c r="D38" s="43" t="str">
        <x:v>81</x:v>
      </x:c>
      <x:c r="E38" s="43" t="str">
        <x:v>c_mean</x:v>
      </x:c>
      <x:c r="F38" s="43" t="str">
        <x:v>2.0964</x:v>
      </x:c>
      <x:c r="G38" s="43" t="str">
        <x:v>5.176957</x:v>
      </x:c>
      <x:c r="H38" s="43" t="str">
        <x:v>Corrected transcription</x:v>
      </x:c>
      <x:c r="I38" s="43" t="str">
        <x:v>included_studies/abramova_2021_front/abramova_2021_front.xlsx, Лист1, handling=No handling</x:v>
      </x:c>
      <x:c r="J38" s="43" t="str">
        <x:v>Recalculate the control mean from the same-sex author raw subgroup (center_totalTime).</x:v>
      </x:c>
    </x:row>
    <x:row r="39">
      <x:c r="A39" s="43" t="str">
        <x:v>6 – Abramova 2021 same-sex controls</x:v>
      </x:c>
      <x:c r="B39" s="43" t="str">
        <x:v>abramova_2021_front</x:v>
      </x:c>
      <x:c r="C39" s="43" t="str">
        <x:v>es080</x:v>
      </x:c>
      <x:c r="D39" s="43" t="str">
        <x:v>81</x:v>
      </x:c>
      <x:c r="E39" s="43" t="str">
        <x:v>c_n</x:v>
      </x:c>
      <x:c r="F39" s="43" t="str">
        <x:v>25</x:v>
      </x:c>
      <x:c r="G39" s="43" t="str">
        <x:v>23</x:v>
      </x:c>
      <x:c r="H39" s="43" t="str">
        <x:v>Corrected transcription</x:v>
      </x:c>
      <x:c r="I39" s="43" t="str">
        <x:v>included_studies/abramova_2021_front/abramova_2021_front.xlsx, Лист1, handling=No handling</x:v>
      </x:c>
      <x:c r="J39" s="43" t="str">
        <x:v>Use the females control subgroup matching offspring_sex.</x:v>
      </x:c>
    </x:row>
    <x:row r="40">
      <x:c r="A40" s="43" t="str">
        <x:v>6 – Abramova 2021 same-sex controls</x:v>
      </x:c>
      <x:c r="B40" s="43" t="str">
        <x:v>abramova_2021_front</x:v>
      </x:c>
      <x:c r="C40" s="43" t="str">
        <x:v>es080</x:v>
      </x:c>
      <x:c r="D40" s="43" t="str">
        <x:v>81</x:v>
      </x:c>
      <x:c r="E40" s="43" t="str">
        <x:v>c_sd</x:v>
      </x:c>
      <x:c r="F40" s="43" t="str">
        <x:v>3.3901</x:v>
      </x:c>
      <x:c r="G40" s="43" t="str">
        <x:v>6.837676</x:v>
      </x:c>
      <x:c r="H40" s="43" t="str">
        <x:v>Corrected transcription</x:v>
      </x:c>
      <x:c r="I40" s="43" t="str">
        <x:v>included_studies/abramova_2021_front/abramova_2021_front.xlsx, Лист1, handling=No handling</x:v>
      </x:c>
      <x:c r="J40" s="43" t="str">
        <x:v>Recalculate the control SD from the same-sex author raw subgroup (center_totalTime).</x:v>
      </x:c>
    </x:row>
    <x:row r="41">
      <x:c r="A41" s="43" t="str">
        <x:v>6 – Abramova 2021 same-sex controls</x:v>
      </x:c>
      <x:c r="B41" s="43" t="str">
        <x:v>abramova_2021_front</x:v>
      </x:c>
      <x:c r="C41" s="43" t="str">
        <x:v>es080</x:v>
      </x:c>
      <x:c r="D41" s="43" t="str">
        <x:v>81</x:v>
      </x:c>
      <x:c r="E41" s="43" t="str">
        <x:v>c_se_analysis</x:v>
      </x:c>
      <x:c r="F41" s="43" t="str">
        <x:v>0.678</x:v>
      </x:c>
      <x:c r="G41" s="43" t="str">
        <x:v>1.425754</x:v>
      </x:c>
      <x:c r="H41" s="43" t="str">
        <x:v>Corrected derived value</x:v>
      </x:c>
      <x:c r="I41" s="43" t="str">
        <x:v>included_studies/abramova_2021_front/abramova_2021_front.xlsx, Лист1, handling=No handling</x:v>
      </x:c>
      <x:c r="J41" s="43" t="str">
        <x:v>Recalculate SE after replacing the opposite-sex control summary with the same-sex subgroup.</x:v>
      </x:c>
    </x:row>
    <x:row r="42">
      <x:c r="A42" s="43" t="str">
        <x:v>6 – Abramova 2021 same-sex controls</x:v>
      </x:c>
      <x:c r="B42" s="43" t="str">
        <x:v>abramova_2021_front</x:v>
      </x:c>
      <x:c r="C42" s="43" t="str">
        <x:v>es080</x:v>
      </x:c>
      <x:c r="D42" s="43" t="str">
        <x:v>81</x:v>
      </x:c>
      <x:c r="E42" s="43" t="str">
        <x:v>data_file</x:v>
      </x:c>
      <x:c r="F42" s="43" t="str">
        <x:v>OF-pups-abramova2021</x:v>
      </x:c>
      <x:c r="G42" s="43" t="str">
        <x:v>included_studies/abramova_2021_front/abramova_2021_front.xlsx</x:v>
      </x:c>
      <x:c r="H42" s="43" t="str">
        <x:v>Corrected transcription</x:v>
      </x:c>
      <x:c r="I42" s="43" t="str">
        <x:v>included_studies/abramova_2021_front/abramova_2021_front.xlsx, Лист1, handling=No handling</x:v>
      </x:c>
      <x:c r="J42" s="43" t="str">
        <x:v>Use the stable path to the saved author workbook.</x:v>
      </x:c>
    </x:row>
    <x:row r="43">
      <x:c r="A43" s="43" t="str">
        <x:v>6 – Abramova 2021 same-sex controls</x:v>
      </x:c>
      <x:c r="B43" s="43" t="str">
        <x:v>abramova_2021_front</x:v>
      </x:c>
      <x:c r="C43" s="43" t="str">
        <x:v>es080</x:v>
      </x:c>
      <x:c r="D43" s="43" t="str">
        <x:v>81</x:v>
      </x:c>
      <x:c r="E43" s="43" t="str">
        <x:v>data_source</x:v>
      </x:c>
      <x:c r="F43" s="43" t="str">
        <x:v>Raw data</x:v>
      </x:c>
      <x:c r="G43" s="43" t="str">
        <x:v>Author raw data</x:v>
      </x:c>
      <x:c r="H43" s="43" t="str">
        <x:v>Corrected transcription</x:v>
      </x:c>
      <x:c r="I43" s="43" t="str">
        <x:v>included_studies/abramova_2021_front/abramova_2021_front.xlsx, Лист1, handling=No handling</x:v>
      </x:c>
      <x:c r="J43" s="43" t="str">
        <x:v>All summaries in this package are calculated from the saved author workbook.</x:v>
      </x:c>
    </x:row>
    <x:row r="44">
      <x:c r="A44" s="43" t="str">
        <x:v>6 – Abramova 2021 same-sex controls</x:v>
      </x:c>
      <x:c r="B44" s="43" t="str">
        <x:v>abramova_2021_front</x:v>
      </x:c>
      <x:c r="C44" s="43" t="str">
        <x:v>es080</x:v>
      </x:c>
      <x:c r="D44" s="43" t="str">
        <x:v>81</x:v>
      </x:c>
      <x:c r="E44" s="43" t="str">
        <x:v>data_type</x:v>
      </x:c>
      <x:c r="F44" s="43" t="str">
        <x:v>Count</x:v>
      </x:c>
      <x:c r="G44" s="43" t="str">
        <x:v>Time</x:v>
      </x:c>
      <x:c r="H44" s="43" t="str">
        <x:v>Corrected transcription</x:v>
      </x:c>
      <x:c r="I44" s="43" t="str">
        <x:v>included_studies/abramova_2021_front/abramova_2021_front.xlsx, Лист1, handling=No handling</x:v>
      </x:c>
      <x:c r="J44" s="43" t="str">
        <x:v>The author raw variable center_totalTime is a duration, not a count.</x:v>
      </x:c>
    </x:row>
    <x:row r="45">
      <x:c r="A45" s="43" t="str">
        <x:v>6 – Abramova 2021 same-sex controls</x:v>
      </x:c>
      <x:c r="B45" s="43" t="str">
        <x:v>abramova_2021_front</x:v>
      </x:c>
      <x:c r="C45" s="43" t="str">
        <x:v>es080</x:v>
      </x:c>
      <x:c r="D45" s="43" t="str">
        <x:v>81</x:v>
      </x:c>
      <x:c r="E45" s="43" t="str">
        <x:v>data_units</x:v>
      </x:c>
      <x:c r="F45" s="43" t="str">
        <x:v>Count</x:v>
      </x:c>
      <x:c r="G45" s="43" t="str">
        <x:v>s</x:v>
      </x:c>
      <x:c r="H45" s="43" t="str">
        <x:v>Corrected transcription</x:v>
      </x:c>
      <x:c r="I45" s="43" t="str">
        <x:v>included_studies/abramova_2021_front/abramova_2021_front.pdf, Open-Field Test methods</x:v>
      </x:c>
      <x:c r="J45" s="43" t="str">
        <x:v>Open-field durations are recorded in seconds.</x:v>
      </x:c>
    </x:row>
    <x:row r="46">
      <x:c r="A46" s="43" t="str">
        <x:v>6 – Abramova 2021 same-sex controls</x:v>
      </x:c>
      <x:c r="B46" s="43" t="str">
        <x:v>abramova_2021_front</x:v>
      </x:c>
      <x:c r="C46" s="43" t="str">
        <x:v>es081</x:v>
      </x:c>
      <x:c r="D46" s="43" t="str">
        <x:v>82</x:v>
      </x:c>
      <x:c r="E46" s="43" t="str">
        <x:v>c_mean</x:v>
      </x:c>
      <x:c r="F46" s="43" t="str">
        <x:v>5.177</x:v>
      </x:c>
      <x:c r="G46" s="43" t="str">
        <x:v>2.0964</x:v>
      </x:c>
      <x:c r="H46" s="43" t="str">
        <x:v>Corrected transcription</x:v>
      </x:c>
      <x:c r="I46" s="43" t="str">
        <x:v>included_studies/abramova_2021_front/abramova_2021_front.xlsx, Лист1, handling=No handling</x:v>
      </x:c>
      <x:c r="J46" s="43" t="str">
        <x:v>Recalculate the control mean from the same-sex author raw subgroup (center_totalTime).</x:v>
      </x:c>
    </x:row>
    <x:row r="47">
      <x:c r="A47" s="43" t="str">
        <x:v>6 – Abramova 2021 same-sex controls</x:v>
      </x:c>
      <x:c r="B47" s="43" t="str">
        <x:v>abramova_2021_front</x:v>
      </x:c>
      <x:c r="C47" s="43" t="str">
        <x:v>es081</x:v>
      </x:c>
      <x:c r="D47" s="43" t="str">
        <x:v>82</x:v>
      </x:c>
      <x:c r="E47" s="43" t="str">
        <x:v>c_n</x:v>
      </x:c>
      <x:c r="F47" s="43" t="str">
        <x:v>23</x:v>
      </x:c>
      <x:c r="G47" s="43" t="str">
        <x:v>25</x:v>
      </x:c>
      <x:c r="H47" s="43" t="str">
        <x:v>Corrected transcription</x:v>
      </x:c>
      <x:c r="I47" s="43" t="str">
        <x:v>included_studies/abramova_2021_front/abramova_2021_front.xlsx, Лист1, handling=No handling</x:v>
      </x:c>
      <x:c r="J47" s="43" t="str">
        <x:v>Use the males control subgroup matching offspring_sex.</x:v>
      </x:c>
    </x:row>
    <x:row r="48">
      <x:c r="A48" s="43" t="str">
        <x:v>6 – Abramova 2021 same-sex controls</x:v>
      </x:c>
      <x:c r="B48" s="43" t="str">
        <x:v>abramova_2021_front</x:v>
      </x:c>
      <x:c r="C48" s="43" t="str">
        <x:v>es081</x:v>
      </x:c>
      <x:c r="D48" s="43" t="str">
        <x:v>82</x:v>
      </x:c>
      <x:c r="E48" s="43" t="str">
        <x:v>c_sd</x:v>
      </x:c>
      <x:c r="F48" s="43" t="str">
        <x:v>6.8377</x:v>
      </x:c>
      <x:c r="G48" s="43" t="str">
        <x:v>3.390067</x:v>
      </x:c>
      <x:c r="H48" s="43" t="str">
        <x:v>Corrected transcription</x:v>
      </x:c>
      <x:c r="I48" s="43" t="str">
        <x:v>included_studies/abramova_2021_front/abramova_2021_front.xlsx, Лист1, handling=No handling</x:v>
      </x:c>
      <x:c r="J48" s="43" t="str">
        <x:v>Recalculate the control SD from the same-sex author raw subgroup (center_totalTime).</x:v>
      </x:c>
    </x:row>
    <x:row r="49">
      <x:c r="A49" s="43" t="str">
        <x:v>6 – Abramova 2021 same-sex controls</x:v>
      </x:c>
      <x:c r="B49" s="43" t="str">
        <x:v>abramova_2021_front</x:v>
      </x:c>
      <x:c r="C49" s="43" t="str">
        <x:v>es081</x:v>
      </x:c>
      <x:c r="D49" s="43" t="str">
        <x:v>82</x:v>
      </x:c>
      <x:c r="E49" s="43" t="str">
        <x:v>c_se_analysis</x:v>
      </x:c>
      <x:c r="F49" s="43" t="str">
        <x:v>1.4258</x:v>
      </x:c>
      <x:c r="G49" s="43" t="str">
        <x:v>0.678013</x:v>
      </x:c>
      <x:c r="H49" s="43" t="str">
        <x:v>Corrected derived value</x:v>
      </x:c>
      <x:c r="I49" s="43" t="str">
        <x:v>included_studies/abramova_2021_front/abramova_2021_front.xlsx, Лист1, handling=No handling</x:v>
      </x:c>
      <x:c r="J49" s="43" t="str">
        <x:v>Recalculate SE after replacing the opposite-sex control summary with the same-sex subgroup.</x:v>
      </x:c>
    </x:row>
    <x:row r="50">
      <x:c r="A50" s="43" t="str">
        <x:v>6 – Abramova 2021 same-sex controls</x:v>
      </x:c>
      <x:c r="B50" s="43" t="str">
        <x:v>abramova_2021_front</x:v>
      </x:c>
      <x:c r="C50" s="43" t="str">
        <x:v>es081</x:v>
      </x:c>
      <x:c r="D50" s="43" t="str">
        <x:v>82</x:v>
      </x:c>
      <x:c r="E50" s="43" t="str">
        <x:v>data_file</x:v>
      </x:c>
      <x:c r="F50" s="43" t="str">
        <x:v>OF-pups-abramova2022</x:v>
      </x:c>
      <x:c r="G50" s="43" t="str">
        <x:v>included_studies/abramova_2021_front/abramova_2021_front.xlsx</x:v>
      </x:c>
      <x:c r="H50" s="43" t="str">
        <x:v>Corrected transcription</x:v>
      </x:c>
      <x:c r="I50" s="43" t="str">
        <x:v>included_studies/abramova_2021_front/abramova_2021_front.xlsx, Лист1, handling=No handling</x:v>
      </x:c>
      <x:c r="J50" s="43" t="str">
        <x:v>Use the stable path to the saved author workbook.</x:v>
      </x:c>
    </x:row>
    <x:row r="51">
      <x:c r="A51" s="43" t="str">
        <x:v>6 – Abramova 2021 same-sex controls</x:v>
      </x:c>
      <x:c r="B51" s="43" t="str">
        <x:v>abramova_2021_front</x:v>
      </x:c>
      <x:c r="C51" s="43" t="str">
        <x:v>es081</x:v>
      </x:c>
      <x:c r="D51" s="43" t="str">
        <x:v>82</x:v>
      </x:c>
      <x:c r="E51" s="43" t="str">
        <x:v>data_source</x:v>
      </x:c>
      <x:c r="F51" s="43" t="str">
        <x:v>Raw data</x:v>
      </x:c>
      <x:c r="G51" s="43" t="str">
        <x:v>Author raw data</x:v>
      </x:c>
      <x:c r="H51" s="43" t="str">
        <x:v>Corrected transcription</x:v>
      </x:c>
      <x:c r="I51" s="43" t="str">
        <x:v>included_studies/abramova_2021_front/abramova_2021_front.xlsx, Лист1, handling=No handling</x:v>
      </x:c>
      <x:c r="J51" s="43" t="str">
        <x:v>All summaries in this package are calculated from the saved author workbook.</x:v>
      </x:c>
    </x:row>
    <x:row r="52">
      <x:c r="A52" s="43" t="str">
        <x:v>6 – Abramova 2021 same-sex controls</x:v>
      </x:c>
      <x:c r="B52" s="43" t="str">
        <x:v>abramova_2021_front</x:v>
      </x:c>
      <x:c r="C52" s="43" t="str">
        <x:v>es081</x:v>
      </x:c>
      <x:c r="D52" s="43" t="str">
        <x:v>82</x:v>
      </x:c>
      <x:c r="E52" s="43" t="str">
        <x:v>data_type</x:v>
      </x:c>
      <x:c r="F52" s="43" t="str">
        <x:v>Count</x:v>
      </x:c>
      <x:c r="G52" s="43" t="str">
        <x:v>Time</x:v>
      </x:c>
      <x:c r="H52" s="43" t="str">
        <x:v>Corrected transcription</x:v>
      </x:c>
      <x:c r="I52" s="43" t="str">
        <x:v>included_studies/abramova_2021_front/abramova_2021_front.xlsx, Лист1, handling=No handling</x:v>
      </x:c>
      <x:c r="J52" s="43" t="str">
        <x:v>The author raw variable center_totalTime is a duration, not a count.</x:v>
      </x:c>
    </x:row>
    <x:row r="53">
      <x:c r="A53" s="43" t="str">
        <x:v>6 – Abramova 2021 same-sex controls</x:v>
      </x:c>
      <x:c r="B53" s="43" t="str">
        <x:v>abramova_2021_front</x:v>
      </x:c>
      <x:c r="C53" s="43" t="str">
        <x:v>es081</x:v>
      </x:c>
      <x:c r="D53" s="43" t="str">
        <x:v>82</x:v>
      </x:c>
      <x:c r="E53" s="43" t="str">
        <x:v>data_units</x:v>
      </x:c>
      <x:c r="F53" s="43" t="str">
        <x:v>Count</x:v>
      </x:c>
      <x:c r="G53" s="43" t="str">
        <x:v>s</x:v>
      </x:c>
      <x:c r="H53" s="43" t="str">
        <x:v>Corrected transcription</x:v>
      </x:c>
      <x:c r="I53" s="43" t="str">
        <x:v>included_studies/abramova_2021_front/abramova_2021_front.pdf, Open-Field Test methods</x:v>
      </x:c>
      <x:c r="J53" s="43" t="str">
        <x:v>Open-field durations are recorded in seconds.</x:v>
      </x:c>
    </x:row>
    <x:row r="54">
      <x:c r="A54" s="43" t="str">
        <x:v>6 – Abramova 2021 same-sex controls</x:v>
      </x:c>
      <x:c r="B54" s="43" t="str">
        <x:v>abramova_2021_front</x:v>
      </x:c>
      <x:c r="C54" s="43" t="str">
        <x:v>es082</x:v>
      </x:c>
      <x:c r="D54" s="43" t="str">
        <x:v>83</x:v>
      </x:c>
      <x:c r="E54" s="43" t="str">
        <x:v>c_mean</x:v>
      </x:c>
      <x:c r="F54" s="43" t="str">
        <x:v>3.76</x:v>
      </x:c>
      <x:c r="G54" s="43" t="str">
        <x:v>2.652174</x:v>
      </x:c>
      <x:c r="H54" s="43" t="str">
        <x:v>Corrected transcription</x:v>
      </x:c>
      <x:c r="I54" s="43" t="str">
        <x:v>included_studies/abramova_2021_front/abramova_2021_front.xlsx, Лист1, handling=No handling</x:v>
      </x:c>
      <x:c r="J54" s="43" t="str">
        <x:v>Recalculate the control mean from the same-sex author raw subgroup (grum_number).</x:v>
      </x:c>
    </x:row>
    <x:row r="55">
      <x:c r="A55" s="43" t="str">
        <x:v>6 – Abramova 2021 same-sex controls</x:v>
      </x:c>
      <x:c r="B55" s="43" t="str">
        <x:v>abramova_2021_front</x:v>
      </x:c>
      <x:c r="C55" s="43" t="str">
        <x:v>es082</x:v>
      </x:c>
      <x:c r="D55" s="43" t="str">
        <x:v>83</x:v>
      </x:c>
      <x:c r="E55" s="43" t="str">
        <x:v>c_n</x:v>
      </x:c>
      <x:c r="F55" s="43" t="str">
        <x:v>25</x:v>
      </x:c>
      <x:c r="G55" s="43" t="str">
        <x:v>23</x:v>
      </x:c>
      <x:c r="H55" s="43" t="str">
        <x:v>Corrected transcription</x:v>
      </x:c>
      <x:c r="I55" s="43" t="str">
        <x:v>included_studies/abramova_2021_front/abramova_2021_front.xlsx, Лист1, handling=No handling</x:v>
      </x:c>
      <x:c r="J55" s="43" t="str">
        <x:v>Use the females control subgroup matching offspring_sex.</x:v>
      </x:c>
    </x:row>
    <x:row r="56">
      <x:c r="A56" s="43" t="str">
        <x:v>6 – Abramova 2021 same-sex controls</x:v>
      </x:c>
      <x:c r="B56" s="43" t="str">
        <x:v>abramova_2021_front</x:v>
      </x:c>
      <x:c r="C56" s="43" t="str">
        <x:v>es082</x:v>
      </x:c>
      <x:c r="D56" s="43" t="str">
        <x:v>83</x:v>
      </x:c>
      <x:c r="E56" s="43" t="str">
        <x:v>c_sd</x:v>
      </x:c>
      <x:c r="F56" s="43" t="str">
        <x:v>1.6653</x:v>
      </x:c>
      <x:c r="G56" s="43" t="str">
        <x:v>1.465007</x:v>
      </x:c>
      <x:c r="H56" s="43" t="str">
        <x:v>Corrected transcription</x:v>
      </x:c>
      <x:c r="I56" s="43" t="str">
        <x:v>included_studies/abramova_2021_front/abramova_2021_front.xlsx, Лист1, handling=No handling</x:v>
      </x:c>
      <x:c r="J56" s="43" t="str">
        <x:v>Recalculate the control SD from the same-sex author raw subgroup (grum_number).</x:v>
      </x:c>
    </x:row>
    <x:row r="57">
      <x:c r="A57" s="43" t="str">
        <x:v>6 – Abramova 2021 same-sex controls</x:v>
      </x:c>
      <x:c r="B57" s="43" t="str">
        <x:v>abramova_2021_front</x:v>
      </x:c>
      <x:c r="C57" s="43" t="str">
        <x:v>es082</x:v>
      </x:c>
      <x:c r="D57" s="43" t="str">
        <x:v>83</x:v>
      </x:c>
      <x:c r="E57" s="43" t="str">
        <x:v>c_se_analysis</x:v>
      </x:c>
      <x:c r="F57" s="43" t="str">
        <x:v>0.3331</x:v>
      </x:c>
      <x:c r="G57" s="43" t="str">
        <x:v>0.305475</x:v>
      </x:c>
      <x:c r="H57" s="43" t="str">
        <x:v>Corrected derived value</x:v>
      </x:c>
      <x:c r="I57" s="43" t="str">
        <x:v>included_studies/abramova_2021_front/abramova_2021_front.xlsx, Лист1, handling=No handling</x:v>
      </x:c>
      <x:c r="J57" s="43" t="str">
        <x:v>Recalculate SE after replacing the opposite-sex control summary with the same-sex subgroup.</x:v>
      </x:c>
    </x:row>
    <x:row r="58">
      <x:c r="A58" s="43" t="str">
        <x:v>6 – Abramova 2021 same-sex controls</x:v>
      </x:c>
      <x:c r="B58" s="43" t="str">
        <x:v>abramova_2021_front</x:v>
      </x:c>
      <x:c r="C58" s="43" t="str">
        <x:v>es082</x:v>
      </x:c>
      <x:c r="D58" s="43" t="str">
        <x:v>83</x:v>
      </x:c>
      <x:c r="E58" s="43" t="str">
        <x:v>data_file</x:v>
      </x:c>
      <x:c r="F58" s="43" t="str">
        <x:v>OF-pups-abramova2023</x:v>
      </x:c>
      <x:c r="G58" s="43" t="str">
        <x:v>included_studies/abramova_2021_front/abramova_2021_front.xlsx</x:v>
      </x:c>
      <x:c r="H58" s="43" t="str">
        <x:v>Corrected transcription</x:v>
      </x:c>
      <x:c r="I58" s="43" t="str">
        <x:v>included_studies/abramova_2021_front/abramova_2021_front.xlsx, Лист1, handling=No handling</x:v>
      </x:c>
      <x:c r="J58" s="43" t="str">
        <x:v>Use the stable path to the saved author workbook.</x:v>
      </x:c>
    </x:row>
    <x:row r="59">
      <x:c r="A59" s="43" t="str">
        <x:v>6 – Abramova 2021 same-sex controls</x:v>
      </x:c>
      <x:c r="B59" s="43" t="str">
        <x:v>abramova_2021_front</x:v>
      </x:c>
      <x:c r="C59" s="43" t="str">
        <x:v>es082</x:v>
      </x:c>
      <x:c r="D59" s="43" t="str">
        <x:v>83</x:v>
      </x:c>
      <x:c r="E59" s="43" t="str">
        <x:v>data_source</x:v>
      </x:c>
      <x:c r="F59" s="43" t="str">
        <x:v>Raw data</x:v>
      </x:c>
      <x:c r="G59" s="43" t="str">
        <x:v>Author raw data</x:v>
      </x:c>
      <x:c r="H59" s="43" t="str">
        <x:v>Corrected transcription</x:v>
      </x:c>
      <x:c r="I59" s="43" t="str">
        <x:v>included_studies/abramova_2021_front/abramova_2021_front.xlsx, Лист1, handling=No handling</x:v>
      </x:c>
      <x:c r="J59" s="43" t="str">
        <x:v>All summaries in this package are calculated from the saved author workbook.</x:v>
      </x:c>
    </x:row>
    <x:row r="60">
      <x:c r="A60" s="43" t="str">
        <x:v>6 – Abramova 2021 same-sex controls</x:v>
      </x:c>
      <x:c r="B60" s="43" t="str">
        <x:v>abramova_2021_front</x:v>
      </x:c>
      <x:c r="C60" s="43" t="str">
        <x:v>es083</x:v>
      </x:c>
      <x:c r="D60" s="43" t="str">
        <x:v>84</x:v>
      </x:c>
      <x:c r="E60" s="43" t="str">
        <x:v>c_mean</x:v>
      </x:c>
      <x:c r="F60" s="43" t="str">
        <x:v>2.6522</x:v>
      </x:c>
      <x:c r="G60" s="43" t="str">
        <x:v>3.76</x:v>
      </x:c>
      <x:c r="H60" s="43" t="str">
        <x:v>Corrected transcription</x:v>
      </x:c>
      <x:c r="I60" s="43" t="str">
        <x:v>included_studies/abramova_2021_front/abramova_2021_front.xlsx, Лист1, handling=No handling</x:v>
      </x:c>
      <x:c r="J60" s="43" t="str">
        <x:v>Recalculate the control mean from the same-sex author raw subgroup (grum_number).</x:v>
      </x:c>
    </x:row>
    <x:row r="61">
      <x:c r="A61" s="43" t="str">
        <x:v>6 – Abramova 2021 same-sex controls</x:v>
      </x:c>
      <x:c r="B61" s="43" t="str">
        <x:v>abramova_2021_front</x:v>
      </x:c>
      <x:c r="C61" s="43" t="str">
        <x:v>es083</x:v>
      </x:c>
      <x:c r="D61" s="43" t="str">
        <x:v>84</x:v>
      </x:c>
      <x:c r="E61" s="43" t="str">
        <x:v>c_n</x:v>
      </x:c>
      <x:c r="F61" s="43" t="str">
        <x:v>23</x:v>
      </x:c>
      <x:c r="G61" s="43" t="str">
        <x:v>25</x:v>
      </x:c>
      <x:c r="H61" s="43" t="str">
        <x:v>Corrected transcription</x:v>
      </x:c>
      <x:c r="I61" s="43" t="str">
        <x:v>included_studies/abramova_2021_front/abramova_2021_front.xlsx, Лист1, handling=No handling</x:v>
      </x:c>
      <x:c r="J61" s="43" t="str">
        <x:v>Use the males control subgroup matching offspring_sex.</x:v>
      </x:c>
    </x:row>
    <x:row r="62">
      <x:c r="A62" s="43" t="str">
        <x:v>6 – Abramova 2021 same-sex controls</x:v>
      </x:c>
      <x:c r="B62" s="43" t="str">
        <x:v>abramova_2021_front</x:v>
      </x:c>
      <x:c r="C62" s="43" t="str">
        <x:v>es083</x:v>
      </x:c>
      <x:c r="D62" s="43" t="str">
        <x:v>84</x:v>
      </x:c>
      <x:c r="E62" s="43" t="str">
        <x:v>c_sd</x:v>
      </x:c>
      <x:c r="F62" s="43" t="str">
        <x:v>1.465</x:v>
      </x:c>
      <x:c r="G62" s="43" t="str">
        <x:v>1.665333</x:v>
      </x:c>
      <x:c r="H62" s="43" t="str">
        <x:v>Corrected transcription</x:v>
      </x:c>
      <x:c r="I62" s="43" t="str">
        <x:v>included_studies/abramova_2021_front/abramova_2021_front.xlsx, Лист1, handling=No handling</x:v>
      </x:c>
      <x:c r="J62" s="43" t="str">
        <x:v>Recalculate the control SD from the same-sex author raw subgroup (grum_number).</x:v>
      </x:c>
    </x:row>
    <x:row r="63">
      <x:c r="A63" s="43" t="str">
        <x:v>6 – Abramova 2021 same-sex controls</x:v>
      </x:c>
      <x:c r="B63" s="43" t="str">
        <x:v>abramova_2021_front</x:v>
      </x:c>
      <x:c r="C63" s="43" t="str">
        <x:v>es083</x:v>
      </x:c>
      <x:c r="D63" s="43" t="str">
        <x:v>84</x:v>
      </x:c>
      <x:c r="E63" s="43" t="str">
        <x:v>c_se_analysis</x:v>
      </x:c>
      <x:c r="F63" s="43" t="str">
        <x:v>0.3055</x:v>
      </x:c>
      <x:c r="G63" s="43" t="str">
        <x:v>0.333067</x:v>
      </x:c>
      <x:c r="H63" s="43" t="str">
        <x:v>Corrected derived value</x:v>
      </x:c>
      <x:c r="I63" s="43" t="str">
        <x:v>included_studies/abramova_2021_front/abramova_2021_front.xlsx, Лист1, handling=No handling</x:v>
      </x:c>
      <x:c r="J63" s="43" t="str">
        <x:v>Recalculate SE after replacing the opposite-sex control summary with the same-sex subgroup.</x:v>
      </x:c>
    </x:row>
    <x:row r="64">
      <x:c r="A64" s="43" t="str">
        <x:v>6 – Abramova 2021 same-sex controls</x:v>
      </x:c>
      <x:c r="B64" s="43" t="str">
        <x:v>abramova_2021_front</x:v>
      </x:c>
      <x:c r="C64" s="43" t="str">
        <x:v>es083</x:v>
      </x:c>
      <x:c r="D64" s="43" t="str">
        <x:v>84</x:v>
      </x:c>
      <x:c r="E64" s="43" t="str">
        <x:v>data_file</x:v>
      </x:c>
      <x:c r="F64" s="43" t="str">
        <x:v>OF-pups-abramova2024</x:v>
      </x:c>
      <x:c r="G64" s="43" t="str">
        <x:v>included_studies/abramova_2021_front/abramova_2021_front.xlsx</x:v>
      </x:c>
      <x:c r="H64" s="43" t="str">
        <x:v>Corrected transcription</x:v>
      </x:c>
      <x:c r="I64" s="43" t="str">
        <x:v>included_studies/abramova_2021_front/abramova_2021_front.xlsx, Лист1, handling=No handling</x:v>
      </x:c>
      <x:c r="J64" s="43" t="str">
        <x:v>Use the stable path to the saved author workbook.</x:v>
      </x:c>
    </x:row>
    <x:row r="65">
      <x:c r="A65" s="43" t="str">
        <x:v>6 – Abramova 2021 same-sex controls</x:v>
      </x:c>
      <x:c r="B65" s="43" t="str">
        <x:v>abramova_2021_front</x:v>
      </x:c>
      <x:c r="C65" s="43" t="str">
        <x:v>es083</x:v>
      </x:c>
      <x:c r="D65" s="43" t="str">
        <x:v>84</x:v>
      </x:c>
      <x:c r="E65" s="43" t="str">
        <x:v>data_source</x:v>
      </x:c>
      <x:c r="F65" s="43" t="str">
        <x:v>Raw data</x:v>
      </x:c>
      <x:c r="G65" s="43" t="str">
        <x:v>Author raw data</x:v>
      </x:c>
      <x:c r="H65" s="43" t="str">
        <x:v>Corrected transcription</x:v>
      </x:c>
      <x:c r="I65" s="43" t="str">
        <x:v>included_studies/abramova_2021_front/abramova_2021_front.xlsx, Лист1, handling=No handling</x:v>
      </x:c>
      <x:c r="J65" s="43" t="str">
        <x:v>All summaries in this package are calculated from the saved author workbook.</x:v>
      </x:c>
    </x:row>
    <x:row r="66">
      <x:c r="A66" s="43" t="str">
        <x:v>6 – Abramova 2021 same-sex controls</x:v>
      </x:c>
      <x:c r="B66" s="43" t="str">
        <x:v>abramova_2021_front</x:v>
      </x:c>
      <x:c r="C66" s="43" t="str">
        <x:v>es084</x:v>
      </x:c>
      <x:c r="D66" s="43" t="str">
        <x:v>85</x:v>
      </x:c>
      <x:c r="E66" s="43" t="str">
        <x:v>c_mean</x:v>
      </x:c>
      <x:c r="F66" s="43" t="str">
        <x:v>34.048</x:v>
      </x:c>
      <x:c r="G66" s="43" t="str">
        <x:v>16.378696</x:v>
      </x:c>
      <x:c r="H66" s="43" t="str">
        <x:v>Corrected transcription</x:v>
      </x:c>
      <x:c r="I66" s="43" t="str">
        <x:v>included_studies/abramova_2021_front/abramova_2021_front.xlsx, Лист1, handling=No handling</x:v>
      </x:c>
      <x:c r="J66" s="43" t="str">
        <x:v>Recalculate the control mean from the same-sex author raw subgroup (grum_totalTime).</x:v>
      </x:c>
    </x:row>
    <x:row r="67">
      <x:c r="A67" s="43" t="str">
        <x:v>6 – Abramova 2021 same-sex controls</x:v>
      </x:c>
      <x:c r="B67" s="43" t="str">
        <x:v>abramova_2021_front</x:v>
      </x:c>
      <x:c r="C67" s="43" t="str">
        <x:v>es084</x:v>
      </x:c>
      <x:c r="D67" s="43" t="str">
        <x:v>85</x:v>
      </x:c>
      <x:c r="E67" s="43" t="str">
        <x:v>c_n</x:v>
      </x:c>
      <x:c r="F67" s="43" t="str">
        <x:v>25</x:v>
      </x:c>
      <x:c r="G67" s="43" t="str">
        <x:v>23</x:v>
      </x:c>
      <x:c r="H67" s="43" t="str">
        <x:v>Corrected transcription</x:v>
      </x:c>
      <x:c r="I67" s="43" t="str">
        <x:v>included_studies/abramova_2021_front/abramova_2021_front.xlsx, Лист1, handling=No handling</x:v>
      </x:c>
      <x:c r="J67" s="43" t="str">
        <x:v>Use the females control subgroup matching offspring_sex.</x:v>
      </x:c>
    </x:row>
    <x:row r="68">
      <x:c r="A68" s="43" t="str">
        <x:v>6 – Abramova 2021 same-sex controls</x:v>
      </x:c>
      <x:c r="B68" s="43" t="str">
        <x:v>abramova_2021_front</x:v>
      </x:c>
      <x:c r="C68" s="43" t="str">
        <x:v>es084</x:v>
      </x:c>
      <x:c r="D68" s="43" t="str">
        <x:v>85</x:v>
      </x:c>
      <x:c r="E68" s="43" t="str">
        <x:v>c_sd</x:v>
      </x:c>
      <x:c r="F68" s="43" t="str">
        <x:v>25.0853</x:v>
      </x:c>
      <x:c r="G68" s="43" t="str">
        <x:v>13.13384</x:v>
      </x:c>
      <x:c r="H68" s="43" t="str">
        <x:v>Corrected transcription</x:v>
      </x:c>
      <x:c r="I68" s="43" t="str">
        <x:v>included_studies/abramova_2021_front/abramova_2021_front.xlsx, Лист1, handling=No handling</x:v>
      </x:c>
      <x:c r="J68" s="43" t="str">
        <x:v>Recalculate the control SD from the same-sex author raw subgroup (grum_totalTime).</x:v>
      </x:c>
    </x:row>
    <x:row r="69">
      <x:c r="A69" s="43" t="str">
        <x:v>6 – Abramova 2021 same-sex controls</x:v>
      </x:c>
      <x:c r="B69" s="43" t="str">
        <x:v>abramova_2021_front</x:v>
      </x:c>
      <x:c r="C69" s="43" t="str">
        <x:v>es084</x:v>
      </x:c>
      <x:c r="D69" s="43" t="str">
        <x:v>85</x:v>
      </x:c>
      <x:c r="E69" s="43" t="str">
        <x:v>c_se_analysis</x:v>
      </x:c>
      <x:c r="F69" s="43" t="str">
        <x:v>5.0171</x:v>
      </x:c>
      <x:c r="G69" s="43" t="str">
        <x:v>2.738595</x:v>
      </x:c>
      <x:c r="H69" s="43" t="str">
        <x:v>Corrected derived value</x:v>
      </x:c>
      <x:c r="I69" s="43" t="str">
        <x:v>included_studies/abramova_2021_front/abramova_2021_front.xlsx, Лист1, handling=No handling</x:v>
      </x:c>
      <x:c r="J69" s="43" t="str">
        <x:v>Recalculate SE after replacing the opposite-sex control summary with the same-sex subgroup.</x:v>
      </x:c>
    </x:row>
    <x:row r="70">
      <x:c r="A70" s="43" t="str">
        <x:v>6 – Abramova 2021 same-sex controls</x:v>
      </x:c>
      <x:c r="B70" s="43" t="str">
        <x:v>abramova_2021_front</x:v>
      </x:c>
      <x:c r="C70" s="43" t="str">
        <x:v>es084</x:v>
      </x:c>
      <x:c r="D70" s="43" t="str">
        <x:v>85</x:v>
      </x:c>
      <x:c r="E70" s="43" t="str">
        <x:v>data_file</x:v>
      </x:c>
      <x:c r="F70" s="43" t="str">
        <x:v>OF-pups-abramova2025</x:v>
      </x:c>
      <x:c r="G70" s="43" t="str">
        <x:v>included_studies/abramova_2021_front/abramova_2021_front.xlsx</x:v>
      </x:c>
      <x:c r="H70" s="43" t="str">
        <x:v>Corrected transcription</x:v>
      </x:c>
      <x:c r="I70" s="43" t="str">
        <x:v>included_studies/abramova_2021_front/abramova_2021_front.xlsx, Лист1, handling=No handling</x:v>
      </x:c>
      <x:c r="J70" s="43" t="str">
        <x:v>Use the stable path to the saved author workbook.</x:v>
      </x:c>
    </x:row>
    <x:row r="71">
      <x:c r="A71" s="43" t="str">
        <x:v>6 – Abramova 2021 same-sex controls</x:v>
      </x:c>
      <x:c r="B71" s="43" t="str">
        <x:v>abramova_2021_front</x:v>
      </x:c>
      <x:c r="C71" s="43" t="str">
        <x:v>es084</x:v>
      </x:c>
      <x:c r="D71" s="43" t="str">
        <x:v>85</x:v>
      </x:c>
      <x:c r="E71" s="43" t="str">
        <x:v>data_source</x:v>
      </x:c>
      <x:c r="F71" s="43" t="str">
        <x:v>Raw data</x:v>
      </x:c>
      <x:c r="G71" s="43" t="str">
        <x:v>Author raw data</x:v>
      </x:c>
      <x:c r="H71" s="43" t="str">
        <x:v>Corrected transcription</x:v>
      </x:c>
      <x:c r="I71" s="43" t="str">
        <x:v>included_studies/abramova_2021_front/abramova_2021_front.xlsx, Лист1, handling=No handling</x:v>
      </x:c>
      <x:c r="J71" s="43" t="str">
        <x:v>All summaries in this package are calculated from the saved author workbook.</x:v>
      </x:c>
    </x:row>
    <x:row r="72">
      <x:c r="A72" s="43" t="str">
        <x:v>6 – Abramova 2021 same-sex controls</x:v>
      </x:c>
      <x:c r="B72" s="43" t="str">
        <x:v>abramova_2021_front</x:v>
      </x:c>
      <x:c r="C72" s="43" t="str">
        <x:v>es085</x:v>
      </x:c>
      <x:c r="D72" s="43" t="str">
        <x:v>86</x:v>
      </x:c>
      <x:c r="E72" s="43" t="str">
        <x:v>c_mean</x:v>
      </x:c>
      <x:c r="F72" s="43" t="str">
        <x:v>16.3787</x:v>
      </x:c>
      <x:c r="G72" s="43" t="str">
        <x:v>34.048</x:v>
      </x:c>
      <x:c r="H72" s="43" t="str">
        <x:v>Corrected transcription</x:v>
      </x:c>
      <x:c r="I72" s="43" t="str">
        <x:v>included_studies/abramova_2021_front/abramova_2021_front.xlsx, Лист1, handling=No handling</x:v>
      </x:c>
      <x:c r="J72" s="43" t="str">
        <x:v>Recalculate the control mean from the same-sex author raw subgroup (grum_totalTime).</x:v>
      </x:c>
    </x:row>
    <x:row r="73">
      <x:c r="A73" s="43" t="str">
        <x:v>6 – Abramova 2021 same-sex controls</x:v>
      </x:c>
      <x:c r="B73" s="43" t="str">
        <x:v>abramova_2021_front</x:v>
      </x:c>
      <x:c r="C73" s="43" t="str">
        <x:v>es085</x:v>
      </x:c>
      <x:c r="D73" s="43" t="str">
        <x:v>86</x:v>
      </x:c>
      <x:c r="E73" s="43" t="str">
        <x:v>c_n</x:v>
      </x:c>
      <x:c r="F73" s="43" t="str">
        <x:v>23</x:v>
      </x:c>
      <x:c r="G73" s="43" t="str">
        <x:v>25</x:v>
      </x:c>
      <x:c r="H73" s="43" t="str">
        <x:v>Corrected transcription</x:v>
      </x:c>
      <x:c r="I73" s="43" t="str">
        <x:v>included_studies/abramova_2021_front/abramova_2021_front.xlsx, Лист1, handling=No handling</x:v>
      </x:c>
      <x:c r="J73" s="43" t="str">
        <x:v>Use the males control subgroup matching offspring_sex.</x:v>
      </x:c>
    </x:row>
    <x:row r="74">
      <x:c r="A74" s="43" t="str">
        <x:v>6 – Abramova 2021 same-sex controls</x:v>
      </x:c>
      <x:c r="B74" s="43" t="str">
        <x:v>abramova_2021_front</x:v>
      </x:c>
      <x:c r="C74" s="43" t="str">
        <x:v>es085</x:v>
      </x:c>
      <x:c r="D74" s="43" t="str">
        <x:v>86</x:v>
      </x:c>
      <x:c r="E74" s="43" t="str">
        <x:v>c_sd</x:v>
      </x:c>
      <x:c r="F74" s="43" t="str">
        <x:v>13.1338</x:v>
      </x:c>
      <x:c r="G74" s="43" t="str">
        <x:v>25.085267</x:v>
      </x:c>
      <x:c r="H74" s="43" t="str">
        <x:v>Corrected transcription</x:v>
      </x:c>
      <x:c r="I74" s="43" t="str">
        <x:v>included_studies/abramova_2021_front/abramova_2021_front.xlsx, Лист1, handling=No handling</x:v>
      </x:c>
      <x:c r="J74" s="43" t="str">
        <x:v>Recalculate the control SD from the same-sex author raw subgroup (grum_totalTime).</x:v>
      </x:c>
    </x:row>
    <x:row r="75">
      <x:c r="A75" s="43" t="str">
        <x:v>6 – Abramova 2021 same-sex controls</x:v>
      </x:c>
      <x:c r="B75" s="43" t="str">
        <x:v>abramova_2021_front</x:v>
      </x:c>
      <x:c r="C75" s="43" t="str">
        <x:v>es085</x:v>
      </x:c>
      <x:c r="D75" s="43" t="str">
        <x:v>86</x:v>
      </x:c>
      <x:c r="E75" s="43" t="str">
        <x:v>c_se_analysis</x:v>
      </x:c>
      <x:c r="F75" s="43" t="str">
        <x:v>2.7386</x:v>
      </x:c>
      <x:c r="G75" s="43" t="str">
        <x:v>5.017053</x:v>
      </x:c>
      <x:c r="H75" s="43" t="str">
        <x:v>Corrected derived value</x:v>
      </x:c>
      <x:c r="I75" s="43" t="str">
        <x:v>included_studies/abramova_2021_front/abramova_2021_front.xlsx, Лист1, handling=No handling</x:v>
      </x:c>
      <x:c r="J75" s="43" t="str">
        <x:v>Recalculate SE after replacing the opposite-sex control summary with the same-sex subgroup.</x:v>
      </x:c>
    </x:row>
    <x:row r="76">
      <x:c r="A76" s="43" t="str">
        <x:v>6 – Abramova 2021 same-sex controls</x:v>
      </x:c>
      <x:c r="B76" s="43" t="str">
        <x:v>abramova_2021_front</x:v>
      </x:c>
      <x:c r="C76" s="43" t="str">
        <x:v>es085</x:v>
      </x:c>
      <x:c r="D76" s="43" t="str">
        <x:v>86</x:v>
      </x:c>
      <x:c r="E76" s="43" t="str">
        <x:v>data_file</x:v>
      </x:c>
      <x:c r="F76" s="43" t="str">
        <x:v>OF-pups-abramova2026</x:v>
      </x:c>
      <x:c r="G76" s="43" t="str">
        <x:v>included_studies/abramova_2021_front/abramova_2021_front.xlsx</x:v>
      </x:c>
      <x:c r="H76" s="43" t="str">
        <x:v>Corrected transcription</x:v>
      </x:c>
      <x:c r="I76" s="43" t="str">
        <x:v>included_studies/abramova_2021_front/abramova_2021_front.xlsx, Лист1, handling=No handling</x:v>
      </x:c>
      <x:c r="J76" s="43" t="str">
        <x:v>Use the stable path to the saved author workbook.</x:v>
      </x:c>
    </x:row>
    <x:row r="77">
      <x:c r="A77" s="43" t="str">
        <x:v>6 – Abramova 2021 same-sex controls</x:v>
      </x:c>
      <x:c r="B77" s="43" t="str">
        <x:v>abramova_2021_front</x:v>
      </x:c>
      <x:c r="C77" s="43" t="str">
        <x:v>es085</x:v>
      </x:c>
      <x:c r="D77" s="43" t="str">
        <x:v>86</x:v>
      </x:c>
      <x:c r="E77" s="43" t="str">
        <x:v>data_source</x:v>
      </x:c>
      <x:c r="F77" s="43" t="str">
        <x:v>Raw data</x:v>
      </x:c>
      <x:c r="G77" s="43" t="str">
        <x:v>Author raw data</x:v>
      </x:c>
      <x:c r="H77" s="43" t="str">
        <x:v>Corrected transcription</x:v>
      </x:c>
      <x:c r="I77" s="43" t="str">
        <x:v>included_studies/abramova_2021_front/abramova_2021_front.xlsx, Лист1, handling=No handling</x:v>
      </x:c>
      <x:c r="J77" s="43" t="str">
        <x:v>All summaries in this package are calculated from the saved author workbook.</x:v>
      </x:c>
    </x:row>
    <x:row r="78">
      <x:c r="A78" s="43" t="str">
        <x:v>6 – Abramova 2021 same-sex controls</x:v>
      </x:c>
      <x:c r="B78" s="43" t="str">
        <x:v>abramova_2021_front</x:v>
      </x:c>
      <x:c r="C78" s="43" t="str">
        <x:v>es086</x:v>
      </x:c>
      <x:c r="D78" s="43" t="str">
        <x:v>87</x:v>
      </x:c>
      <x:c r="E78" s="43" t="str">
        <x:v>c_mean</x:v>
      </x:c>
      <x:c r="F78" s="43" t="str">
        <x:v>36.678</x:v>
      </x:c>
      <x:c r="G78" s="43" t="str">
        <x:v>39.256957</x:v>
      </x:c>
      <x:c r="H78" s="43" t="str">
        <x:v>Corrected transcription</x:v>
      </x:c>
      <x:c r="I78" s="43" t="str">
        <x:v>included_studies/abramova_2021_front/abramova_2021_front.xlsx, Лист1, handling=No handling</x:v>
      </x:c>
      <x:c r="J78" s="43" t="str">
        <x:v>Recalculate the control mean from the same-sex author raw subgroup (freez_totalTime).</x:v>
      </x:c>
    </x:row>
    <x:row r="79">
      <x:c r="A79" s="43" t="str">
        <x:v>6 – Abramova 2021 same-sex controls</x:v>
      </x:c>
      <x:c r="B79" s="43" t="str">
        <x:v>abramova_2021_front</x:v>
      </x:c>
      <x:c r="C79" s="43" t="str">
        <x:v>es086</x:v>
      </x:c>
      <x:c r="D79" s="43" t="str">
        <x:v>87</x:v>
      </x:c>
      <x:c r="E79" s="43" t="str">
        <x:v>c_n</x:v>
      </x:c>
      <x:c r="F79" s="43" t="str">
        <x:v>25</x:v>
      </x:c>
      <x:c r="G79" s="43" t="str">
        <x:v>23</x:v>
      </x:c>
      <x:c r="H79" s="43" t="str">
        <x:v>Corrected transcription</x:v>
      </x:c>
      <x:c r="I79" s="43" t="str">
        <x:v>included_studies/abramova_2021_front/abramova_2021_front.xlsx, Лист1, handling=No handling</x:v>
      </x:c>
      <x:c r="J79" s="43" t="str">
        <x:v>Use the females control subgroup matching offspring_sex.</x:v>
      </x:c>
    </x:row>
    <x:row r="80">
      <x:c r="A80" s="43" t="str">
        <x:v>6 – Abramova 2021 same-sex controls</x:v>
      </x:c>
      <x:c r="B80" s="43" t="str">
        <x:v>abramova_2021_front</x:v>
      </x:c>
      <x:c r="C80" s="43" t="str">
        <x:v>es086</x:v>
      </x:c>
      <x:c r="D80" s="43" t="str">
        <x:v>87</x:v>
      </x:c>
      <x:c r="E80" s="43" t="str">
        <x:v>c_sd</x:v>
      </x:c>
      <x:c r="F80" s="43" t="str">
        <x:v>36.638</x:v>
      </x:c>
      <x:c r="G80" s="43" t="str">
        <x:v>41.727392</x:v>
      </x:c>
      <x:c r="H80" s="43" t="str">
        <x:v>Corrected transcription</x:v>
      </x:c>
      <x:c r="I80" s="43" t="str">
        <x:v>included_studies/abramova_2021_front/abramova_2021_front.xlsx, Лист1, handling=No handling</x:v>
      </x:c>
      <x:c r="J80" s="43" t="str">
        <x:v>Recalculate the control SD from the same-sex author raw subgroup (freez_totalTime).</x:v>
      </x:c>
    </x:row>
    <x:row r="81">
      <x:c r="A81" s="43" t="str">
        <x:v>6 – Abramova 2021 same-sex controls</x:v>
      </x:c>
      <x:c r="B81" s="43" t="str">
        <x:v>abramova_2021_front</x:v>
      </x:c>
      <x:c r="C81" s="43" t="str">
        <x:v>es086</x:v>
      </x:c>
      <x:c r="D81" s="43" t="str">
        <x:v>87</x:v>
      </x:c>
      <x:c r="E81" s="43" t="str">
        <x:v>c_se_analysis</x:v>
      </x:c>
      <x:c r="F81" s="43" t="str">
        <x:v>7.3276</x:v>
      </x:c>
      <x:c r="G81" s="43" t="str">
        <x:v>8.700763</x:v>
      </x:c>
      <x:c r="H81" s="43" t="str">
        <x:v>Corrected derived value</x:v>
      </x:c>
      <x:c r="I81" s="43" t="str">
        <x:v>included_studies/abramova_2021_front/abramova_2021_front.xlsx, Лист1, handling=No handling</x:v>
      </x:c>
      <x:c r="J81" s="43" t="str">
        <x:v>Recalculate SE after replacing the opposite-sex control summary with the same-sex subgroup.</x:v>
      </x:c>
    </x:row>
    <x:row r="82">
      <x:c r="A82" s="43" t="str">
        <x:v>6 – Abramova 2021 same-sex controls</x:v>
      </x:c>
      <x:c r="B82" s="43" t="str">
        <x:v>abramova_2021_front</x:v>
      </x:c>
      <x:c r="C82" s="43" t="str">
        <x:v>es086</x:v>
      </x:c>
      <x:c r="D82" s="43" t="str">
        <x:v>87</x:v>
      </x:c>
      <x:c r="E82" s="43" t="str">
        <x:v>data_file</x:v>
      </x:c>
      <x:c r="F82" s="43" t="str">
        <x:v>OF-pups-abramova2027</x:v>
      </x:c>
      <x:c r="G82" s="43" t="str">
        <x:v>included_studies/abramova_2021_front/abramova_2021_front.xlsx</x:v>
      </x:c>
      <x:c r="H82" s="43" t="str">
        <x:v>Corrected transcription</x:v>
      </x:c>
      <x:c r="I82" s="43" t="str">
        <x:v>included_studies/abramova_2021_front/abramova_2021_front.xlsx, Лист1, handling=No handling</x:v>
      </x:c>
      <x:c r="J82" s="43" t="str">
        <x:v>Use the stable path to the saved author workbook.</x:v>
      </x:c>
    </x:row>
    <x:row r="83">
      <x:c r="A83" s="43" t="str">
        <x:v>6 – Abramova 2021 same-sex controls</x:v>
      </x:c>
      <x:c r="B83" s="43" t="str">
        <x:v>abramova_2021_front</x:v>
      </x:c>
      <x:c r="C83" s="43" t="str">
        <x:v>es086</x:v>
      </x:c>
      <x:c r="D83" s="43" t="str">
        <x:v>87</x:v>
      </x:c>
      <x:c r="E83" s="43" t="str">
        <x:v>data_source</x:v>
      </x:c>
      <x:c r="F83" s="43" t="str">
        <x:v>Figure 2c</x:v>
      </x:c>
      <x:c r="G83" s="43" t="str">
        <x:v>Author raw data</x:v>
      </x:c>
      <x:c r="H83" s="43" t="str">
        <x:v>Corrected transcription</x:v>
      </x:c>
      <x:c r="I83" s="43" t="str">
        <x:v>included_studies/abramova_2021_front/abramova_2021_front.xlsx, Лист1, handling=No handling</x:v>
      </x:c>
      <x:c r="J83" s="43" t="str">
        <x:v>All summaries in this package are calculated from the saved author workbook.</x:v>
      </x:c>
    </x:row>
    <x:row r="84">
      <x:c r="A84" s="43" t="str">
        <x:v>6 – Abramova 2021 same-sex controls</x:v>
      </x:c>
      <x:c r="B84" s="43" t="str">
        <x:v>abramova_2021_front</x:v>
      </x:c>
      <x:c r="C84" s="43" t="str">
        <x:v>es087</x:v>
      </x:c>
      <x:c r="D84" s="43" t="str">
        <x:v>88</x:v>
      </x:c>
      <x:c r="E84" s="43" t="str">
        <x:v>c_mean</x:v>
      </x:c>
      <x:c r="F84" s="43" t="str">
        <x:v>39.257</x:v>
      </x:c>
      <x:c r="G84" s="43" t="str">
        <x:v>36.678</x:v>
      </x:c>
      <x:c r="H84" s="43" t="str">
        <x:v>Corrected transcription</x:v>
      </x:c>
      <x:c r="I84" s="43" t="str">
        <x:v>included_studies/abramova_2021_front/abramova_2021_front.xlsx, Лист1, handling=No handling</x:v>
      </x:c>
      <x:c r="J84" s="43" t="str">
        <x:v>Recalculate the control mean from the same-sex author raw subgroup (freez_totalTime).</x:v>
      </x:c>
    </x:row>
    <x:row r="85">
      <x:c r="A85" s="43" t="str">
        <x:v>6 – Abramova 2021 same-sex controls</x:v>
      </x:c>
      <x:c r="B85" s="43" t="str">
        <x:v>abramova_2021_front</x:v>
      </x:c>
      <x:c r="C85" s="43" t="str">
        <x:v>es087</x:v>
      </x:c>
      <x:c r="D85" s="43" t="str">
        <x:v>88</x:v>
      </x:c>
      <x:c r="E85" s="43" t="str">
        <x:v>c_n</x:v>
      </x:c>
      <x:c r="F85" s="43" t="str">
        <x:v>23</x:v>
      </x:c>
      <x:c r="G85" s="43" t="str">
        <x:v>25</x:v>
      </x:c>
      <x:c r="H85" s="43" t="str">
        <x:v>Corrected transcription</x:v>
      </x:c>
      <x:c r="I85" s="43" t="str">
        <x:v>included_studies/abramova_2021_front/abramova_2021_front.xlsx, Лист1, handling=No handling</x:v>
      </x:c>
      <x:c r="J85" s="43" t="str">
        <x:v>Use the males control subgroup matching offspring_sex.</x:v>
      </x:c>
    </x:row>
    <x:row r="86">
      <x:c r="A86" s="43" t="str">
        <x:v>6 – Abramova 2021 same-sex controls</x:v>
      </x:c>
      <x:c r="B86" s="43" t="str">
        <x:v>abramova_2021_front</x:v>
      </x:c>
      <x:c r="C86" s="43" t="str">
        <x:v>es087</x:v>
      </x:c>
      <x:c r="D86" s="43" t="str">
        <x:v>88</x:v>
      </x:c>
      <x:c r="E86" s="43" t="str">
        <x:v>c_sd</x:v>
      </x:c>
      <x:c r="F86" s="43" t="str">
        <x:v>41.7274</x:v>
      </x:c>
      <x:c r="G86" s="43" t="str">
        <x:v>36.638022</x:v>
      </x:c>
      <x:c r="H86" s="43" t="str">
        <x:v>Corrected transcription</x:v>
      </x:c>
      <x:c r="I86" s="43" t="str">
        <x:v>included_studies/abramova_2021_front/abramova_2021_front.xlsx, Лист1, handling=No handling</x:v>
      </x:c>
      <x:c r="J86" s="43" t="str">
        <x:v>Recalculate the control SD from the same-sex author raw subgroup (freez_totalTime).</x:v>
      </x:c>
    </x:row>
    <x:row r="87">
      <x:c r="A87" s="43" t="str">
        <x:v>6 – Abramova 2021 same-sex controls</x:v>
      </x:c>
      <x:c r="B87" s="43" t="str">
        <x:v>abramova_2021_front</x:v>
      </x:c>
      <x:c r="C87" s="43" t="str">
        <x:v>es087</x:v>
      </x:c>
      <x:c r="D87" s="43" t="str">
        <x:v>88</x:v>
      </x:c>
      <x:c r="E87" s="43" t="str">
        <x:v>c_se_analysis</x:v>
      </x:c>
      <x:c r="F87" s="43" t="str">
        <x:v>8.7008</x:v>
      </x:c>
      <x:c r="G87" s="43" t="str">
        <x:v>7.327604</x:v>
      </x:c>
      <x:c r="H87" s="43" t="str">
        <x:v>Corrected derived value</x:v>
      </x:c>
      <x:c r="I87" s="43" t="str">
        <x:v>included_studies/abramova_2021_front/abramova_2021_front.xlsx, Лист1, handling=No handling</x:v>
      </x:c>
      <x:c r="J87" s="43" t="str">
        <x:v>Recalculate SE after replacing the opposite-sex control summary with the same-sex subgroup.</x:v>
      </x:c>
    </x:row>
    <x:row r="88">
      <x:c r="A88" s="43" t="str">
        <x:v>6 – Abramova 2021 same-sex controls</x:v>
      </x:c>
      <x:c r="B88" s="43" t="str">
        <x:v>abramova_2021_front</x:v>
      </x:c>
      <x:c r="C88" s="43" t="str">
        <x:v>es087</x:v>
      </x:c>
      <x:c r="D88" s="43" t="str">
        <x:v>88</x:v>
      </x:c>
      <x:c r="E88" s="43" t="str">
        <x:v>data_file</x:v>
      </x:c>
      <x:c r="F88" s="43" t="str">
        <x:v>OF-pups-abramova2028</x:v>
      </x:c>
      <x:c r="G88" s="43" t="str">
        <x:v>included_studies/abramova_2021_front/abramova_2021_front.xlsx</x:v>
      </x:c>
      <x:c r="H88" s="43" t="str">
        <x:v>Corrected transcription</x:v>
      </x:c>
      <x:c r="I88" s="43" t="str">
        <x:v>included_studies/abramova_2021_front/abramova_2021_front.xlsx, Лист1, handling=No handling</x:v>
      </x:c>
      <x:c r="J88" s="43" t="str">
        <x:v>Use the stable path to the saved author workbook.</x:v>
      </x:c>
    </x:row>
    <x:row r="89">
      <x:c r="A89" s="44" t="str">
        <x:v>6 – Abramova 2021 same-sex controls</x:v>
      </x:c>
      <x:c r="B89" s="44" t="str">
        <x:v>abramova_2021_front</x:v>
      </x:c>
      <x:c r="C89" s="44" t="str">
        <x:v>es087</x:v>
      </x:c>
      <x:c r="D89" s="44" t="str">
        <x:v>88</x:v>
      </x:c>
      <x:c r="E89" s="44" t="str">
        <x:v>data_source</x:v>
      </x:c>
      <x:c r="F89" s="44" t="str">
        <x:v>Figure 2c</x:v>
      </x:c>
      <x:c r="G89" s="44" t="str">
        <x:v>Author raw data</x:v>
      </x:c>
      <x:c r="H89" s="44" t="str">
        <x:v>Corrected transcription</x:v>
      </x:c>
      <x:c r="I89" s="44" t="str">
        <x:v>included_studies/abramova_2021_front/abramova_2021_front.xlsx, Лист1, handling=No handling</x:v>
      </x:c>
      <x:c r="J89" s="44" t="str">
        <x:v>All summaries in this package are calculated from the saved author workbook.</x:v>
      </x:c>
    </x:row>
  </x:sheetData>
  <x:conditionalFormatting sqref="H2:H89">
    <x:cfRule type="containsText" dxfId="55" priority="1" operator="containsText" text="Verified"/>
    <x:cfRule type="containsText" dxfId="56" priority="2" operator="containsText" text="Corrected transcription"/>
    <x:cfRule type="containsText" dxfId="57" priority="3" operator="containsText" text="Corrected derived value"/>
    <x:cfRule type="containsText" dxfId="58" priority="4" operator="containsText" text="Analysis decision required"/>
    <x:cfRule type="containsText" dxfId="59" priority="5" operator="containsText" text="Source needed"/>
  </x:conditionalFormatting>
  <x:pageMargins left="0.7" right="0.7" top="0.75" bottom="0.75" header="0.3" footer="0.3"/>
  <x:tableParts count="1">
    <x:tablePart xmlns:r="http://schemas.openxmlformats.org/officeDocument/2006/relationships" r:id="Rcbd947033d8f437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7 – Abramova 2023 identifiers and units</x:v>
      </x:c>
      <x:c r="B2" s="42" t="str">
        <x:v>abramova_2023_biopsy</x:v>
      </x:c>
      <x:c r="C2" s="42" t="str">
        <x:v>es164</x:v>
      </x:c>
      <x:c r="D2" s="42" t="str">
        <x:v>165</x:v>
      </x:c>
      <x:c r="E2" s="42" t="str">
        <x:v>data_file</x:v>
      </x:c>
      <x:c r="F2" s="42" t="str">
        <x:v>abramova_2023_biopsy_data.xlsx</x:v>
      </x:c>
      <x:c r="G2" s="42" t="str">
        <x:v>included_studies/abramova_2023_biopsy/abramova_2023_biopsy_data_calculations.xlsx</x:v>
      </x:c>
      <x:c r="H2" s="42" t="str">
        <x:v>Corrected transcription</x:v>
      </x:c>
      <x:c r="I2" s="42" t="str">
        <x:v>included_studies/abramova_2023_biopsy/abramova_2023_biopsy_data_calculations.xlsx, Table1_Extract</x:v>
      </x:c>
      <x:c r="J2" s="42" t="str">
        <x:v>Use the stable path to the saved extraction/calculation workbook.</x:v>
      </x:c>
    </x:row>
    <x:row r="3">
      <x:c r="A3" s="43" t="str">
        <x:v>7 – Abramova 2023 identifiers and units</x:v>
      </x:c>
      <x:c r="B3" s="43" t="str">
        <x:v>abramova_2023_biopsy</x:v>
      </x:c>
      <x:c r="C3" s="43" t="str">
        <x:v>es165</x:v>
      </x:c>
      <x:c r="D3" s="43" t="str">
        <x:v>166</x:v>
      </x:c>
      <x:c r="E3" s="43" t="str">
        <x:v>data_file</x:v>
      </x:c>
      <x:c r="F3" s="43" t="str">
        <x:v>abramova_2023_biopsy_data.xlsx</x:v>
      </x:c>
      <x:c r="G3" s="43" t="str">
        <x:v>included_studies/abramova_2023_biopsy/abramova_2023_biopsy_data_calculations.xlsx</x:v>
      </x:c>
      <x:c r="H3" s="43" t="str">
        <x:v>Corrected transcription</x:v>
      </x:c>
      <x:c r="I3" s="43" t="str">
        <x:v>included_studies/abramova_2023_biopsy/abramova_2023_biopsy_data_calculations.xlsx, Table1_Extract</x:v>
      </x:c>
      <x:c r="J3" s="43" t="str">
        <x:v>Use the stable path to the saved extraction/calculation workbook.</x:v>
      </x:c>
    </x:row>
    <x:row r="4">
      <x:c r="A4" s="43" t="str">
        <x:v>7 – Abramova 2023 identifiers and units</x:v>
      </x:c>
      <x:c r="B4" s="43" t="str">
        <x:v>abramova_2023_biopsy</x:v>
      </x:c>
      <x:c r="C4" s="43" t="str">
        <x:v>es166</x:v>
      </x:c>
      <x:c r="D4" s="43" t="str">
        <x:v>167</x:v>
      </x:c>
      <x:c r="E4" s="43" t="str">
        <x:v>data_file</x:v>
      </x:c>
      <x:c r="F4" s="43" t="str">
        <x:v>abramova_2023_biopsy_data.xlsx</x:v>
      </x:c>
      <x:c r="G4" s="43" t="str">
        <x:v>included_studies/abramova_2023_biopsy/abramova_2023_biopsy_data_calculations.xlsx</x:v>
      </x:c>
      <x:c r="H4" s="43" t="str">
        <x:v>Corrected transcription</x:v>
      </x:c>
      <x:c r="I4" s="43" t="str">
        <x:v>included_studies/abramova_2023_biopsy/abramova_2023_biopsy_data_calculations.xlsx, Table1_Extract</x:v>
      </x:c>
      <x:c r="J4" s="43" t="str">
        <x:v>Use the stable path to the saved extraction/calculation workbook.</x:v>
      </x:c>
    </x:row>
    <x:row r="5">
      <x:c r="A5" s="43" t="str">
        <x:v>7 – Abramova 2023 identifiers and units</x:v>
      </x:c>
      <x:c r="B5" s="43" t="str">
        <x:v>abramova_2023_biopsy</x:v>
      </x:c>
      <x:c r="C5" s="43" t="str">
        <x:v>es167</x:v>
      </x:c>
      <x:c r="D5" s="43" t="str">
        <x:v>168</x:v>
      </x:c>
      <x:c r="E5" s="43" t="str">
        <x:v>data_file</x:v>
      </x:c>
      <x:c r="F5" s="43" t="str">
        <x:v>abramova_2023_biopsy_data.xlsx</x:v>
      </x:c>
      <x:c r="G5" s="43" t="str">
        <x:v>included_studies/abramova_2023_biopsy/abramova_2023_biopsy_data_calculations.xlsx</x:v>
      </x:c>
      <x:c r="H5" s="43" t="str">
        <x:v>Corrected transcription</x:v>
      </x:c>
      <x:c r="I5" s="43" t="str">
        <x:v>included_studies/abramova_2023_biopsy/abramova_2023_biopsy_data_calculations.xlsx, Table1_Extract</x:v>
      </x:c>
      <x:c r="J5" s="43" t="str">
        <x:v>Use the stable path to the saved extraction/calculation workbook.</x:v>
      </x:c>
    </x:row>
    <x:row r="6">
      <x:c r="A6" s="43" t="str">
        <x:v>7 – Abramova 2023 identifiers and units</x:v>
      </x:c>
      <x:c r="B6" s="43" t="str">
        <x:v>abramova_2023_biopsy</x:v>
      </x:c>
      <x:c r="C6" s="43" t="str">
        <x:v>es168</x:v>
      </x:c>
      <x:c r="D6" s="43" t="str">
        <x:v>169</x:v>
      </x:c>
      <x:c r="E6" s="43" t="str">
        <x:v>data_file</x:v>
      </x:c>
      <x:c r="F6" s="43" t="str">
        <x:v>abramova_2023_biopsy_data.xlsx</x:v>
      </x:c>
      <x:c r="G6" s="43" t="str">
        <x:v>included_studies/abramova_2023_biopsy/abramova_2023_biopsy_data_calculations.xlsx</x:v>
      </x:c>
      <x:c r="H6" s="43" t="str">
        <x:v>Corrected transcription</x:v>
      </x:c>
      <x:c r="I6" s="43" t="str">
        <x:v>included_studies/abramova_2023_biopsy/abramova_2023_biopsy_data_calculations.xlsx, Table1_Extract</x:v>
      </x:c>
      <x:c r="J6" s="43" t="str">
        <x:v>Use the stable path to the saved extraction/calculation workbook.</x:v>
      </x:c>
    </x:row>
    <x:row r="7">
      <x:c r="A7" s="43" t="str">
        <x:v>7 – Abramova 2023 identifiers and units</x:v>
      </x:c>
      <x:c r="B7" s="43" t="str">
        <x:v>abramova_2023_biopsy</x:v>
      </x:c>
      <x:c r="C7" s="43" t="str">
        <x:v>es169</x:v>
      </x:c>
      <x:c r="D7" s="43" t="str">
        <x:v>170</x:v>
      </x:c>
      <x:c r="E7" s="43" t="str">
        <x:v>c_a_id</x:v>
      </x:c>
      <x:c r="F7" s="43" t="str">
        <x:v>KON_m_</x:v>
      </x:c>
      <x:c r="G7" s="43" t="str">
        <x:v>KON_f_</x:v>
      </x:c>
      <x:c r="H7" s="43" t="str">
        <x:v>Corrected transcription</x:v>
      </x:c>
      <x:c r="I7" s="43" t="str">
        <x:v>included_studies/abramova_2023_biopsy/abramova_2023_biopsy_data_calculations.xlsx, Table1_Extract</x:v>
      </x:c>
      <x:c r="J7" s="43" t="str">
        <x:v>Make the control identifier agree with the sex in the paired source row.</x:v>
      </x:c>
    </x:row>
    <x:row r="8">
      <x:c r="A8" s="43" t="str">
        <x:v>7 – Abramova 2023 identifiers and units</x:v>
      </x:c>
      <x:c r="B8" s="43" t="str">
        <x:v>abramova_2023_biopsy</x:v>
      </x:c>
      <x:c r="C8" s="43" t="str">
        <x:v>es169</x:v>
      </x:c>
      <x:c r="D8" s="43" t="str">
        <x:v>170</x:v>
      </x:c>
      <x:c r="E8" s="43" t="str">
        <x:v>comparison</x:v>
      </x:c>
      <x:c r="F8" s="43" t="str">
        <x:v>KON_PS_m_</x:v>
      </x:c>
      <x:c r="G8" s="43" t="str">
        <x:v>KON_PS_f_</x:v>
      </x:c>
      <x:c r="H8" s="43" t="str">
        <x:v>Corrected transcription</x:v>
      </x:c>
      <x:c r="I8" s="43" t="str">
        <x:v>included_studies/abramova_2023_biopsy/abramova_2023_biopsy_data_calculations.xlsx, Table1_Extract</x:v>
      </x:c>
      <x:c r="J8" s="43" t="str">
        <x:v>Make the comparison identifier agree with the sex in the paired source row.</x:v>
      </x:c>
    </x:row>
    <x:row r="9">
      <x:c r="A9" s="43" t="str">
        <x:v>7 – Abramova 2023 identifiers and units</x:v>
      </x:c>
      <x:c r="B9" s="43" t="str">
        <x:v>abramova_2023_biopsy</x:v>
      </x:c>
      <x:c r="C9" s="43" t="str">
        <x:v>es169</x:v>
      </x:c>
      <x:c r="D9" s="43" t="str">
        <x:v>170</x:v>
      </x:c>
      <x:c r="E9" s="43" t="str">
        <x:v>data_file</x:v>
      </x:c>
      <x:c r="F9" s="43" t="str">
        <x:v>abramova_2023_biopsy_data.xlsx</x:v>
      </x:c>
      <x:c r="G9" s="43" t="str">
        <x:v>included_studies/abramova_2023_biopsy/abramova_2023_biopsy_data_calculations.xlsx</x:v>
      </x:c>
      <x:c r="H9" s="43" t="str">
        <x:v>Corrected transcription</x:v>
      </x:c>
      <x:c r="I9" s="43" t="str">
        <x:v>included_studies/abramova_2023_biopsy/abramova_2023_biopsy_data_calculations.xlsx, Table1_Extract</x:v>
      </x:c>
      <x:c r="J9" s="43" t="str">
        <x:v>Use the stable path to the saved extraction/calculation workbook.</x:v>
      </x:c>
    </x:row>
    <x:row r="10">
      <x:c r="A10" s="43" t="str">
        <x:v>7 – Abramova 2023 identifiers and units</x:v>
      </x:c>
      <x:c r="B10" s="43" t="str">
        <x:v>abramova_2023_biopsy</x:v>
      </x:c>
      <x:c r="C10" s="43" t="str">
        <x:v>es169</x:v>
      </x:c>
      <x:c r="D10" s="43" t="str">
        <x:v>170</x:v>
      </x:c>
      <x:c r="E10" s="43" t="str">
        <x:v>ex_a_id</x:v>
      </x:c>
      <x:c r="F10" s="43" t="str">
        <x:v>PS_m_</x:v>
      </x:c>
      <x:c r="G10" s="43" t="str">
        <x:v>PS_f_</x:v>
      </x:c>
      <x:c r="H10" s="43" t="str">
        <x:v>Corrected transcription</x:v>
      </x:c>
      <x:c r="I10" s="43" t="str">
        <x:v>included_studies/abramova_2023_biopsy/abramova_2023_biopsy_data_calculations.xlsx, Table1_Extract</x:v>
      </x:c>
      <x:c r="J10" s="43" t="str">
        <x:v>Make the exposed identifier agree with the sex in the paired source row.</x:v>
      </x:c>
    </x:row>
    <x:row r="11">
      <x:c r="A11" s="43" t="str">
        <x:v>7 – Abramova 2023 identifiers and units</x:v>
      </x:c>
      <x:c r="B11" s="43" t="str">
        <x:v>abramova_2023_biopsy</x:v>
      </x:c>
      <x:c r="C11" s="43" t="str">
        <x:v>es170</x:v>
      </x:c>
      <x:c r="D11" s="43" t="str">
        <x:v>171</x:v>
      </x:c>
      <x:c r="E11" s="43" t="str">
        <x:v>c_a_id</x:v>
      </x:c>
      <x:c r="F11" s="43" t="str">
        <x:v>KON_f_</x:v>
      </x:c>
      <x:c r="G11" s="43" t="str">
        <x:v>KON_m_</x:v>
      </x:c>
      <x:c r="H11" s="43" t="str">
        <x:v>Corrected transcription</x:v>
      </x:c>
      <x:c r="I11" s="43" t="str">
        <x:v>included_studies/abramova_2023_biopsy/abramova_2023_biopsy_data_calculations.xlsx, Table1_Extract</x:v>
      </x:c>
      <x:c r="J11" s="43" t="str">
        <x:v>Make the control identifier agree with the sex in the paired source row.</x:v>
      </x:c>
    </x:row>
    <x:row r="12">
      <x:c r="A12" s="43" t="str">
        <x:v>7 – Abramova 2023 identifiers and units</x:v>
      </x:c>
      <x:c r="B12" s="43" t="str">
        <x:v>abramova_2023_biopsy</x:v>
      </x:c>
      <x:c r="C12" s="43" t="str">
        <x:v>es170</x:v>
      </x:c>
      <x:c r="D12" s="43" t="str">
        <x:v>171</x:v>
      </x:c>
      <x:c r="E12" s="43" t="str">
        <x:v>comparison</x:v>
      </x:c>
      <x:c r="F12" s="43" t="str">
        <x:v>KON_PS_f_</x:v>
      </x:c>
      <x:c r="G12" s="43" t="str">
        <x:v>KON_PS_m_</x:v>
      </x:c>
      <x:c r="H12" s="43" t="str">
        <x:v>Corrected transcription</x:v>
      </x:c>
      <x:c r="I12" s="43" t="str">
        <x:v>included_studies/abramova_2023_biopsy/abramova_2023_biopsy_data_calculations.xlsx, Table1_Extract</x:v>
      </x:c>
      <x:c r="J12" s="43" t="str">
        <x:v>Make the comparison identifier agree with the sex in the paired source row.</x:v>
      </x:c>
    </x:row>
    <x:row r="13">
      <x:c r="A13" s="43" t="str">
        <x:v>7 – Abramova 2023 identifiers and units</x:v>
      </x:c>
      <x:c r="B13" s="43" t="str">
        <x:v>abramova_2023_biopsy</x:v>
      </x:c>
      <x:c r="C13" s="43" t="str">
        <x:v>es170</x:v>
      </x:c>
      <x:c r="D13" s="43" t="str">
        <x:v>171</x:v>
      </x:c>
      <x:c r="E13" s="43" t="str">
        <x:v>data_file</x:v>
      </x:c>
      <x:c r="F13" s="43" t="str">
        <x:v>abramova_2023_biopsy_data.xlsx</x:v>
      </x:c>
      <x:c r="G13" s="43" t="str">
        <x:v>included_studies/abramova_2023_biopsy/abramova_2023_biopsy_data_calculations.xlsx</x:v>
      </x:c>
      <x:c r="H13" s="43" t="str">
        <x:v>Corrected transcription</x:v>
      </x:c>
      <x:c r="I13" s="43" t="str">
        <x:v>included_studies/abramova_2023_biopsy/abramova_2023_biopsy_data_calculations.xlsx, Table1_Extract</x:v>
      </x:c>
      <x:c r="J13" s="43" t="str">
        <x:v>Use the stable path to the saved extraction/calculation workbook.</x:v>
      </x:c>
    </x:row>
    <x:row r="14">
      <x:c r="A14" s="43" t="str">
        <x:v>7 – Abramova 2023 identifiers and units</x:v>
      </x:c>
      <x:c r="B14" s="43" t="str">
        <x:v>abramova_2023_biopsy</x:v>
      </x:c>
      <x:c r="C14" s="43" t="str">
        <x:v>es170</x:v>
      </x:c>
      <x:c r="D14" s="43" t="str">
        <x:v>171</x:v>
      </x:c>
      <x:c r="E14" s="43" t="str">
        <x:v>ex_a_id</x:v>
      </x:c>
      <x:c r="F14" s="43" t="str">
        <x:v>PS_f_</x:v>
      </x:c>
      <x:c r="G14" s="43" t="str">
        <x:v>PS_m_</x:v>
      </x:c>
      <x:c r="H14" s="43" t="str">
        <x:v>Corrected transcription</x:v>
      </x:c>
      <x:c r="I14" s="43" t="str">
        <x:v>included_studies/abramova_2023_biopsy/abramova_2023_biopsy_data_calculations.xlsx, Table1_Extract</x:v>
      </x:c>
      <x:c r="J14" s="43" t="str">
        <x:v>Make the exposed identifier agree with the sex in the paired source row.</x:v>
      </x:c>
    </x:row>
    <x:row r="15">
      <x:c r="A15" s="43" t="str">
        <x:v>7 – Abramova 2023 identifiers and units</x:v>
      </x:c>
      <x:c r="B15" s="43" t="str">
        <x:v>abramova_2023_biopsy</x:v>
      </x:c>
      <x:c r="C15" s="43" t="str">
        <x:v>es171</x:v>
      </x:c>
      <x:c r="D15" s="43" t="str">
        <x:v>172</x:v>
      </x:c>
      <x:c r="E15" s="43" t="str">
        <x:v>c_a_id</x:v>
      </x:c>
      <x:c r="F15" s="43" t="str">
        <x:v>KON_m_</x:v>
      </x:c>
      <x:c r="G15" s="43" t="str">
        <x:v>KON_f_</x:v>
      </x:c>
      <x:c r="H15" s="43" t="str">
        <x:v>Corrected transcription</x:v>
      </x:c>
      <x:c r="I15" s="43" t="str">
        <x:v>included_studies/abramova_2023_biopsy/abramova_2023_biopsy_data_calculations.xlsx, Table1_Extract</x:v>
      </x:c>
      <x:c r="J15" s="43" t="str">
        <x:v>Make the control identifier agree with the sex in the paired source row.</x:v>
      </x:c>
    </x:row>
    <x:row r="16">
      <x:c r="A16" s="43" t="str">
        <x:v>7 – Abramova 2023 identifiers and units</x:v>
      </x:c>
      <x:c r="B16" s="43" t="str">
        <x:v>abramova_2023_biopsy</x:v>
      </x:c>
      <x:c r="C16" s="43" t="str">
        <x:v>es171</x:v>
      </x:c>
      <x:c r="D16" s="43" t="str">
        <x:v>172</x:v>
      </x:c>
      <x:c r="E16" s="43" t="str">
        <x:v>comparison</x:v>
      </x:c>
      <x:c r="F16" s="43" t="str">
        <x:v>KON_PS_m_</x:v>
      </x:c>
      <x:c r="G16" s="43" t="str">
        <x:v>KON_PS_f_</x:v>
      </x:c>
      <x:c r="H16" s="43" t="str">
        <x:v>Corrected transcription</x:v>
      </x:c>
      <x:c r="I16" s="43" t="str">
        <x:v>included_studies/abramova_2023_biopsy/abramova_2023_biopsy_data_calculations.xlsx, Table1_Extract</x:v>
      </x:c>
      <x:c r="J16" s="43" t="str">
        <x:v>Make the comparison identifier agree with the sex in the paired source row.</x:v>
      </x:c>
    </x:row>
    <x:row r="17">
      <x:c r="A17" s="43" t="str">
        <x:v>7 – Abramova 2023 identifiers and units</x:v>
      </x:c>
      <x:c r="B17" s="43" t="str">
        <x:v>abramova_2023_biopsy</x:v>
      </x:c>
      <x:c r="C17" s="43" t="str">
        <x:v>es171</x:v>
      </x:c>
      <x:c r="D17" s="43" t="str">
        <x:v>172</x:v>
      </x:c>
      <x:c r="E17" s="43" t="str">
        <x:v>data_file</x:v>
      </x:c>
      <x:c r="F17" s="43" t="str">
        <x:v>abramova_2023_biopsy_data.xlsx</x:v>
      </x:c>
      <x:c r="G17" s="43" t="str">
        <x:v>included_studies/abramova_2023_biopsy/abramova_2023_biopsy_data_calculations.xlsx</x:v>
      </x:c>
      <x:c r="H17" s="43" t="str">
        <x:v>Corrected transcription</x:v>
      </x:c>
      <x:c r="I17" s="43" t="str">
        <x:v>included_studies/abramova_2023_biopsy/abramova_2023_biopsy_data_calculations.xlsx, Table1_Extract</x:v>
      </x:c>
      <x:c r="J17" s="43" t="str">
        <x:v>Use the stable path to the saved extraction/calculation workbook.</x:v>
      </x:c>
    </x:row>
    <x:row r="18">
      <x:c r="A18" s="43" t="str">
        <x:v>7 – Abramova 2023 identifiers and units</x:v>
      </x:c>
      <x:c r="B18" s="43" t="str">
        <x:v>abramova_2023_biopsy</x:v>
      </x:c>
      <x:c r="C18" s="43" t="str">
        <x:v>es171</x:v>
      </x:c>
      <x:c r="D18" s="43" t="str">
        <x:v>172</x:v>
      </x:c>
      <x:c r="E18" s="43" t="str">
        <x:v>ex_a_id</x:v>
      </x:c>
      <x:c r="F18" s="43" t="str">
        <x:v>PS_m_</x:v>
      </x:c>
      <x:c r="G18" s="43" t="str">
        <x:v>PS_f_</x:v>
      </x:c>
      <x:c r="H18" s="43" t="str">
        <x:v>Corrected transcription</x:v>
      </x:c>
      <x:c r="I18" s="43" t="str">
        <x:v>included_studies/abramova_2023_biopsy/abramova_2023_biopsy_data_calculations.xlsx, Table1_Extract</x:v>
      </x:c>
      <x:c r="J18" s="43" t="str">
        <x:v>Make the exposed identifier agree with the sex in the paired source row.</x:v>
      </x:c>
    </x:row>
    <x:row r="19">
      <x:c r="A19" s="43" t="str">
        <x:v>7 – Abramova 2023 identifiers and units</x:v>
      </x:c>
      <x:c r="B19" s="43" t="str">
        <x:v>abramova_2023_biopsy</x:v>
      </x:c>
      <x:c r="C19" s="43" t="str">
        <x:v>es172</x:v>
      </x:c>
      <x:c r="D19" s="43" t="str">
        <x:v>173</x:v>
      </x:c>
      <x:c r="E19" s="43" t="str">
        <x:v>c_a_id</x:v>
      </x:c>
      <x:c r="F19" s="43" t="str">
        <x:v>KON_f_</x:v>
      </x:c>
      <x:c r="G19" s="43" t="str">
        <x:v>KON_m_</x:v>
      </x:c>
      <x:c r="H19" s="43" t="str">
        <x:v>Corrected transcription</x:v>
      </x:c>
      <x:c r="I19" s="43" t="str">
        <x:v>included_studies/abramova_2023_biopsy/abramova_2023_biopsy_data_calculations.xlsx, Table1_Extract</x:v>
      </x:c>
      <x:c r="J19" s="43" t="str">
        <x:v>Make the control identifier agree with the sex in the paired source row.</x:v>
      </x:c>
    </x:row>
    <x:row r="20">
      <x:c r="A20" s="43" t="str">
        <x:v>7 – Abramova 2023 identifiers and units</x:v>
      </x:c>
      <x:c r="B20" s="43" t="str">
        <x:v>abramova_2023_biopsy</x:v>
      </x:c>
      <x:c r="C20" s="43" t="str">
        <x:v>es172</x:v>
      </x:c>
      <x:c r="D20" s="43" t="str">
        <x:v>173</x:v>
      </x:c>
      <x:c r="E20" s="43" t="str">
        <x:v>comparison</x:v>
      </x:c>
      <x:c r="F20" s="43" t="str">
        <x:v>KON_PS_f_</x:v>
      </x:c>
      <x:c r="G20" s="43" t="str">
        <x:v>KON_PS_m_</x:v>
      </x:c>
      <x:c r="H20" s="43" t="str">
        <x:v>Corrected transcription</x:v>
      </x:c>
      <x:c r="I20" s="43" t="str">
        <x:v>included_studies/abramova_2023_biopsy/abramova_2023_biopsy_data_calculations.xlsx, Table1_Extract</x:v>
      </x:c>
      <x:c r="J20" s="43" t="str">
        <x:v>Make the comparison identifier agree with the sex in the paired source row.</x:v>
      </x:c>
    </x:row>
    <x:row r="21">
      <x:c r="A21" s="43" t="str">
        <x:v>7 – Abramova 2023 identifiers and units</x:v>
      </x:c>
      <x:c r="B21" s="43" t="str">
        <x:v>abramova_2023_biopsy</x:v>
      </x:c>
      <x:c r="C21" s="43" t="str">
        <x:v>es172</x:v>
      </x:c>
      <x:c r="D21" s="43" t="str">
        <x:v>173</x:v>
      </x:c>
      <x:c r="E21" s="43" t="str">
        <x:v>data_file</x:v>
      </x:c>
      <x:c r="F21" s="43" t="str">
        <x:v>abramova_2023_biopsy_data.xlsx</x:v>
      </x:c>
      <x:c r="G21" s="43" t="str">
        <x:v>included_studies/abramova_2023_biopsy/abramova_2023_biopsy_data_calculations.xlsx</x:v>
      </x:c>
      <x:c r="H21" s="43" t="str">
        <x:v>Corrected transcription</x:v>
      </x:c>
      <x:c r="I21" s="43" t="str">
        <x:v>included_studies/abramova_2023_biopsy/abramova_2023_biopsy_data_calculations.xlsx, Table1_Extract</x:v>
      </x:c>
      <x:c r="J21" s="43" t="str">
        <x:v>Use the stable path to the saved extraction/calculation workbook.</x:v>
      </x:c>
    </x:row>
    <x:row r="22">
      <x:c r="A22" s="43" t="str">
        <x:v>7 – Abramova 2023 identifiers and units</x:v>
      </x:c>
      <x:c r="B22" s="43" t="str">
        <x:v>abramova_2023_biopsy</x:v>
      </x:c>
      <x:c r="C22" s="43" t="str">
        <x:v>es172</x:v>
      </x:c>
      <x:c r="D22" s="43" t="str">
        <x:v>173</x:v>
      </x:c>
      <x:c r="E22" s="43" t="str">
        <x:v>ex_a_id</x:v>
      </x:c>
      <x:c r="F22" s="43" t="str">
        <x:v>PS_f_</x:v>
      </x:c>
      <x:c r="G22" s="43" t="str">
        <x:v>PS_m_</x:v>
      </x:c>
      <x:c r="H22" s="43" t="str">
        <x:v>Corrected transcription</x:v>
      </x:c>
      <x:c r="I22" s="43" t="str">
        <x:v>included_studies/abramova_2023_biopsy/abramova_2023_biopsy_data_calculations.xlsx, Table1_Extract</x:v>
      </x:c>
      <x:c r="J22" s="43" t="str">
        <x:v>Make the exposed identifier agree with the sex in the paired source row.</x:v>
      </x:c>
    </x:row>
    <x:row r="23">
      <x:c r="A23" s="43" t="str">
        <x:v>7 – Abramova 2023 identifiers and units</x:v>
      </x:c>
      <x:c r="B23" s="43" t="str">
        <x:v>abramova_2023_biopsy</x:v>
      </x:c>
      <x:c r="C23" s="43" t="str">
        <x:v>es173</x:v>
      </x:c>
      <x:c r="D23" s="43" t="str">
        <x:v>174</x:v>
      </x:c>
      <x:c r="E23" s="43" t="str">
        <x:v>c_a_id</x:v>
      </x:c>
      <x:c r="F23" s="43" t="str">
        <x:v>KON_m_</x:v>
      </x:c>
      <x:c r="G23" s="43" t="str">
        <x:v>KON_f_</x:v>
      </x:c>
      <x:c r="H23" s="43" t="str">
        <x:v>Corrected transcription</x:v>
      </x:c>
      <x:c r="I23" s="43" t="str">
        <x:v>included_studies/abramova_2023_biopsy/abramova_2023_biopsy_data_calculations.xlsx, Table1_Extract</x:v>
      </x:c>
      <x:c r="J23" s="43" t="str">
        <x:v>Make the control identifier agree with the sex in the paired source row.</x:v>
      </x:c>
    </x:row>
    <x:row r="24">
      <x:c r="A24" s="43" t="str">
        <x:v>7 – Abramova 2023 identifiers and units</x:v>
      </x:c>
      <x:c r="B24" s="43" t="str">
        <x:v>abramova_2023_biopsy</x:v>
      </x:c>
      <x:c r="C24" s="43" t="str">
        <x:v>es173</x:v>
      </x:c>
      <x:c r="D24" s="43" t="str">
        <x:v>174</x:v>
      </x:c>
      <x:c r="E24" s="43" t="str">
        <x:v>comparison</x:v>
      </x:c>
      <x:c r="F24" s="43" t="str">
        <x:v>KON_PS_m_</x:v>
      </x:c>
      <x:c r="G24" s="43" t="str">
        <x:v>KON_PS_f_</x:v>
      </x:c>
      <x:c r="H24" s="43" t="str">
        <x:v>Corrected transcription</x:v>
      </x:c>
      <x:c r="I24" s="43" t="str">
        <x:v>included_studies/abramova_2023_biopsy/abramova_2023_biopsy_data_calculations.xlsx, Table1_Extract</x:v>
      </x:c>
      <x:c r="J24" s="43" t="str">
        <x:v>Make the comparison identifier agree with the sex in the paired source row.</x:v>
      </x:c>
    </x:row>
    <x:row r="25">
      <x:c r="A25" s="43" t="str">
        <x:v>7 – Abramova 2023 identifiers and units</x:v>
      </x:c>
      <x:c r="B25" s="43" t="str">
        <x:v>abramova_2023_biopsy</x:v>
      </x:c>
      <x:c r="C25" s="43" t="str">
        <x:v>es173</x:v>
      </x:c>
      <x:c r="D25" s="43" t="str">
        <x:v>174</x:v>
      </x:c>
      <x:c r="E25" s="43" t="str">
        <x:v>data_file</x:v>
      </x:c>
      <x:c r="F25" s="43" t="str">
        <x:v>abramova_2023_biopsy_data.xlsx</x:v>
      </x:c>
      <x:c r="G25" s="43" t="str">
        <x:v>included_studies/abramova_2023_biopsy/abramova_2023_biopsy_data_calculations.xlsx</x:v>
      </x:c>
      <x:c r="H25" s="43" t="str">
        <x:v>Corrected transcription</x:v>
      </x:c>
      <x:c r="I25" s="43" t="str">
        <x:v>included_studies/abramova_2023_biopsy/abramova_2023_biopsy_data_calculations.xlsx, Table1_Extract</x:v>
      </x:c>
      <x:c r="J25" s="43" t="str">
        <x:v>Use the stable path to the saved extraction/calculation workbook.</x:v>
      </x:c>
    </x:row>
    <x:row r="26">
      <x:c r="A26" s="43" t="str">
        <x:v>7 – Abramova 2023 identifiers and units</x:v>
      </x:c>
      <x:c r="B26" s="43" t="str">
        <x:v>abramova_2023_biopsy</x:v>
      </x:c>
      <x:c r="C26" s="43" t="str">
        <x:v>es173</x:v>
      </x:c>
      <x:c r="D26" s="43" t="str">
        <x:v>174</x:v>
      </x:c>
      <x:c r="E26" s="43" t="str">
        <x:v>ex_a_id</x:v>
      </x:c>
      <x:c r="F26" s="43" t="str">
        <x:v>PS_m_</x:v>
      </x:c>
      <x:c r="G26" s="43" t="str">
        <x:v>PS_f_</x:v>
      </x:c>
      <x:c r="H26" s="43" t="str">
        <x:v>Corrected transcription</x:v>
      </x:c>
      <x:c r="I26" s="43" t="str">
        <x:v>included_studies/abramova_2023_biopsy/abramova_2023_biopsy_data_calculations.xlsx, Table1_Extract</x:v>
      </x:c>
      <x:c r="J26" s="43" t="str">
        <x:v>Make the exposed identifier agree with the sex in the paired source row.</x:v>
      </x:c>
    </x:row>
    <x:row r="27">
      <x:c r="A27" s="43" t="str">
        <x:v>7 – Abramova 2023 identifiers and units</x:v>
      </x:c>
      <x:c r="B27" s="43" t="str">
        <x:v>abramova_2023_biopsy</x:v>
      </x:c>
      <x:c r="C27" s="43" t="str">
        <x:v>es174</x:v>
      </x:c>
      <x:c r="D27" s="43" t="str">
        <x:v>175</x:v>
      </x:c>
      <x:c r="E27" s="43" t="str">
        <x:v>c_a_id</x:v>
      </x:c>
      <x:c r="F27" s="43" t="str">
        <x:v>KON_f_</x:v>
      </x:c>
      <x:c r="G27" s="43" t="str">
        <x:v>KON_m_</x:v>
      </x:c>
      <x:c r="H27" s="43" t="str">
        <x:v>Corrected transcription</x:v>
      </x:c>
      <x:c r="I27" s="43" t="str">
        <x:v>included_studies/abramova_2023_biopsy/abramova_2023_biopsy_data_calculations.xlsx, Table1_Extract</x:v>
      </x:c>
      <x:c r="J27" s="43" t="str">
        <x:v>Make the control identifier agree with the sex in the paired source row.</x:v>
      </x:c>
    </x:row>
    <x:row r="28">
      <x:c r="A28" s="43" t="str">
        <x:v>7 – Abramova 2023 identifiers and units</x:v>
      </x:c>
      <x:c r="B28" s="43" t="str">
        <x:v>abramova_2023_biopsy</x:v>
      </x:c>
      <x:c r="C28" s="43" t="str">
        <x:v>es174</x:v>
      </x:c>
      <x:c r="D28" s="43" t="str">
        <x:v>175</x:v>
      </x:c>
      <x:c r="E28" s="43" t="str">
        <x:v>comparison</x:v>
      </x:c>
      <x:c r="F28" s="43" t="str">
        <x:v>KON_PS_f_</x:v>
      </x:c>
      <x:c r="G28" s="43" t="str">
        <x:v>KON_PS_m_</x:v>
      </x:c>
      <x:c r="H28" s="43" t="str">
        <x:v>Corrected transcription</x:v>
      </x:c>
      <x:c r="I28" s="43" t="str">
        <x:v>included_studies/abramova_2023_biopsy/abramova_2023_biopsy_data_calculations.xlsx, Table1_Extract</x:v>
      </x:c>
      <x:c r="J28" s="43" t="str">
        <x:v>Make the comparison identifier agree with the sex in the paired source row.</x:v>
      </x:c>
    </x:row>
    <x:row r="29">
      <x:c r="A29" s="43" t="str">
        <x:v>7 – Abramova 2023 identifiers and units</x:v>
      </x:c>
      <x:c r="B29" s="43" t="str">
        <x:v>abramova_2023_biopsy</x:v>
      </x:c>
      <x:c r="C29" s="43" t="str">
        <x:v>es174</x:v>
      </x:c>
      <x:c r="D29" s="43" t="str">
        <x:v>175</x:v>
      </x:c>
      <x:c r="E29" s="43" t="str">
        <x:v>data_file</x:v>
      </x:c>
      <x:c r="F29" s="43" t="str">
        <x:v>abramova_2023_biopsy_data.xlsx</x:v>
      </x:c>
      <x:c r="G29" s="43" t="str">
        <x:v>included_studies/abramova_2023_biopsy/abramova_2023_biopsy_data_calculations.xlsx</x:v>
      </x:c>
      <x:c r="H29" s="43" t="str">
        <x:v>Corrected transcription</x:v>
      </x:c>
      <x:c r="I29" s="43" t="str">
        <x:v>included_studies/abramova_2023_biopsy/abramova_2023_biopsy_data_calculations.xlsx, Table1_Extract</x:v>
      </x:c>
      <x:c r="J29" s="43" t="str">
        <x:v>Use the stable path to the saved extraction/calculation workbook.</x:v>
      </x:c>
    </x:row>
    <x:row r="30">
      <x:c r="A30" s="43" t="str">
        <x:v>7 – Abramova 2023 identifiers and units</x:v>
      </x:c>
      <x:c r="B30" s="43" t="str">
        <x:v>abramova_2023_biopsy</x:v>
      </x:c>
      <x:c r="C30" s="43" t="str">
        <x:v>es174</x:v>
      </x:c>
      <x:c r="D30" s="43" t="str">
        <x:v>175</x:v>
      </x:c>
      <x:c r="E30" s="43" t="str">
        <x:v>ex_a_id</x:v>
      </x:c>
      <x:c r="F30" s="43" t="str">
        <x:v>PS_f_</x:v>
      </x:c>
      <x:c r="G30" s="43" t="str">
        <x:v>PS_m_</x:v>
      </x:c>
      <x:c r="H30" s="43" t="str">
        <x:v>Corrected transcription</x:v>
      </x:c>
      <x:c r="I30" s="43" t="str">
        <x:v>included_studies/abramova_2023_biopsy/abramova_2023_biopsy_data_calculations.xlsx, Table1_Extract</x:v>
      </x:c>
      <x:c r="J30" s="43" t="str">
        <x:v>Make the exposed identifier agree with the sex in the paired source row.</x:v>
      </x:c>
    </x:row>
    <x:row r="31">
      <x:c r="A31" s="43" t="str">
        <x:v>7 – Abramova 2023 identifiers and units</x:v>
      </x:c>
      <x:c r="B31" s="43" t="str">
        <x:v>abramova_2023_biopsy</x:v>
      </x:c>
      <x:c r="C31" s="43" t="str">
        <x:v>es175</x:v>
      </x:c>
      <x:c r="D31" s="43" t="str">
        <x:v>176</x:v>
      </x:c>
      <x:c r="E31" s="43" t="str">
        <x:v>c_a_id</x:v>
      </x:c>
      <x:c r="F31" s="43" t="str">
        <x:v>KON_m_</x:v>
      </x:c>
      <x:c r="G31" s="43" t="str">
        <x:v>KON_f_</x:v>
      </x:c>
      <x:c r="H31" s="43" t="str">
        <x:v>Corrected transcription</x:v>
      </x:c>
      <x:c r="I31" s="43" t="str">
        <x:v>included_studies/abramova_2023_biopsy/abramova_2023_biopsy_data_calculations.xlsx, Table1_Extract</x:v>
      </x:c>
      <x:c r="J31" s="43" t="str">
        <x:v>Make the control identifier agree with the sex in the paired source row.</x:v>
      </x:c>
    </x:row>
    <x:row r="32">
      <x:c r="A32" s="43" t="str">
        <x:v>7 – Abramova 2023 identifiers and units</x:v>
      </x:c>
      <x:c r="B32" s="43" t="str">
        <x:v>abramova_2023_biopsy</x:v>
      </x:c>
      <x:c r="C32" s="43" t="str">
        <x:v>es175</x:v>
      </x:c>
      <x:c r="D32" s="43" t="str">
        <x:v>176</x:v>
      </x:c>
      <x:c r="E32" s="43" t="str">
        <x:v>comparison</x:v>
      </x:c>
      <x:c r="F32" s="43" t="str">
        <x:v>KON_PS_m_</x:v>
      </x:c>
      <x:c r="G32" s="43" t="str">
        <x:v>KON_PS_f_</x:v>
      </x:c>
      <x:c r="H32" s="43" t="str">
        <x:v>Corrected transcription</x:v>
      </x:c>
      <x:c r="I32" s="43" t="str">
        <x:v>included_studies/abramova_2023_biopsy/abramova_2023_biopsy_data_calculations.xlsx, Table1_Extract</x:v>
      </x:c>
      <x:c r="J32" s="43" t="str">
        <x:v>Make the comparison identifier agree with the sex in the paired source row.</x:v>
      </x:c>
    </x:row>
    <x:row r="33">
      <x:c r="A33" s="43" t="str">
        <x:v>7 – Abramova 2023 identifiers and units</x:v>
      </x:c>
      <x:c r="B33" s="43" t="str">
        <x:v>abramova_2023_biopsy</x:v>
      </x:c>
      <x:c r="C33" s="43" t="str">
        <x:v>es175</x:v>
      </x:c>
      <x:c r="D33" s="43" t="str">
        <x:v>176</x:v>
      </x:c>
      <x:c r="E33" s="43" t="str">
        <x:v>data_file</x:v>
      </x:c>
      <x:c r="F33" s="43" t="str">
        <x:v>abramova_2023_biopsy_data.xlsx</x:v>
      </x:c>
      <x:c r="G33" s="43" t="str">
        <x:v>included_studies/abramova_2023_biopsy/abramova_2023_biopsy_data_calculations.xlsx</x:v>
      </x:c>
      <x:c r="H33" s="43" t="str">
        <x:v>Corrected transcription</x:v>
      </x:c>
      <x:c r="I33" s="43" t="str">
        <x:v>included_studies/abramova_2023_biopsy/abramova_2023_biopsy_data_calculations.xlsx, Table1_Extract</x:v>
      </x:c>
      <x:c r="J33" s="43" t="str">
        <x:v>Use the stable path to the saved extraction/calculation workbook.</x:v>
      </x:c>
    </x:row>
    <x:row r="34">
      <x:c r="A34" s="43" t="str">
        <x:v>7 – Abramova 2023 identifiers and units</x:v>
      </x:c>
      <x:c r="B34" s="43" t="str">
        <x:v>abramova_2023_biopsy</x:v>
      </x:c>
      <x:c r="C34" s="43" t="str">
        <x:v>es175</x:v>
      </x:c>
      <x:c r="D34" s="43" t="str">
        <x:v>176</x:v>
      </x:c>
      <x:c r="E34" s="43" t="str">
        <x:v>ex_a_id</x:v>
      </x:c>
      <x:c r="F34" s="43" t="str">
        <x:v>PS_m_</x:v>
      </x:c>
      <x:c r="G34" s="43" t="str">
        <x:v>PS_f_</x:v>
      </x:c>
      <x:c r="H34" s="43" t="str">
        <x:v>Corrected transcription</x:v>
      </x:c>
      <x:c r="I34" s="43" t="str">
        <x:v>included_studies/abramova_2023_biopsy/abramova_2023_biopsy_data_calculations.xlsx, Table1_Extract</x:v>
      </x:c>
      <x:c r="J34" s="43" t="str">
        <x:v>Make the exposed identifier agree with the sex in the paired source row.</x:v>
      </x:c>
    </x:row>
    <x:row r="35">
      <x:c r="A35" s="43" t="str">
        <x:v>7 – Abramova 2023 identifiers and units</x:v>
      </x:c>
      <x:c r="B35" s="43" t="str">
        <x:v>abramova_2023_biopsy</x:v>
      </x:c>
      <x:c r="C35" s="43" t="str">
        <x:v>es176</x:v>
      </x:c>
      <x:c r="D35" s="43" t="str">
        <x:v>177</x:v>
      </x:c>
      <x:c r="E35" s="43" t="str">
        <x:v>c_a_id</x:v>
      </x:c>
      <x:c r="F35" s="43" t="str">
        <x:v>KON_f_</x:v>
      </x:c>
      <x:c r="G35" s="43" t="str">
        <x:v>KON_m_</x:v>
      </x:c>
      <x:c r="H35" s="43" t="str">
        <x:v>Corrected transcription</x:v>
      </x:c>
      <x:c r="I35" s="43" t="str">
        <x:v>included_studies/abramova_2023_biopsy/abramova_2023_biopsy_data_calculations.xlsx, Table1_Extract</x:v>
      </x:c>
      <x:c r="J35" s="43" t="str">
        <x:v>Make the control identifier agree with the sex in the paired source row.</x:v>
      </x:c>
    </x:row>
    <x:row r="36">
      <x:c r="A36" s="43" t="str">
        <x:v>7 – Abramova 2023 identifiers and units</x:v>
      </x:c>
      <x:c r="B36" s="43" t="str">
        <x:v>abramova_2023_biopsy</x:v>
      </x:c>
      <x:c r="C36" s="43" t="str">
        <x:v>es176</x:v>
      </x:c>
      <x:c r="D36" s="43" t="str">
        <x:v>177</x:v>
      </x:c>
      <x:c r="E36" s="43" t="str">
        <x:v>comparison</x:v>
      </x:c>
      <x:c r="F36" s="43" t="str">
        <x:v>KON_PS_f_</x:v>
      </x:c>
      <x:c r="G36" s="43" t="str">
        <x:v>KON_PS_m_</x:v>
      </x:c>
      <x:c r="H36" s="43" t="str">
        <x:v>Corrected transcription</x:v>
      </x:c>
      <x:c r="I36" s="43" t="str">
        <x:v>included_studies/abramova_2023_biopsy/abramova_2023_biopsy_data_calculations.xlsx, Table1_Extract</x:v>
      </x:c>
      <x:c r="J36" s="43" t="str">
        <x:v>Make the comparison identifier agree with the sex in the paired source row.</x:v>
      </x:c>
    </x:row>
    <x:row r="37">
      <x:c r="A37" s="43" t="str">
        <x:v>7 – Abramova 2023 identifiers and units</x:v>
      </x:c>
      <x:c r="B37" s="43" t="str">
        <x:v>abramova_2023_biopsy</x:v>
      </x:c>
      <x:c r="C37" s="43" t="str">
        <x:v>es176</x:v>
      </x:c>
      <x:c r="D37" s="43" t="str">
        <x:v>177</x:v>
      </x:c>
      <x:c r="E37" s="43" t="str">
        <x:v>data_file</x:v>
      </x:c>
      <x:c r="F37" s="43" t="str">
        <x:v>abramova_2023_biopsy_data.xlsx</x:v>
      </x:c>
      <x:c r="G37" s="43" t="str">
        <x:v>included_studies/abramova_2023_biopsy/abramova_2023_biopsy_data_calculations.xlsx</x:v>
      </x:c>
      <x:c r="H37" s="43" t="str">
        <x:v>Corrected transcription</x:v>
      </x:c>
      <x:c r="I37" s="43" t="str">
        <x:v>included_studies/abramova_2023_biopsy/abramova_2023_biopsy_data_calculations.xlsx, Table1_Extract</x:v>
      </x:c>
      <x:c r="J37" s="43" t="str">
        <x:v>Use the stable path to the saved extraction/calculation workbook.</x:v>
      </x:c>
    </x:row>
    <x:row r="38">
      <x:c r="A38" s="43" t="str">
        <x:v>7 – Abramova 2023 identifiers and units</x:v>
      </x:c>
      <x:c r="B38" s="43" t="str">
        <x:v>abramova_2023_biopsy</x:v>
      </x:c>
      <x:c r="C38" s="43" t="str">
        <x:v>es176</x:v>
      </x:c>
      <x:c r="D38" s="43" t="str">
        <x:v>177</x:v>
      </x:c>
      <x:c r="E38" s="43" t="str">
        <x:v>data_type</x:v>
      </x:c>
      <x:c r="F38" s="43" t="str">
        <x:v>Percentage</x:v>
      </x:c>
      <x:c r="G38" s="43" t="str">
        <x:v>Time</x:v>
      </x:c>
      <x:c r="H38" s="43" t="str">
        <x:v>Corrected transcription</x:v>
      </x:c>
      <x:c r="I38" s="43" t="str">
        <x:v>included_studies/abramova_2023_biopsy/abramova_2023_biopsy_data_calculations.xlsx, Table1_Extract</x:v>
      </x:c>
      <x:c r="J38" s="43" t="str">
        <x:v>Mean grooming duration is a duration, not a percentage.</x:v>
      </x:c>
    </x:row>
    <x:row r="39">
      <x:c r="A39" s="43" t="str">
        <x:v>7 – Abramova 2023 identifiers and units</x:v>
      </x:c>
      <x:c r="B39" s="43" t="str">
        <x:v>abramova_2023_biopsy</x:v>
      </x:c>
      <x:c r="C39" s="43" t="str">
        <x:v>es176</x:v>
      </x:c>
      <x:c r="D39" s="43" t="str">
        <x:v>177</x:v>
      </x:c>
      <x:c r="E39" s="43" t="str">
        <x:v>data_units</x:v>
      </x:c>
      <x:c r="F39" s="43" t="str">
        <x:v>%</x:v>
      </x:c>
      <x:c r="G39" s="43" t="str">
        <x:v>s</x:v>
      </x:c>
      <x:c r="H39" s="43" t="str">
        <x:v>Corrected transcription</x:v>
      </x:c>
      <x:c r="I39" s="43" t="str">
        <x:v>included_studies/abramova_2023_biopsy/abramova_2023_biopsy_data_calculations.xlsx, Table1_Extract</x:v>
      </x:c>
      <x:c r="J39" s="43" t="str">
        <x:v>The source table reports mean grooming duration in seconds.</x:v>
      </x:c>
    </x:row>
    <x:row r="40">
      <x:c r="A40" s="43" t="str">
        <x:v>7 – Abramova 2023 identifiers and units</x:v>
      </x:c>
      <x:c r="B40" s="43" t="str">
        <x:v>abramova_2023_biopsy</x:v>
      </x:c>
      <x:c r="C40" s="43" t="str">
        <x:v>es176</x:v>
      </x:c>
      <x:c r="D40" s="43" t="str">
        <x:v>177</x:v>
      </x:c>
      <x:c r="E40" s="43" t="str">
        <x:v>ex_a_id</x:v>
      </x:c>
      <x:c r="F40" s="43" t="str">
        <x:v>PS_f_</x:v>
      </x:c>
      <x:c r="G40" s="43" t="str">
        <x:v>PS_m_</x:v>
      </x:c>
      <x:c r="H40" s="43" t="str">
        <x:v>Corrected transcription</x:v>
      </x:c>
      <x:c r="I40" s="43" t="str">
        <x:v>included_studies/abramova_2023_biopsy/abramova_2023_biopsy_data_calculations.xlsx, Table1_Extract</x:v>
      </x:c>
      <x:c r="J40" s="43" t="str">
        <x:v>Make the exposed identifier agree with the sex in the paired source row.</x:v>
      </x:c>
    </x:row>
    <x:row r="41">
      <x:c r="A41" s="43" t="str">
        <x:v>7 – Abramova 2023 identifiers and units</x:v>
      </x:c>
      <x:c r="B41" s="43" t="str">
        <x:v>abramova_2023_biopsy</x:v>
      </x:c>
      <x:c r="C41" s="43" t="str">
        <x:v>es177</x:v>
      </x:c>
      <x:c r="D41" s="43" t="str">
        <x:v>178</x:v>
      </x:c>
      <x:c r="E41" s="43" t="str">
        <x:v>c_a_id</x:v>
      </x:c>
      <x:c r="F41" s="43" t="str">
        <x:v>KON_m_</x:v>
      </x:c>
      <x:c r="G41" s="43" t="str">
        <x:v>KON_f_</x:v>
      </x:c>
      <x:c r="H41" s="43" t="str">
        <x:v>Corrected transcription</x:v>
      </x:c>
      <x:c r="I41" s="43" t="str">
        <x:v>included_studies/abramova_2023_biopsy/abramova_2023_biopsy_data_calculations.xlsx, Table1_Extract</x:v>
      </x:c>
      <x:c r="J41" s="43" t="str">
        <x:v>Make the control identifier agree with the sex in the paired source row.</x:v>
      </x:c>
    </x:row>
    <x:row r="42">
      <x:c r="A42" s="43" t="str">
        <x:v>7 – Abramova 2023 identifiers and units</x:v>
      </x:c>
      <x:c r="B42" s="43" t="str">
        <x:v>abramova_2023_biopsy</x:v>
      </x:c>
      <x:c r="C42" s="43" t="str">
        <x:v>es177</x:v>
      </x:c>
      <x:c r="D42" s="43" t="str">
        <x:v>178</x:v>
      </x:c>
      <x:c r="E42" s="43" t="str">
        <x:v>comparison</x:v>
      </x:c>
      <x:c r="F42" s="43" t="str">
        <x:v>KON_PS_m_</x:v>
      </x:c>
      <x:c r="G42" s="43" t="str">
        <x:v>KON_PS_f_</x:v>
      </x:c>
      <x:c r="H42" s="43" t="str">
        <x:v>Corrected transcription</x:v>
      </x:c>
      <x:c r="I42" s="43" t="str">
        <x:v>included_studies/abramova_2023_biopsy/abramova_2023_biopsy_data_calculations.xlsx, Table1_Extract</x:v>
      </x:c>
      <x:c r="J42" s="43" t="str">
        <x:v>Make the comparison identifier agree with the sex in the paired source row.</x:v>
      </x:c>
    </x:row>
    <x:row r="43">
      <x:c r="A43" s="43" t="str">
        <x:v>7 – Abramova 2023 identifiers and units</x:v>
      </x:c>
      <x:c r="B43" s="43" t="str">
        <x:v>abramova_2023_biopsy</x:v>
      </x:c>
      <x:c r="C43" s="43" t="str">
        <x:v>es177</x:v>
      </x:c>
      <x:c r="D43" s="43" t="str">
        <x:v>178</x:v>
      </x:c>
      <x:c r="E43" s="43" t="str">
        <x:v>data_file</x:v>
      </x:c>
      <x:c r="F43" s="43" t="str">
        <x:v>abramova_2023_biopsy_data.xlsx</x:v>
      </x:c>
      <x:c r="G43" s="43" t="str">
        <x:v>included_studies/abramova_2023_biopsy/abramova_2023_biopsy_data_calculations.xlsx</x:v>
      </x:c>
      <x:c r="H43" s="43" t="str">
        <x:v>Corrected transcription</x:v>
      </x:c>
      <x:c r="I43" s="43" t="str">
        <x:v>included_studies/abramova_2023_biopsy/abramova_2023_biopsy_data_calculations.xlsx, Table1_Extract</x:v>
      </x:c>
      <x:c r="J43" s="43" t="str">
        <x:v>Use the stable path to the saved extraction/calculation workbook.</x:v>
      </x:c>
    </x:row>
    <x:row r="44">
      <x:c r="A44" s="43" t="str">
        <x:v>7 – Abramova 2023 identifiers and units</x:v>
      </x:c>
      <x:c r="B44" s="43" t="str">
        <x:v>abramova_2023_biopsy</x:v>
      </x:c>
      <x:c r="C44" s="43" t="str">
        <x:v>es177</x:v>
      </x:c>
      <x:c r="D44" s="43" t="str">
        <x:v>178</x:v>
      </x:c>
      <x:c r="E44" s="43" t="str">
        <x:v>data_type</x:v>
      </x:c>
      <x:c r="F44" s="43" t="str">
        <x:v>Percentage</x:v>
      </x:c>
      <x:c r="G44" s="43" t="str">
        <x:v>Time</x:v>
      </x:c>
      <x:c r="H44" s="43" t="str">
        <x:v>Corrected transcription</x:v>
      </x:c>
      <x:c r="I44" s="43" t="str">
        <x:v>included_studies/abramova_2023_biopsy/abramova_2023_biopsy_data_calculations.xlsx, Table1_Extract</x:v>
      </x:c>
      <x:c r="J44" s="43" t="str">
        <x:v>Mean grooming duration is a duration, not a percentage.</x:v>
      </x:c>
    </x:row>
    <x:row r="45">
      <x:c r="A45" s="43" t="str">
        <x:v>7 – Abramova 2023 identifiers and units</x:v>
      </x:c>
      <x:c r="B45" s="43" t="str">
        <x:v>abramova_2023_biopsy</x:v>
      </x:c>
      <x:c r="C45" s="43" t="str">
        <x:v>es177</x:v>
      </x:c>
      <x:c r="D45" s="43" t="str">
        <x:v>178</x:v>
      </x:c>
      <x:c r="E45" s="43" t="str">
        <x:v>data_units</x:v>
      </x:c>
      <x:c r="F45" s="43" t="str">
        <x:v>%</x:v>
      </x:c>
      <x:c r="G45" s="43" t="str">
        <x:v>s</x:v>
      </x:c>
      <x:c r="H45" s="43" t="str">
        <x:v>Corrected transcription</x:v>
      </x:c>
      <x:c r="I45" s="43" t="str">
        <x:v>included_studies/abramova_2023_biopsy/abramova_2023_biopsy_data_calculations.xlsx, Table1_Extract</x:v>
      </x:c>
      <x:c r="J45" s="43" t="str">
        <x:v>The source table reports mean grooming duration in seconds.</x:v>
      </x:c>
    </x:row>
    <x:row r="46">
      <x:c r="A46" s="43" t="str">
        <x:v>7 – Abramova 2023 identifiers and units</x:v>
      </x:c>
      <x:c r="B46" s="43" t="str">
        <x:v>abramova_2023_biopsy</x:v>
      </x:c>
      <x:c r="C46" s="43" t="str">
        <x:v>es177</x:v>
      </x:c>
      <x:c r="D46" s="43" t="str">
        <x:v>178</x:v>
      </x:c>
      <x:c r="E46" s="43" t="str">
        <x:v>ex_a_id</x:v>
      </x:c>
      <x:c r="F46" s="43" t="str">
        <x:v>PS_m_</x:v>
      </x:c>
      <x:c r="G46" s="43" t="str">
        <x:v>PS_f_</x:v>
      </x:c>
      <x:c r="H46" s="43" t="str">
        <x:v>Corrected transcription</x:v>
      </x:c>
      <x:c r="I46" s="43" t="str">
        <x:v>included_studies/abramova_2023_biopsy/abramova_2023_biopsy_data_calculations.xlsx, Table1_Extract</x:v>
      </x:c>
      <x:c r="J46" s="43" t="str">
        <x:v>Make the exposed identifier agree with the sex in the paired source row.</x:v>
      </x:c>
    </x:row>
    <x:row r="47">
      <x:c r="A47" s="43" t="str">
        <x:v>7 – Abramova 2023 identifiers and units</x:v>
      </x:c>
      <x:c r="B47" s="43" t="str">
        <x:v>abramova_2023_biopsy</x:v>
      </x:c>
      <x:c r="C47" s="43" t="str">
        <x:v>es178</x:v>
      </x:c>
      <x:c r="D47" s="43" t="str">
        <x:v>179</x:v>
      </x:c>
      <x:c r="E47" s="43" t="str">
        <x:v>c_a_id</x:v>
      </x:c>
      <x:c r="F47" s="43" t="str">
        <x:v>KON_f_</x:v>
      </x:c>
      <x:c r="G47" s="43" t="str">
        <x:v>KON_m_</x:v>
      </x:c>
      <x:c r="H47" s="43" t="str">
        <x:v>Corrected transcription</x:v>
      </x:c>
      <x:c r="I47" s="43" t="str">
        <x:v>included_studies/abramova_2023_biopsy/abramova_2023_biopsy_data_calculations.xlsx, Table1_Extract</x:v>
      </x:c>
      <x:c r="J47" s="43" t="str">
        <x:v>Make the control identifier agree with the sex in the paired source row.</x:v>
      </x:c>
    </x:row>
    <x:row r="48">
      <x:c r="A48" s="43" t="str">
        <x:v>7 – Abramova 2023 identifiers and units</x:v>
      </x:c>
      <x:c r="B48" s="43" t="str">
        <x:v>abramova_2023_biopsy</x:v>
      </x:c>
      <x:c r="C48" s="43" t="str">
        <x:v>es178</x:v>
      </x:c>
      <x:c r="D48" s="43" t="str">
        <x:v>179</x:v>
      </x:c>
      <x:c r="E48" s="43" t="str">
        <x:v>comparison</x:v>
      </x:c>
      <x:c r="F48" s="43" t="str">
        <x:v>KON_PS_f_</x:v>
      </x:c>
      <x:c r="G48" s="43" t="str">
        <x:v>KON_PS_m_</x:v>
      </x:c>
      <x:c r="H48" s="43" t="str">
        <x:v>Corrected transcription</x:v>
      </x:c>
      <x:c r="I48" s="43" t="str">
        <x:v>included_studies/abramova_2023_biopsy/abramova_2023_biopsy_data_calculations.xlsx, Table1_Extract</x:v>
      </x:c>
      <x:c r="J48" s="43" t="str">
        <x:v>Make the comparison identifier agree with the sex in the paired source row.</x:v>
      </x:c>
    </x:row>
    <x:row r="49">
      <x:c r="A49" s="43" t="str">
        <x:v>7 – Abramova 2023 identifiers and units</x:v>
      </x:c>
      <x:c r="B49" s="43" t="str">
        <x:v>abramova_2023_biopsy</x:v>
      </x:c>
      <x:c r="C49" s="43" t="str">
        <x:v>es178</x:v>
      </x:c>
      <x:c r="D49" s="43" t="str">
        <x:v>179</x:v>
      </x:c>
      <x:c r="E49" s="43" t="str">
        <x:v>data_file</x:v>
      </x:c>
      <x:c r="F49" s="43" t="str">
        <x:v>abramova_2023_biopsy_data.xlsx</x:v>
      </x:c>
      <x:c r="G49" s="43" t="str">
        <x:v>included_studies/abramova_2023_biopsy/abramova_2023_biopsy_data_calculations.xlsx</x:v>
      </x:c>
      <x:c r="H49" s="43" t="str">
        <x:v>Corrected transcription</x:v>
      </x:c>
      <x:c r="I49" s="43" t="str">
        <x:v>included_studies/abramova_2023_biopsy/abramova_2023_biopsy_data_calculations.xlsx, Table1_Extract</x:v>
      </x:c>
      <x:c r="J49" s="43" t="str">
        <x:v>Use the stable path to the saved extraction/calculation workbook.</x:v>
      </x:c>
    </x:row>
    <x:row r="50">
      <x:c r="A50" s="43" t="str">
        <x:v>7 – Abramova 2023 identifiers and units</x:v>
      </x:c>
      <x:c r="B50" s="43" t="str">
        <x:v>abramova_2023_biopsy</x:v>
      </x:c>
      <x:c r="C50" s="43" t="str">
        <x:v>es178</x:v>
      </x:c>
      <x:c r="D50" s="43" t="str">
        <x:v>179</x:v>
      </x:c>
      <x:c r="E50" s="43" t="str">
        <x:v>ex_a_id</x:v>
      </x:c>
      <x:c r="F50" s="43" t="str">
        <x:v>PS_f_</x:v>
      </x:c>
      <x:c r="G50" s="43" t="str">
        <x:v>PS_m_</x:v>
      </x:c>
      <x:c r="H50" s="43" t="str">
        <x:v>Corrected transcription</x:v>
      </x:c>
      <x:c r="I50" s="43" t="str">
        <x:v>included_studies/abramova_2023_biopsy/abramova_2023_biopsy_data_calculations.xlsx, Table1_Extract</x:v>
      </x:c>
      <x:c r="J50" s="43" t="str">
        <x:v>Make the exposed identifier agree with the sex in the paired source row.</x:v>
      </x:c>
    </x:row>
    <x:row r="51">
      <x:c r="A51" s="43" t="str">
        <x:v>7 – Abramova 2023 identifiers and units</x:v>
      </x:c>
      <x:c r="B51" s="43" t="str">
        <x:v>abramova_2023_biopsy</x:v>
      </x:c>
      <x:c r="C51" s="43" t="str">
        <x:v>es179</x:v>
      </x:c>
      <x:c r="D51" s="43" t="str">
        <x:v>180</x:v>
      </x:c>
      <x:c r="E51" s="43" t="str">
        <x:v>c_a_id</x:v>
      </x:c>
      <x:c r="F51" s="43" t="str">
        <x:v>KON_m_</x:v>
      </x:c>
      <x:c r="G51" s="43" t="str">
        <x:v>KON_f_</x:v>
      </x:c>
      <x:c r="H51" s="43" t="str">
        <x:v>Corrected transcription</x:v>
      </x:c>
      <x:c r="I51" s="43" t="str">
        <x:v>included_studies/abramova_2023_biopsy/abramova_2023_biopsy_data_calculations.xlsx, Table1_Extract</x:v>
      </x:c>
      <x:c r="J51" s="43" t="str">
        <x:v>Make the control identifier agree with the sex in the paired source row.</x:v>
      </x:c>
    </x:row>
    <x:row r="52">
      <x:c r="A52" s="43" t="str">
        <x:v>7 – Abramova 2023 identifiers and units</x:v>
      </x:c>
      <x:c r="B52" s="43" t="str">
        <x:v>abramova_2023_biopsy</x:v>
      </x:c>
      <x:c r="C52" s="43" t="str">
        <x:v>es179</x:v>
      </x:c>
      <x:c r="D52" s="43" t="str">
        <x:v>180</x:v>
      </x:c>
      <x:c r="E52" s="43" t="str">
        <x:v>comparison</x:v>
      </x:c>
      <x:c r="F52" s="43" t="str">
        <x:v>KON_PS_m_</x:v>
      </x:c>
      <x:c r="G52" s="43" t="str">
        <x:v>KON_PS_f_</x:v>
      </x:c>
      <x:c r="H52" s="43" t="str">
        <x:v>Corrected transcription</x:v>
      </x:c>
      <x:c r="I52" s="43" t="str">
        <x:v>included_studies/abramova_2023_biopsy/abramova_2023_biopsy_data_calculations.xlsx, Table1_Extract</x:v>
      </x:c>
      <x:c r="J52" s="43" t="str">
        <x:v>Make the comparison identifier agree with the sex in the paired source row.</x:v>
      </x:c>
    </x:row>
    <x:row r="53">
      <x:c r="A53" s="43" t="str">
        <x:v>7 – Abramova 2023 identifiers and units</x:v>
      </x:c>
      <x:c r="B53" s="43" t="str">
        <x:v>abramova_2023_biopsy</x:v>
      </x:c>
      <x:c r="C53" s="43" t="str">
        <x:v>es179</x:v>
      </x:c>
      <x:c r="D53" s="43" t="str">
        <x:v>180</x:v>
      </x:c>
      <x:c r="E53" s="43" t="str">
        <x:v>data_file</x:v>
      </x:c>
      <x:c r="F53" s="43" t="str">
        <x:v>abramova_2023_biopsy_data.xlsx</x:v>
      </x:c>
      <x:c r="G53" s="43" t="str">
        <x:v>included_studies/abramova_2023_biopsy/abramova_2023_biopsy_data_calculations.xlsx</x:v>
      </x:c>
      <x:c r="H53" s="43" t="str">
        <x:v>Corrected transcription</x:v>
      </x:c>
      <x:c r="I53" s="43" t="str">
        <x:v>included_studies/abramova_2023_biopsy/abramova_2023_biopsy_data_calculations.xlsx, Table1_Extract</x:v>
      </x:c>
      <x:c r="J53" s="43" t="str">
        <x:v>Use the stable path to the saved extraction/calculation workbook.</x:v>
      </x:c>
    </x:row>
    <x:row r="54">
      <x:c r="A54" s="43" t="str">
        <x:v>7 – Abramova 2023 identifiers and units</x:v>
      </x:c>
      <x:c r="B54" s="43" t="str">
        <x:v>abramova_2023_biopsy</x:v>
      </x:c>
      <x:c r="C54" s="43" t="str">
        <x:v>es179</x:v>
      </x:c>
      <x:c r="D54" s="43" t="str">
        <x:v>180</x:v>
      </x:c>
      <x:c r="E54" s="43" t="str">
        <x:v>ex_a_id</x:v>
      </x:c>
      <x:c r="F54" s="43" t="str">
        <x:v>PS_m_</x:v>
      </x:c>
      <x:c r="G54" s="43" t="str">
        <x:v>PS_f_</x:v>
      </x:c>
      <x:c r="H54" s="43" t="str">
        <x:v>Corrected transcription</x:v>
      </x:c>
      <x:c r="I54" s="43" t="str">
        <x:v>included_studies/abramova_2023_biopsy/abramova_2023_biopsy_data_calculations.xlsx, Table1_Extract</x:v>
      </x:c>
      <x:c r="J54" s="43" t="str">
        <x:v>Make the exposed identifier agree with the sex in the paired source row.</x:v>
      </x:c>
    </x:row>
    <x:row r="55">
      <x:c r="A55" s="43" t="str">
        <x:v>7 – Abramova 2023 identifiers and units</x:v>
      </x:c>
      <x:c r="B55" s="43" t="str">
        <x:v>abramova_2023_biopsy</x:v>
      </x:c>
      <x:c r="C55" s="43" t="str">
        <x:v>es180</x:v>
      </x:c>
      <x:c r="D55" s="43" t="str">
        <x:v>181</x:v>
      </x:c>
      <x:c r="E55" s="43" t="str">
        <x:v>c_a_id</x:v>
      </x:c>
      <x:c r="F55" s="43" t="str">
        <x:v>KON_f_</x:v>
      </x:c>
      <x:c r="G55" s="43" t="str">
        <x:v>KON_m_</x:v>
      </x:c>
      <x:c r="H55" s="43" t="str">
        <x:v>Corrected transcription</x:v>
      </x:c>
      <x:c r="I55" s="43" t="str">
        <x:v>included_studies/abramova_2023_biopsy/abramova_2023_biopsy_data_calculations.xlsx, Table1_Extract</x:v>
      </x:c>
      <x:c r="J55" s="43" t="str">
        <x:v>Make the control identifier agree with the sex in the paired source row.</x:v>
      </x:c>
    </x:row>
    <x:row r="56">
      <x:c r="A56" s="43" t="str">
        <x:v>7 – Abramova 2023 identifiers and units</x:v>
      </x:c>
      <x:c r="B56" s="43" t="str">
        <x:v>abramova_2023_biopsy</x:v>
      </x:c>
      <x:c r="C56" s="43" t="str">
        <x:v>es180</x:v>
      </x:c>
      <x:c r="D56" s="43" t="str">
        <x:v>181</x:v>
      </x:c>
      <x:c r="E56" s="43" t="str">
        <x:v>comparison</x:v>
      </x:c>
      <x:c r="F56" s="43" t="str">
        <x:v>KON_PS_f_</x:v>
      </x:c>
      <x:c r="G56" s="43" t="str">
        <x:v>KON_PS_m_</x:v>
      </x:c>
      <x:c r="H56" s="43" t="str">
        <x:v>Corrected transcription</x:v>
      </x:c>
      <x:c r="I56" s="43" t="str">
        <x:v>included_studies/abramova_2023_biopsy/abramova_2023_biopsy_data_calculations.xlsx, Table1_Extract</x:v>
      </x:c>
      <x:c r="J56" s="43" t="str">
        <x:v>Make the comparison identifier agree with the sex in the paired source row.</x:v>
      </x:c>
    </x:row>
    <x:row r="57">
      <x:c r="A57" s="43" t="str">
        <x:v>7 – Abramova 2023 identifiers and units</x:v>
      </x:c>
      <x:c r="B57" s="43" t="str">
        <x:v>abramova_2023_biopsy</x:v>
      </x:c>
      <x:c r="C57" s="43" t="str">
        <x:v>es180</x:v>
      </x:c>
      <x:c r="D57" s="43" t="str">
        <x:v>181</x:v>
      </x:c>
      <x:c r="E57" s="43" t="str">
        <x:v>data_file</x:v>
      </x:c>
      <x:c r="F57" s="43" t="str">
        <x:v>abramova_2023_biopsy_data.xlsx</x:v>
      </x:c>
      <x:c r="G57" s="43" t="str">
        <x:v>included_studies/abramova_2023_biopsy/abramova_2023_biopsy_data_calculations.xlsx</x:v>
      </x:c>
      <x:c r="H57" s="43" t="str">
        <x:v>Corrected transcription</x:v>
      </x:c>
      <x:c r="I57" s="43" t="str">
        <x:v>included_studies/abramova_2023_biopsy/abramova_2023_biopsy_data_calculations.xlsx, Table1_Extract</x:v>
      </x:c>
      <x:c r="J57" s="43" t="str">
        <x:v>Use the stable path to the saved extraction/calculation workbook.</x:v>
      </x:c>
    </x:row>
    <x:row r="58">
      <x:c r="A58" s="43" t="str">
        <x:v>7 – Abramova 2023 identifiers and units</x:v>
      </x:c>
      <x:c r="B58" s="43" t="str">
        <x:v>abramova_2023_biopsy</x:v>
      </x:c>
      <x:c r="C58" s="43" t="str">
        <x:v>es180</x:v>
      </x:c>
      <x:c r="D58" s="43" t="str">
        <x:v>181</x:v>
      </x:c>
      <x:c r="E58" s="43" t="str">
        <x:v>ex_a_id</x:v>
      </x:c>
      <x:c r="F58" s="43" t="str">
        <x:v>PS_f_</x:v>
      </x:c>
      <x:c r="G58" s="43" t="str">
        <x:v>PS_m_</x:v>
      </x:c>
      <x:c r="H58" s="43" t="str">
        <x:v>Corrected transcription</x:v>
      </x:c>
      <x:c r="I58" s="43" t="str">
        <x:v>included_studies/abramova_2023_biopsy/abramova_2023_biopsy_data_calculations.xlsx, Table1_Extract</x:v>
      </x:c>
      <x:c r="J58" s="43" t="str">
        <x:v>Make the exposed identifier agree with the sex in the paired source row.</x:v>
      </x:c>
    </x:row>
    <x:row r="59">
      <x:c r="A59" s="43" t="str">
        <x:v>7 – Abramova 2023 identifiers and units</x:v>
      </x:c>
      <x:c r="B59" s="43" t="str">
        <x:v>abramova_2023_biopsy</x:v>
      </x:c>
      <x:c r="C59" s="43" t="str">
        <x:v>es181</x:v>
      </x:c>
      <x:c r="D59" s="43" t="str">
        <x:v>182</x:v>
      </x:c>
      <x:c r="E59" s="43" t="str">
        <x:v>c_a_id</x:v>
      </x:c>
      <x:c r="F59" s="43" t="str">
        <x:v>KON_m_</x:v>
      </x:c>
      <x:c r="G59" s="43" t="str">
        <x:v>KON_f_</x:v>
      </x:c>
      <x:c r="H59" s="43" t="str">
        <x:v>Corrected transcription</x:v>
      </x:c>
      <x:c r="I59" s="43" t="str">
        <x:v>included_studies/abramova_2023_biopsy/abramova_2023_biopsy_data_calculations.xlsx, Table1_Extract</x:v>
      </x:c>
      <x:c r="J59" s="43" t="str">
        <x:v>Make the control identifier agree with the sex in the paired source row.</x:v>
      </x:c>
    </x:row>
    <x:row r="60">
      <x:c r="A60" s="43" t="str">
        <x:v>7 – Abramova 2023 identifiers and units</x:v>
      </x:c>
      <x:c r="B60" s="43" t="str">
        <x:v>abramova_2023_biopsy</x:v>
      </x:c>
      <x:c r="C60" s="43" t="str">
        <x:v>es181</x:v>
      </x:c>
      <x:c r="D60" s="43" t="str">
        <x:v>182</x:v>
      </x:c>
      <x:c r="E60" s="43" t="str">
        <x:v>comparison</x:v>
      </x:c>
      <x:c r="F60" s="43" t="str">
        <x:v>KON_PS_m_</x:v>
      </x:c>
      <x:c r="G60" s="43" t="str">
        <x:v>KON_PS_f_</x:v>
      </x:c>
      <x:c r="H60" s="43" t="str">
        <x:v>Corrected transcription</x:v>
      </x:c>
      <x:c r="I60" s="43" t="str">
        <x:v>included_studies/abramova_2023_biopsy/abramova_2023_biopsy_data_calculations.xlsx, Table1_Extract</x:v>
      </x:c>
      <x:c r="J60" s="43" t="str">
        <x:v>Make the comparison identifier agree with the sex in the paired source row.</x:v>
      </x:c>
    </x:row>
    <x:row r="61">
      <x:c r="A61" s="43" t="str">
        <x:v>7 – Abramova 2023 identifiers and units</x:v>
      </x:c>
      <x:c r="B61" s="43" t="str">
        <x:v>abramova_2023_biopsy</x:v>
      </x:c>
      <x:c r="C61" s="43" t="str">
        <x:v>es181</x:v>
      </x:c>
      <x:c r="D61" s="43" t="str">
        <x:v>182</x:v>
      </x:c>
      <x:c r="E61" s="43" t="str">
        <x:v>data_file</x:v>
      </x:c>
      <x:c r="F61" s="43" t="str">
        <x:v>abramova_2023_biopsy_data.xlsx</x:v>
      </x:c>
      <x:c r="G61" s="43" t="str">
        <x:v>included_studies/abramova_2023_biopsy/abramova_2023_biopsy_data_calculations.xlsx</x:v>
      </x:c>
      <x:c r="H61" s="43" t="str">
        <x:v>Corrected transcription</x:v>
      </x:c>
      <x:c r="I61" s="43" t="str">
        <x:v>included_studies/abramova_2023_biopsy/abramova_2023_biopsy_data_calculations.xlsx, Table1_Extract</x:v>
      </x:c>
      <x:c r="J61" s="43" t="str">
        <x:v>Use the stable path to the saved extraction/calculation workbook.</x:v>
      </x:c>
    </x:row>
    <x:row r="62">
      <x:c r="A62" s="43" t="str">
        <x:v>7 – Abramova 2023 identifiers and units</x:v>
      </x:c>
      <x:c r="B62" s="43" t="str">
        <x:v>abramova_2023_biopsy</x:v>
      </x:c>
      <x:c r="C62" s="43" t="str">
        <x:v>es181</x:v>
      </x:c>
      <x:c r="D62" s="43" t="str">
        <x:v>182</x:v>
      </x:c>
      <x:c r="E62" s="43" t="str">
        <x:v>ex_a_id</x:v>
      </x:c>
      <x:c r="F62" s="43" t="str">
        <x:v>PS_m_</x:v>
      </x:c>
      <x:c r="G62" s="43" t="str">
        <x:v>PS_f_</x:v>
      </x:c>
      <x:c r="H62" s="43" t="str">
        <x:v>Corrected transcription</x:v>
      </x:c>
      <x:c r="I62" s="43" t="str">
        <x:v>included_studies/abramova_2023_biopsy/abramova_2023_biopsy_data_calculations.xlsx, Table1_Extract</x:v>
      </x:c>
      <x:c r="J62" s="43" t="str">
        <x:v>Make the exposed identifier agree with the sex in the paired source row.</x:v>
      </x:c>
    </x:row>
    <x:row r="63">
      <x:c r="A63" s="43" t="str">
        <x:v>7 – Abramova 2023 identifiers and units</x:v>
      </x:c>
      <x:c r="B63" s="43" t="str">
        <x:v>abramova_2023_biopsy</x:v>
      </x:c>
      <x:c r="C63" s="43" t="str">
        <x:v>es182</x:v>
      </x:c>
      <x:c r="D63" s="43" t="str">
        <x:v>183</x:v>
      </x:c>
      <x:c r="E63" s="43" t="str">
        <x:v>c_a_id</x:v>
      </x:c>
      <x:c r="F63" s="43" t="str">
        <x:v>KON_f_</x:v>
      </x:c>
      <x:c r="G63" s="43" t="str">
        <x:v>KON_m_</x:v>
      </x:c>
      <x:c r="H63" s="43" t="str">
        <x:v>Corrected transcription</x:v>
      </x:c>
      <x:c r="I63" s="43" t="str">
        <x:v>included_studies/abramova_2023_biopsy/abramova_2023_biopsy_data_calculations.xlsx, Table1_Extract</x:v>
      </x:c>
      <x:c r="J63" s="43" t="str">
        <x:v>Make the control identifier agree with the sex in the paired source row.</x:v>
      </x:c>
    </x:row>
    <x:row r="64">
      <x:c r="A64" s="43" t="str">
        <x:v>7 – Abramova 2023 identifiers and units</x:v>
      </x:c>
      <x:c r="B64" s="43" t="str">
        <x:v>abramova_2023_biopsy</x:v>
      </x:c>
      <x:c r="C64" s="43" t="str">
        <x:v>es182</x:v>
      </x:c>
      <x:c r="D64" s="43" t="str">
        <x:v>183</x:v>
      </x:c>
      <x:c r="E64" s="43" t="str">
        <x:v>comparison</x:v>
      </x:c>
      <x:c r="F64" s="43" t="str">
        <x:v>KON_PS_f_</x:v>
      </x:c>
      <x:c r="G64" s="43" t="str">
        <x:v>KON_PS_m_</x:v>
      </x:c>
      <x:c r="H64" s="43" t="str">
        <x:v>Corrected transcription</x:v>
      </x:c>
      <x:c r="I64" s="43" t="str">
        <x:v>included_studies/abramova_2023_biopsy/abramova_2023_biopsy_data_calculations.xlsx, Table1_Extract</x:v>
      </x:c>
      <x:c r="J64" s="43" t="str">
        <x:v>Make the comparison identifier agree with the sex in the paired source row.</x:v>
      </x:c>
    </x:row>
    <x:row r="65">
      <x:c r="A65" s="43" t="str">
        <x:v>7 – Abramova 2023 identifiers and units</x:v>
      </x:c>
      <x:c r="B65" s="43" t="str">
        <x:v>abramova_2023_biopsy</x:v>
      </x:c>
      <x:c r="C65" s="43" t="str">
        <x:v>es182</x:v>
      </x:c>
      <x:c r="D65" s="43" t="str">
        <x:v>183</x:v>
      </x:c>
      <x:c r="E65" s="43" t="str">
        <x:v>data_file</x:v>
      </x:c>
      <x:c r="F65" s="43" t="str">
        <x:v>abramova_2023_biopsy_data.xlsx</x:v>
      </x:c>
      <x:c r="G65" s="43" t="str">
        <x:v>included_studies/abramova_2023_biopsy/abramova_2023_biopsy_data_calculations.xlsx</x:v>
      </x:c>
      <x:c r="H65" s="43" t="str">
        <x:v>Corrected transcription</x:v>
      </x:c>
      <x:c r="I65" s="43" t="str">
        <x:v>included_studies/abramova_2023_biopsy/abramova_2023_biopsy_data_calculations.xlsx, Table1_Extract</x:v>
      </x:c>
      <x:c r="J65" s="43" t="str">
        <x:v>Use the stable path to the saved extraction/calculation workbook.</x:v>
      </x:c>
    </x:row>
    <x:row r="66">
      <x:c r="A66" s="43" t="str">
        <x:v>7 – Abramova 2023 identifiers and units</x:v>
      </x:c>
      <x:c r="B66" s="43" t="str">
        <x:v>abramova_2023_biopsy</x:v>
      </x:c>
      <x:c r="C66" s="43" t="str">
        <x:v>es182</x:v>
      </x:c>
      <x:c r="D66" s="43" t="str">
        <x:v>183</x:v>
      </x:c>
      <x:c r="E66" s="43" t="str">
        <x:v>ex_a_id</x:v>
      </x:c>
      <x:c r="F66" s="43" t="str">
        <x:v>PS_f_</x:v>
      </x:c>
      <x:c r="G66" s="43" t="str">
        <x:v>PS_m_</x:v>
      </x:c>
      <x:c r="H66" s="43" t="str">
        <x:v>Corrected transcription</x:v>
      </x:c>
      <x:c r="I66" s="43" t="str">
        <x:v>included_studies/abramova_2023_biopsy/abramova_2023_biopsy_data_calculations.xlsx, Table1_Extract</x:v>
      </x:c>
      <x:c r="J66" s="43" t="str">
        <x:v>Make the exposed identifier agree with the sex in the paired source row.</x:v>
      </x:c>
    </x:row>
    <x:row r="67">
      <x:c r="A67" s="43" t="str">
        <x:v>7 – Abramova 2023 identifiers and units</x:v>
      </x:c>
      <x:c r="B67" s="43" t="str">
        <x:v>abramova_2023_biopsy</x:v>
      </x:c>
      <x:c r="C67" s="43" t="str">
        <x:v>es183</x:v>
      </x:c>
      <x:c r="D67" s="43" t="str">
        <x:v>184</x:v>
      </x:c>
      <x:c r="E67" s="43" t="str">
        <x:v>c_a_id</x:v>
      </x:c>
      <x:c r="F67" s="43" t="str">
        <x:v>KON_m_</x:v>
      </x:c>
      <x:c r="G67" s="43" t="str">
        <x:v>KON_f_</x:v>
      </x:c>
      <x:c r="H67" s="43" t="str">
        <x:v>Corrected transcription</x:v>
      </x:c>
      <x:c r="I67" s="43" t="str">
        <x:v>included_studies/abramova_2023_biopsy/abramova_2023_biopsy_data_calculations.xlsx, Table1_Extract</x:v>
      </x:c>
      <x:c r="J67" s="43" t="str">
        <x:v>Make the control identifier agree with the sex in the paired source row.</x:v>
      </x:c>
    </x:row>
    <x:row r="68">
      <x:c r="A68" s="43" t="str">
        <x:v>7 – Abramova 2023 identifiers and units</x:v>
      </x:c>
      <x:c r="B68" s="43" t="str">
        <x:v>abramova_2023_biopsy</x:v>
      </x:c>
      <x:c r="C68" s="43" t="str">
        <x:v>es183</x:v>
      </x:c>
      <x:c r="D68" s="43" t="str">
        <x:v>184</x:v>
      </x:c>
      <x:c r="E68" s="43" t="str">
        <x:v>comparison</x:v>
      </x:c>
      <x:c r="F68" s="43" t="str">
        <x:v>KON_PS_m_</x:v>
      </x:c>
      <x:c r="G68" s="43" t="str">
        <x:v>KON_PS_f_</x:v>
      </x:c>
      <x:c r="H68" s="43" t="str">
        <x:v>Corrected transcription</x:v>
      </x:c>
      <x:c r="I68" s="43" t="str">
        <x:v>included_studies/abramova_2023_biopsy/abramova_2023_biopsy_data_calculations.xlsx, Table1_Extract</x:v>
      </x:c>
      <x:c r="J68" s="43" t="str">
        <x:v>Make the comparison identifier agree with the sex in the paired source row.</x:v>
      </x:c>
    </x:row>
    <x:row r="69">
      <x:c r="A69" s="43" t="str">
        <x:v>7 – Abramova 2023 identifiers and units</x:v>
      </x:c>
      <x:c r="B69" s="43" t="str">
        <x:v>abramova_2023_biopsy</x:v>
      </x:c>
      <x:c r="C69" s="43" t="str">
        <x:v>es183</x:v>
      </x:c>
      <x:c r="D69" s="43" t="str">
        <x:v>184</x:v>
      </x:c>
      <x:c r="E69" s="43" t="str">
        <x:v>data_file</x:v>
      </x:c>
      <x:c r="F69" s="43" t="str">
        <x:v>abramova_2023_biopsy_data.xlsx</x:v>
      </x:c>
      <x:c r="G69" s="43" t="str">
        <x:v>included_studies/abramova_2023_biopsy/abramova_2023_biopsy_data_calculations.xlsx</x:v>
      </x:c>
      <x:c r="H69" s="43" t="str">
        <x:v>Corrected transcription</x:v>
      </x:c>
      <x:c r="I69" s="43" t="str">
        <x:v>included_studies/abramova_2023_biopsy/abramova_2023_biopsy_data_calculations.xlsx, Table1_Extract</x:v>
      </x:c>
      <x:c r="J69" s="43" t="str">
        <x:v>Use the stable path to the saved extraction/calculation workbook.</x:v>
      </x:c>
    </x:row>
    <x:row r="70">
      <x:c r="A70" s="43" t="str">
        <x:v>7 – Abramova 2023 identifiers and units</x:v>
      </x:c>
      <x:c r="B70" s="43" t="str">
        <x:v>abramova_2023_biopsy</x:v>
      </x:c>
      <x:c r="C70" s="43" t="str">
        <x:v>es183</x:v>
      </x:c>
      <x:c r="D70" s="43" t="str">
        <x:v>184</x:v>
      </x:c>
      <x:c r="E70" s="43" t="str">
        <x:v>ex_a_id</x:v>
      </x:c>
      <x:c r="F70" s="43" t="str">
        <x:v>PS_m_</x:v>
      </x:c>
      <x:c r="G70" s="43" t="str">
        <x:v>PS_f_</x:v>
      </x:c>
      <x:c r="H70" s="43" t="str">
        <x:v>Corrected transcription</x:v>
      </x:c>
      <x:c r="I70" s="43" t="str">
        <x:v>included_studies/abramova_2023_biopsy/abramova_2023_biopsy_data_calculations.xlsx, Table1_Extract</x:v>
      </x:c>
      <x:c r="J70" s="43" t="str">
        <x:v>Make the exposed identifier agree with the sex in the paired source row.</x:v>
      </x:c>
    </x:row>
    <x:row r="71">
      <x:c r="A71" s="43" t="str">
        <x:v>7 – Abramova 2023 identifiers and units</x:v>
      </x:c>
      <x:c r="B71" s="43" t="str">
        <x:v>abramova_2023_biopsy</x:v>
      </x:c>
      <x:c r="C71" s="43" t="str">
        <x:v>es184</x:v>
      </x:c>
      <x:c r="D71" s="43" t="str">
        <x:v>185</x:v>
      </x:c>
      <x:c r="E71" s="43" t="str">
        <x:v>c_a_id</x:v>
      </x:c>
      <x:c r="F71" s="43" t="str">
        <x:v>KON_f_</x:v>
      </x:c>
      <x:c r="G71" s="43" t="str">
        <x:v>KON_m_</x:v>
      </x:c>
      <x:c r="H71" s="43" t="str">
        <x:v>Corrected transcription</x:v>
      </x:c>
      <x:c r="I71" s="43" t="str">
        <x:v>included_studies/abramova_2023_biopsy/abramova_2023_biopsy_data_calculations.xlsx, Table1_Extract</x:v>
      </x:c>
      <x:c r="J71" s="43" t="str">
        <x:v>Make the control identifier agree with the sex in the paired source row.</x:v>
      </x:c>
    </x:row>
    <x:row r="72">
      <x:c r="A72" s="43" t="str">
        <x:v>7 – Abramova 2023 identifiers and units</x:v>
      </x:c>
      <x:c r="B72" s="43" t="str">
        <x:v>abramova_2023_biopsy</x:v>
      </x:c>
      <x:c r="C72" s="43" t="str">
        <x:v>es184</x:v>
      </x:c>
      <x:c r="D72" s="43" t="str">
        <x:v>185</x:v>
      </x:c>
      <x:c r="E72" s="43" t="str">
        <x:v>comparison</x:v>
      </x:c>
      <x:c r="F72" s="43" t="str">
        <x:v>KON_PS_f_</x:v>
      </x:c>
      <x:c r="G72" s="43" t="str">
        <x:v>KON_PS_m_</x:v>
      </x:c>
      <x:c r="H72" s="43" t="str">
        <x:v>Corrected transcription</x:v>
      </x:c>
      <x:c r="I72" s="43" t="str">
        <x:v>included_studies/abramova_2023_biopsy/abramova_2023_biopsy_data_calculations.xlsx, Table1_Extract</x:v>
      </x:c>
      <x:c r="J72" s="43" t="str">
        <x:v>Make the comparison identifier agree with the sex in the paired source row.</x:v>
      </x:c>
    </x:row>
    <x:row r="73">
      <x:c r="A73" s="43" t="str">
        <x:v>7 – Abramova 2023 identifiers and units</x:v>
      </x:c>
      <x:c r="B73" s="43" t="str">
        <x:v>abramova_2023_biopsy</x:v>
      </x:c>
      <x:c r="C73" s="43" t="str">
        <x:v>es184</x:v>
      </x:c>
      <x:c r="D73" s="43" t="str">
        <x:v>185</x:v>
      </x:c>
      <x:c r="E73" s="43" t="str">
        <x:v>data_file</x:v>
      </x:c>
      <x:c r="F73" s="43" t="str">
        <x:v>abramova_2023_biopsy_data.xlsx</x:v>
      </x:c>
      <x:c r="G73" s="43" t="str">
        <x:v>included_studies/abramova_2023_biopsy/abramova_2023_biopsy_data_calculations.xlsx</x:v>
      </x:c>
      <x:c r="H73" s="43" t="str">
        <x:v>Corrected transcription</x:v>
      </x:c>
      <x:c r="I73" s="43" t="str">
        <x:v>included_studies/abramova_2023_biopsy/abramova_2023_biopsy_data_calculations.xlsx, Table1_Extract</x:v>
      </x:c>
      <x:c r="J73" s="43" t="str">
        <x:v>Use the stable path to the saved extraction/calculation workbook.</x:v>
      </x:c>
    </x:row>
    <x:row r="74">
      <x:c r="A74" s="43" t="str">
        <x:v>7 – Abramova 2023 identifiers and units</x:v>
      </x:c>
      <x:c r="B74" s="43" t="str">
        <x:v>abramova_2023_biopsy</x:v>
      </x:c>
      <x:c r="C74" s="43" t="str">
        <x:v>es184</x:v>
      </x:c>
      <x:c r="D74" s="43" t="str">
        <x:v>185</x:v>
      </x:c>
      <x:c r="E74" s="43" t="str">
        <x:v>ex_a_id</x:v>
      </x:c>
      <x:c r="F74" s="43" t="str">
        <x:v>PS_f_</x:v>
      </x:c>
      <x:c r="G74" s="43" t="str">
        <x:v>PS_m_</x:v>
      </x:c>
      <x:c r="H74" s="43" t="str">
        <x:v>Corrected transcription</x:v>
      </x:c>
      <x:c r="I74" s="43" t="str">
        <x:v>included_studies/abramova_2023_biopsy/abramova_2023_biopsy_data_calculations.xlsx, Table1_Extract</x:v>
      </x:c>
      <x:c r="J74" s="43" t="str">
        <x:v>Make the exposed identifier agree with the sex in the paired source row.</x:v>
      </x:c>
    </x:row>
    <x:row r="75">
      <x:c r="A75" s="43" t="str">
        <x:v>7 – Abramova 2023 identifiers and units</x:v>
      </x:c>
      <x:c r="B75" s="43" t="str">
        <x:v>abramova_2023_biopsy</x:v>
      </x:c>
      <x:c r="C75" s="43" t="str">
        <x:v>es185</x:v>
      </x:c>
      <x:c r="D75" s="43" t="str">
        <x:v>186</x:v>
      </x:c>
      <x:c r="E75" s="43" t="str">
        <x:v>c_a_id</x:v>
      </x:c>
      <x:c r="F75" s="43" t="str">
        <x:v>KON_m_</x:v>
      </x:c>
      <x:c r="G75" s="43" t="str">
        <x:v>KON_f_</x:v>
      </x:c>
      <x:c r="H75" s="43" t="str">
        <x:v>Corrected transcription</x:v>
      </x:c>
      <x:c r="I75" s="43" t="str">
        <x:v>included_studies/abramova_2023_biopsy/abramova_2023_biopsy_data_calculations.xlsx, Table1_Extract</x:v>
      </x:c>
      <x:c r="J75" s="43" t="str">
        <x:v>Make the control identifier agree with the sex in the paired source row.</x:v>
      </x:c>
    </x:row>
    <x:row r="76">
      <x:c r="A76" s="43" t="str">
        <x:v>7 – Abramova 2023 identifiers and units</x:v>
      </x:c>
      <x:c r="B76" s="43" t="str">
        <x:v>abramova_2023_biopsy</x:v>
      </x:c>
      <x:c r="C76" s="43" t="str">
        <x:v>es185</x:v>
      </x:c>
      <x:c r="D76" s="43" t="str">
        <x:v>186</x:v>
      </x:c>
      <x:c r="E76" s="43" t="str">
        <x:v>comparison</x:v>
      </x:c>
      <x:c r="F76" s="43" t="str">
        <x:v>KON_PS_m_</x:v>
      </x:c>
      <x:c r="G76" s="43" t="str">
        <x:v>KON_PS_f_</x:v>
      </x:c>
      <x:c r="H76" s="43" t="str">
        <x:v>Corrected transcription</x:v>
      </x:c>
      <x:c r="I76" s="43" t="str">
        <x:v>included_studies/abramova_2023_biopsy/abramova_2023_biopsy_data_calculations.xlsx, Table1_Extract</x:v>
      </x:c>
      <x:c r="J76" s="43" t="str">
        <x:v>Make the comparison identifier agree with the sex in the paired source row.</x:v>
      </x:c>
    </x:row>
    <x:row r="77">
      <x:c r="A77" s="43" t="str">
        <x:v>7 – Abramova 2023 identifiers and units</x:v>
      </x:c>
      <x:c r="B77" s="43" t="str">
        <x:v>abramova_2023_biopsy</x:v>
      </x:c>
      <x:c r="C77" s="43" t="str">
        <x:v>es185</x:v>
      </x:c>
      <x:c r="D77" s="43" t="str">
        <x:v>186</x:v>
      </x:c>
      <x:c r="E77" s="43" t="str">
        <x:v>data_file</x:v>
      </x:c>
      <x:c r="F77" s="43" t="str">
        <x:v>abramova_2023_biopsy_data.xlsx</x:v>
      </x:c>
      <x:c r="G77" s="43" t="str">
        <x:v>included_studies/abramova_2023_biopsy/abramova_2023_biopsy_data_calculations.xlsx</x:v>
      </x:c>
      <x:c r="H77" s="43" t="str">
        <x:v>Corrected transcription</x:v>
      </x:c>
      <x:c r="I77" s="43" t="str">
        <x:v>included_studies/abramova_2023_biopsy/abramova_2023_biopsy_data_calculations.xlsx, Table1_Extract</x:v>
      </x:c>
      <x:c r="J77" s="43" t="str">
        <x:v>Use the stable path to the saved extraction/calculation workbook.</x:v>
      </x:c>
    </x:row>
    <x:row r="78">
      <x:c r="A78" s="43" t="str">
        <x:v>7 – Abramova 2023 identifiers and units</x:v>
      </x:c>
      <x:c r="B78" s="43" t="str">
        <x:v>abramova_2023_biopsy</x:v>
      </x:c>
      <x:c r="C78" s="43" t="str">
        <x:v>es185</x:v>
      </x:c>
      <x:c r="D78" s="43" t="str">
        <x:v>186</x:v>
      </x:c>
      <x:c r="E78" s="43" t="str">
        <x:v>ex_a_id</x:v>
      </x:c>
      <x:c r="F78" s="43" t="str">
        <x:v>PS_m_</x:v>
      </x:c>
      <x:c r="G78" s="43" t="str">
        <x:v>PS_f_</x:v>
      </x:c>
      <x:c r="H78" s="43" t="str">
        <x:v>Corrected transcription</x:v>
      </x:c>
      <x:c r="I78" s="43" t="str">
        <x:v>included_studies/abramova_2023_biopsy/abramova_2023_biopsy_data_calculations.xlsx, Table1_Extract</x:v>
      </x:c>
      <x:c r="J78" s="43" t="str">
        <x:v>Make the exposed identifier agree with the sex in the paired source row.</x:v>
      </x:c>
    </x:row>
    <x:row r="79">
      <x:c r="A79" s="43" t="str">
        <x:v>7 – Abramova 2023 identifiers and units</x:v>
      </x:c>
      <x:c r="B79" s="43" t="str">
        <x:v>abramova_2023_biopsy</x:v>
      </x:c>
      <x:c r="C79" s="43" t="str">
        <x:v>es186</x:v>
      </x:c>
      <x:c r="D79" s="43" t="str">
        <x:v>187</x:v>
      </x:c>
      <x:c r="E79" s="43" t="str">
        <x:v>c_a_id</x:v>
      </x:c>
      <x:c r="F79" s="43" t="str">
        <x:v>KON_f_</x:v>
      </x:c>
      <x:c r="G79" s="43" t="str">
        <x:v>KON_m_</x:v>
      </x:c>
      <x:c r="H79" s="43" t="str">
        <x:v>Corrected transcription</x:v>
      </x:c>
      <x:c r="I79" s="43" t="str">
        <x:v>included_studies/abramova_2023_biopsy/abramova_2023_biopsy_data_calculations.xlsx, Table1_Extract</x:v>
      </x:c>
      <x:c r="J79" s="43" t="str">
        <x:v>Make the control identifier agree with the sex in the paired source row.</x:v>
      </x:c>
    </x:row>
    <x:row r="80">
      <x:c r="A80" s="43" t="str">
        <x:v>7 – Abramova 2023 identifiers and units</x:v>
      </x:c>
      <x:c r="B80" s="43" t="str">
        <x:v>abramova_2023_biopsy</x:v>
      </x:c>
      <x:c r="C80" s="43" t="str">
        <x:v>es186</x:v>
      </x:c>
      <x:c r="D80" s="43" t="str">
        <x:v>187</x:v>
      </x:c>
      <x:c r="E80" s="43" t="str">
        <x:v>comparison</x:v>
      </x:c>
      <x:c r="F80" s="43" t="str">
        <x:v>KON_PS_f_</x:v>
      </x:c>
      <x:c r="G80" s="43" t="str">
        <x:v>KON_PS_m_</x:v>
      </x:c>
      <x:c r="H80" s="43" t="str">
        <x:v>Corrected transcription</x:v>
      </x:c>
      <x:c r="I80" s="43" t="str">
        <x:v>included_studies/abramova_2023_biopsy/abramova_2023_biopsy_data_calculations.xlsx, Table1_Extract</x:v>
      </x:c>
      <x:c r="J80" s="43" t="str">
        <x:v>Make the comparison identifier agree with the sex in the paired source row.</x:v>
      </x:c>
    </x:row>
    <x:row r="81">
      <x:c r="A81" s="43" t="str">
        <x:v>7 – Abramova 2023 identifiers and units</x:v>
      </x:c>
      <x:c r="B81" s="43" t="str">
        <x:v>abramova_2023_biopsy</x:v>
      </x:c>
      <x:c r="C81" s="43" t="str">
        <x:v>es186</x:v>
      </x:c>
      <x:c r="D81" s="43" t="str">
        <x:v>187</x:v>
      </x:c>
      <x:c r="E81" s="43" t="str">
        <x:v>data_file</x:v>
      </x:c>
      <x:c r="F81" s="43" t="str">
        <x:v>abramova_2023_biopsy_data.xlsx</x:v>
      </x:c>
      <x:c r="G81" s="43" t="str">
        <x:v>included_studies/abramova_2023_biopsy/abramova_2023_biopsy_data_calculations.xlsx</x:v>
      </x:c>
      <x:c r="H81" s="43" t="str">
        <x:v>Corrected transcription</x:v>
      </x:c>
      <x:c r="I81" s="43" t="str">
        <x:v>included_studies/abramova_2023_biopsy/abramova_2023_biopsy_data_calculations.xlsx, Table1_Extract</x:v>
      </x:c>
      <x:c r="J81" s="43" t="str">
        <x:v>Use the stable path to the saved extraction/calculation workbook.</x:v>
      </x:c>
    </x:row>
    <x:row r="82">
      <x:c r="A82" s="43" t="str">
        <x:v>7 – Abramova 2023 identifiers and units</x:v>
      </x:c>
      <x:c r="B82" s="43" t="str">
        <x:v>abramova_2023_biopsy</x:v>
      </x:c>
      <x:c r="C82" s="43" t="str">
        <x:v>es186</x:v>
      </x:c>
      <x:c r="D82" s="43" t="str">
        <x:v>187</x:v>
      </x:c>
      <x:c r="E82" s="43" t="str">
        <x:v>ex_a_id</x:v>
      </x:c>
      <x:c r="F82" s="43" t="str">
        <x:v>PS_f_</x:v>
      </x:c>
      <x:c r="G82" s="43" t="str">
        <x:v>PS_m_</x:v>
      </x:c>
      <x:c r="H82" s="43" t="str">
        <x:v>Corrected transcription</x:v>
      </x:c>
      <x:c r="I82" s="43" t="str">
        <x:v>included_studies/abramova_2023_biopsy/abramova_2023_biopsy_data_calculations.xlsx, Table1_Extract</x:v>
      </x:c>
      <x:c r="J82" s="43" t="str">
        <x:v>Make the exposed identifier agree with the sex in the paired source row.</x:v>
      </x:c>
    </x:row>
    <x:row r="83">
      <x:c r="A83" s="43" t="str">
        <x:v>7 – Abramova 2023 identifiers and units</x:v>
      </x:c>
      <x:c r="B83" s="43" t="str">
        <x:v>abramova_2023_biopsy</x:v>
      </x:c>
      <x:c r="C83" s="43" t="str">
        <x:v>es187</x:v>
      </x:c>
      <x:c r="D83" s="43" t="str">
        <x:v>188</x:v>
      </x:c>
      <x:c r="E83" s="43" t="str">
        <x:v>c_a_id</x:v>
      </x:c>
      <x:c r="F83" s="43" t="str">
        <x:v>KON_m_</x:v>
      </x:c>
      <x:c r="G83" s="43" t="str">
        <x:v>KON_f_</x:v>
      </x:c>
      <x:c r="H83" s="43" t="str">
        <x:v>Corrected transcription</x:v>
      </x:c>
      <x:c r="I83" s="43" t="str">
        <x:v>included_studies/abramova_2023_biopsy/abramova_2023_biopsy_data_calculations.xlsx, Table1_Extract</x:v>
      </x:c>
      <x:c r="J83" s="43" t="str">
        <x:v>Make the control identifier agree with the sex in the paired source row.</x:v>
      </x:c>
    </x:row>
    <x:row r="84">
      <x:c r="A84" s="43" t="str">
        <x:v>7 – Abramova 2023 identifiers and units</x:v>
      </x:c>
      <x:c r="B84" s="43" t="str">
        <x:v>abramova_2023_biopsy</x:v>
      </x:c>
      <x:c r="C84" s="43" t="str">
        <x:v>es187</x:v>
      </x:c>
      <x:c r="D84" s="43" t="str">
        <x:v>188</x:v>
      </x:c>
      <x:c r="E84" s="43" t="str">
        <x:v>comparison</x:v>
      </x:c>
      <x:c r="F84" s="43" t="str">
        <x:v>KON_PS_m_</x:v>
      </x:c>
      <x:c r="G84" s="43" t="str">
        <x:v>KON_PS_f_</x:v>
      </x:c>
      <x:c r="H84" s="43" t="str">
        <x:v>Corrected transcription</x:v>
      </x:c>
      <x:c r="I84" s="43" t="str">
        <x:v>included_studies/abramova_2023_biopsy/abramova_2023_biopsy_data_calculations.xlsx, Table1_Extract</x:v>
      </x:c>
      <x:c r="J84" s="43" t="str">
        <x:v>Make the comparison identifier agree with the sex in the paired source row.</x:v>
      </x:c>
    </x:row>
    <x:row r="85">
      <x:c r="A85" s="43" t="str">
        <x:v>7 – Abramova 2023 identifiers and units</x:v>
      </x:c>
      <x:c r="B85" s="43" t="str">
        <x:v>abramova_2023_biopsy</x:v>
      </x:c>
      <x:c r="C85" s="43" t="str">
        <x:v>es187</x:v>
      </x:c>
      <x:c r="D85" s="43" t="str">
        <x:v>188</x:v>
      </x:c>
      <x:c r="E85" s="43" t="str">
        <x:v>data_file</x:v>
      </x:c>
      <x:c r="F85" s="43" t="str">
        <x:v>abramova_2023_biopsy_data.xlsx</x:v>
      </x:c>
      <x:c r="G85" s="43" t="str">
        <x:v>included_studies/abramova_2023_biopsy/abramova_2023_biopsy_data_calculations.xlsx</x:v>
      </x:c>
      <x:c r="H85" s="43" t="str">
        <x:v>Corrected transcription</x:v>
      </x:c>
      <x:c r="I85" s="43" t="str">
        <x:v>included_studies/abramova_2023_biopsy/abramova_2023_biopsy_data_calculations.xlsx, Table1_Extract</x:v>
      </x:c>
      <x:c r="J85" s="43" t="str">
        <x:v>Use the stable path to the saved extraction/calculation workbook.</x:v>
      </x:c>
    </x:row>
    <x:row r="86">
      <x:c r="A86" s="43" t="str">
        <x:v>7 – Abramova 2023 identifiers and units</x:v>
      </x:c>
      <x:c r="B86" s="43" t="str">
        <x:v>abramova_2023_biopsy</x:v>
      </x:c>
      <x:c r="C86" s="43" t="str">
        <x:v>es187</x:v>
      </x:c>
      <x:c r="D86" s="43" t="str">
        <x:v>188</x:v>
      </x:c>
      <x:c r="E86" s="43" t="str">
        <x:v>ex_a_id</x:v>
      </x:c>
      <x:c r="F86" s="43" t="str">
        <x:v>PS_m_</x:v>
      </x:c>
      <x:c r="G86" s="43" t="str">
        <x:v>PS_f_</x:v>
      </x:c>
      <x:c r="H86" s="43" t="str">
        <x:v>Corrected transcription</x:v>
      </x:c>
      <x:c r="I86" s="43" t="str">
        <x:v>included_studies/abramova_2023_biopsy/abramova_2023_biopsy_data_calculations.xlsx, Table1_Extract</x:v>
      </x:c>
      <x:c r="J86" s="43" t="str">
        <x:v>Make the exposed identifier agree with the sex in the paired source row.</x:v>
      </x:c>
    </x:row>
    <x:row r="87">
      <x:c r="A87" s="43" t="str">
        <x:v>7 – Abramova 2023 identifiers and units</x:v>
      </x:c>
      <x:c r="B87" s="43" t="str">
        <x:v>abramova_2023_biopsy</x:v>
      </x:c>
      <x:c r="C87" s="43" t="str">
        <x:v>es188</x:v>
      </x:c>
      <x:c r="D87" s="43" t="str">
        <x:v>189</x:v>
      </x:c>
      <x:c r="E87" s="43" t="str">
        <x:v>c_a_id</x:v>
      </x:c>
      <x:c r="F87" s="43" t="str">
        <x:v>KON_f_</x:v>
      </x:c>
      <x:c r="G87" s="43" t="str">
        <x:v>KON_m_</x:v>
      </x:c>
      <x:c r="H87" s="43" t="str">
        <x:v>Corrected transcription</x:v>
      </x:c>
      <x:c r="I87" s="43" t="str">
        <x:v>included_studies/abramova_2023_biopsy/abramova_2023_biopsy_data_calculations.xlsx, Table1_Extract</x:v>
      </x:c>
      <x:c r="J87" s="43" t="str">
        <x:v>Make the control identifier agree with the sex in the paired source row.</x:v>
      </x:c>
    </x:row>
    <x:row r="88">
      <x:c r="A88" s="43" t="str">
        <x:v>7 – Abramova 2023 identifiers and units</x:v>
      </x:c>
      <x:c r="B88" s="43" t="str">
        <x:v>abramova_2023_biopsy</x:v>
      </x:c>
      <x:c r="C88" s="43" t="str">
        <x:v>es188</x:v>
      </x:c>
      <x:c r="D88" s="43" t="str">
        <x:v>189</x:v>
      </x:c>
      <x:c r="E88" s="43" t="str">
        <x:v>comparison</x:v>
      </x:c>
      <x:c r="F88" s="43" t="str">
        <x:v>KON_PS_f_</x:v>
      </x:c>
      <x:c r="G88" s="43" t="str">
        <x:v>KON_PS_m_</x:v>
      </x:c>
      <x:c r="H88" s="43" t="str">
        <x:v>Corrected transcription</x:v>
      </x:c>
      <x:c r="I88" s="43" t="str">
        <x:v>included_studies/abramova_2023_biopsy/abramova_2023_biopsy_data_calculations.xlsx, Table1_Extract</x:v>
      </x:c>
      <x:c r="J88" s="43" t="str">
        <x:v>Make the comparison identifier agree with the sex in the paired source row.</x:v>
      </x:c>
    </x:row>
    <x:row r="89">
      <x:c r="A89" s="43" t="str">
        <x:v>7 – Abramova 2023 identifiers and units</x:v>
      </x:c>
      <x:c r="B89" s="43" t="str">
        <x:v>abramova_2023_biopsy</x:v>
      </x:c>
      <x:c r="C89" s="43" t="str">
        <x:v>es188</x:v>
      </x:c>
      <x:c r="D89" s="43" t="str">
        <x:v>189</x:v>
      </x:c>
      <x:c r="E89" s="43" t="str">
        <x:v>data_file</x:v>
      </x:c>
      <x:c r="F89" s="43" t="str">
        <x:v>abramova_2023_biopsy_data.xlsx</x:v>
      </x:c>
      <x:c r="G89" s="43" t="str">
        <x:v>included_studies/abramova_2023_biopsy/abramova_2023_biopsy_data_calculations.xlsx</x:v>
      </x:c>
      <x:c r="H89" s="43" t="str">
        <x:v>Corrected transcription</x:v>
      </x:c>
      <x:c r="I89" s="43" t="str">
        <x:v>included_studies/abramova_2023_biopsy/abramova_2023_biopsy_data_calculations.xlsx, Table1_Extract</x:v>
      </x:c>
      <x:c r="J89" s="43" t="str">
        <x:v>Use the stable path to the saved extraction/calculation workbook.</x:v>
      </x:c>
    </x:row>
    <x:row r="90">
      <x:c r="A90" s="43" t="str">
        <x:v>7 – Abramova 2023 identifiers and units</x:v>
      </x:c>
      <x:c r="B90" s="43" t="str">
        <x:v>abramova_2023_biopsy</x:v>
      </x:c>
      <x:c r="C90" s="43" t="str">
        <x:v>es188</x:v>
      </x:c>
      <x:c r="D90" s="43" t="str">
        <x:v>189</x:v>
      </x:c>
      <x:c r="E90" s="43" t="str">
        <x:v>ex_a_id</x:v>
      </x:c>
      <x:c r="F90" s="43" t="str">
        <x:v>PS_f_</x:v>
      </x:c>
      <x:c r="G90" s="43" t="str">
        <x:v>PS_m_</x:v>
      </x:c>
      <x:c r="H90" s="43" t="str">
        <x:v>Corrected transcription</x:v>
      </x:c>
      <x:c r="I90" s="43" t="str">
        <x:v>included_studies/abramova_2023_biopsy/abramova_2023_biopsy_data_calculations.xlsx, Table1_Extract</x:v>
      </x:c>
      <x:c r="J90" s="43" t="str">
        <x:v>Make the exposed identifier agree with the sex in the paired source row.</x:v>
      </x:c>
    </x:row>
    <x:row r="91">
      <x:c r="A91" s="43" t="str">
        <x:v>7 – Abramova 2023 identifiers and units</x:v>
      </x:c>
      <x:c r="B91" s="43" t="str">
        <x:v>abramova_2023_biopsy</x:v>
      </x:c>
      <x:c r="C91" s="43" t="str">
        <x:v>es189</x:v>
      </x:c>
      <x:c r="D91" s="43" t="str">
        <x:v>190</x:v>
      </x:c>
      <x:c r="E91" s="43" t="str">
        <x:v>c_a_id</x:v>
      </x:c>
      <x:c r="F91" s="43" t="str">
        <x:v>KON_m_</x:v>
      </x:c>
      <x:c r="G91" s="43" t="str">
        <x:v>KON_f_</x:v>
      </x:c>
      <x:c r="H91" s="43" t="str">
        <x:v>Corrected transcription</x:v>
      </x:c>
      <x:c r="I91" s="43" t="str">
        <x:v>included_studies/abramova_2023_biopsy/abramova_2023_biopsy_data_calculations.xlsx, Table1_Extract</x:v>
      </x:c>
      <x:c r="J91" s="43" t="str">
        <x:v>Make the control identifier agree with the sex in the paired source row.</x:v>
      </x:c>
    </x:row>
    <x:row r="92">
      <x:c r="A92" s="43" t="str">
        <x:v>7 – Abramova 2023 identifiers and units</x:v>
      </x:c>
      <x:c r="B92" s="43" t="str">
        <x:v>abramova_2023_biopsy</x:v>
      </x:c>
      <x:c r="C92" s="43" t="str">
        <x:v>es189</x:v>
      </x:c>
      <x:c r="D92" s="43" t="str">
        <x:v>190</x:v>
      </x:c>
      <x:c r="E92" s="43" t="str">
        <x:v>comparison</x:v>
      </x:c>
      <x:c r="F92" s="43" t="str">
        <x:v>KON_PS_m_</x:v>
      </x:c>
      <x:c r="G92" s="43" t="str">
        <x:v>KON_PS_f_</x:v>
      </x:c>
      <x:c r="H92" s="43" t="str">
        <x:v>Corrected transcription</x:v>
      </x:c>
      <x:c r="I92" s="43" t="str">
        <x:v>included_studies/abramova_2023_biopsy/abramova_2023_biopsy_data_calculations.xlsx, Table1_Extract</x:v>
      </x:c>
      <x:c r="J92" s="43" t="str">
        <x:v>Make the comparison identifier agree with the sex in the paired source row.</x:v>
      </x:c>
    </x:row>
    <x:row r="93">
      <x:c r="A93" s="43" t="str">
        <x:v>7 – Abramova 2023 identifiers and units</x:v>
      </x:c>
      <x:c r="B93" s="43" t="str">
        <x:v>abramova_2023_biopsy</x:v>
      </x:c>
      <x:c r="C93" s="43" t="str">
        <x:v>es189</x:v>
      </x:c>
      <x:c r="D93" s="43" t="str">
        <x:v>190</x:v>
      </x:c>
      <x:c r="E93" s="43" t="str">
        <x:v>data_file</x:v>
      </x:c>
      <x:c r="F93" s="43" t="str">
        <x:v>abramova_2023_biopsy_data.xlsx</x:v>
      </x:c>
      <x:c r="G93" s="43" t="str">
        <x:v>included_studies/abramova_2023_biopsy/abramova_2023_biopsy_data_calculations.xlsx</x:v>
      </x:c>
      <x:c r="H93" s="43" t="str">
        <x:v>Corrected transcription</x:v>
      </x:c>
      <x:c r="I93" s="43" t="str">
        <x:v>included_studies/abramova_2023_biopsy/abramova_2023_biopsy_data_calculations.xlsx, Table1_Extract</x:v>
      </x:c>
      <x:c r="J93" s="43" t="str">
        <x:v>Use the stable path to the saved extraction/calculation workbook.</x:v>
      </x:c>
    </x:row>
    <x:row r="94">
      <x:c r="A94" s="43" t="str">
        <x:v>7 – Abramova 2023 identifiers and units</x:v>
      </x:c>
      <x:c r="B94" s="43" t="str">
        <x:v>abramova_2023_biopsy</x:v>
      </x:c>
      <x:c r="C94" s="43" t="str">
        <x:v>es189</x:v>
      </x:c>
      <x:c r="D94" s="43" t="str">
        <x:v>190</x:v>
      </x:c>
      <x:c r="E94" s="43" t="str">
        <x:v>ex_a_id</x:v>
      </x:c>
      <x:c r="F94" s="43" t="str">
        <x:v>PS_m_</x:v>
      </x:c>
      <x:c r="G94" s="43" t="str">
        <x:v>PS_f_</x:v>
      </x:c>
      <x:c r="H94" s="43" t="str">
        <x:v>Corrected transcription</x:v>
      </x:c>
      <x:c r="I94" s="43" t="str">
        <x:v>included_studies/abramova_2023_biopsy/abramova_2023_biopsy_data_calculations.xlsx, Table1_Extract</x:v>
      </x:c>
      <x:c r="J94" s="43" t="str">
        <x:v>Make the exposed identifier agree with the sex in the paired source row.</x:v>
      </x:c>
    </x:row>
    <x:row r="95">
      <x:c r="A95" s="43" t="str">
        <x:v>7 – Abramova 2023 identifiers and units</x:v>
      </x:c>
      <x:c r="B95" s="43" t="str">
        <x:v>abramova_2023_biopsy</x:v>
      </x:c>
      <x:c r="C95" s="43" t="str">
        <x:v>es190</x:v>
      </x:c>
      <x:c r="D95" s="43" t="str">
        <x:v>191</x:v>
      </x:c>
      <x:c r="E95" s="43" t="str">
        <x:v>c_a_id</x:v>
      </x:c>
      <x:c r="F95" s="43" t="str">
        <x:v>KON_f_</x:v>
      </x:c>
      <x:c r="G95" s="43" t="str">
        <x:v>KON_m_</x:v>
      </x:c>
      <x:c r="H95" s="43" t="str">
        <x:v>Corrected transcription</x:v>
      </x:c>
      <x:c r="I95" s="43" t="str">
        <x:v>included_studies/abramova_2023_biopsy/abramova_2023_biopsy_data_calculations.xlsx, Table1_Extract</x:v>
      </x:c>
      <x:c r="J95" s="43" t="str">
        <x:v>Make the control identifier agree with the sex in the paired source row.</x:v>
      </x:c>
    </x:row>
    <x:row r="96">
      <x:c r="A96" s="43" t="str">
        <x:v>7 – Abramova 2023 identifiers and units</x:v>
      </x:c>
      <x:c r="B96" s="43" t="str">
        <x:v>abramova_2023_biopsy</x:v>
      </x:c>
      <x:c r="C96" s="43" t="str">
        <x:v>es190</x:v>
      </x:c>
      <x:c r="D96" s="43" t="str">
        <x:v>191</x:v>
      </x:c>
      <x:c r="E96" s="43" t="str">
        <x:v>comparison</x:v>
      </x:c>
      <x:c r="F96" s="43" t="str">
        <x:v>KON_PS_f_</x:v>
      </x:c>
      <x:c r="G96" s="43" t="str">
        <x:v>KON_PS_m_</x:v>
      </x:c>
      <x:c r="H96" s="43" t="str">
        <x:v>Corrected transcription</x:v>
      </x:c>
      <x:c r="I96" s="43" t="str">
        <x:v>included_studies/abramova_2023_biopsy/abramova_2023_biopsy_data_calculations.xlsx, Table1_Extract</x:v>
      </x:c>
      <x:c r="J96" s="43" t="str">
        <x:v>Make the comparison identifier agree with the sex in the paired source row.</x:v>
      </x:c>
    </x:row>
    <x:row r="97">
      <x:c r="A97" s="43" t="str">
        <x:v>7 – Abramova 2023 identifiers and units</x:v>
      </x:c>
      <x:c r="B97" s="43" t="str">
        <x:v>abramova_2023_biopsy</x:v>
      </x:c>
      <x:c r="C97" s="43" t="str">
        <x:v>es190</x:v>
      </x:c>
      <x:c r="D97" s="43" t="str">
        <x:v>191</x:v>
      </x:c>
      <x:c r="E97" s="43" t="str">
        <x:v>data_file</x:v>
      </x:c>
      <x:c r="F97" s="43" t="str">
        <x:v>abramova_2023_biopsy_data.xlsx</x:v>
      </x:c>
      <x:c r="G97" s="43" t="str">
        <x:v>included_studies/abramova_2023_biopsy/abramova_2023_biopsy_data_calculations.xlsx</x:v>
      </x:c>
      <x:c r="H97" s="43" t="str">
        <x:v>Corrected transcription</x:v>
      </x:c>
      <x:c r="I97" s="43" t="str">
        <x:v>included_studies/abramova_2023_biopsy/abramova_2023_biopsy_data_calculations.xlsx, Table1_Extract</x:v>
      </x:c>
      <x:c r="J97" s="43" t="str">
        <x:v>Use the stable path to the saved extraction/calculation workbook.</x:v>
      </x:c>
    </x:row>
    <x:row r="98">
      <x:c r="A98" s="43" t="str">
        <x:v>7 – Abramova 2023 identifiers and units</x:v>
      </x:c>
      <x:c r="B98" s="43" t="str">
        <x:v>abramova_2023_biopsy</x:v>
      </x:c>
      <x:c r="C98" s="43" t="str">
        <x:v>es190</x:v>
      </x:c>
      <x:c r="D98" s="43" t="str">
        <x:v>191</x:v>
      </x:c>
      <x:c r="E98" s="43" t="str">
        <x:v>ex_a_id</x:v>
      </x:c>
      <x:c r="F98" s="43" t="str">
        <x:v>PS_f_</x:v>
      </x:c>
      <x:c r="G98" s="43" t="str">
        <x:v>PS_m_</x:v>
      </x:c>
      <x:c r="H98" s="43" t="str">
        <x:v>Corrected transcription</x:v>
      </x:c>
      <x:c r="I98" s="43" t="str">
        <x:v>included_studies/abramova_2023_biopsy/abramova_2023_biopsy_data_calculations.xlsx, Table1_Extract</x:v>
      </x:c>
      <x:c r="J98" s="43" t="str">
        <x:v>Make the exposed identifier agree with the sex in the paired source row.</x:v>
      </x:c>
    </x:row>
    <x:row r="99">
      <x:c r="A99" s="43" t="str">
        <x:v>7 – Abramova 2023 identifiers and units</x:v>
      </x:c>
      <x:c r="B99" s="43" t="str">
        <x:v>abramova_2023_biopsy</x:v>
      </x:c>
      <x:c r="C99" s="43" t="str">
        <x:v>es191</x:v>
      </x:c>
      <x:c r="D99" s="43" t="str">
        <x:v>192</x:v>
      </x:c>
      <x:c r="E99" s="43" t="str">
        <x:v>c_a_id</x:v>
      </x:c>
      <x:c r="F99" s="43" t="str">
        <x:v>KON_m_</x:v>
      </x:c>
      <x:c r="G99" s="43" t="str">
        <x:v>KON_f_</x:v>
      </x:c>
      <x:c r="H99" s="43" t="str">
        <x:v>Corrected transcription</x:v>
      </x:c>
      <x:c r="I99" s="43" t="str">
        <x:v>included_studies/abramova_2023_biopsy/abramova_2023_biopsy_data_calculations.xlsx, Table1_Extract</x:v>
      </x:c>
      <x:c r="J99" s="43" t="str">
        <x:v>Make the control identifier agree with the sex in the paired source row.</x:v>
      </x:c>
    </x:row>
    <x:row r="100">
      <x:c r="A100" s="43" t="str">
        <x:v>7 – Abramova 2023 identifiers and units</x:v>
      </x:c>
      <x:c r="B100" s="43" t="str">
        <x:v>abramova_2023_biopsy</x:v>
      </x:c>
      <x:c r="C100" s="43" t="str">
        <x:v>es191</x:v>
      </x:c>
      <x:c r="D100" s="43" t="str">
        <x:v>192</x:v>
      </x:c>
      <x:c r="E100" s="43" t="str">
        <x:v>comparison</x:v>
      </x:c>
      <x:c r="F100" s="43" t="str">
        <x:v>KON_PS_m_</x:v>
      </x:c>
      <x:c r="G100" s="43" t="str">
        <x:v>KON_PS_f_</x:v>
      </x:c>
      <x:c r="H100" s="43" t="str">
        <x:v>Corrected transcription</x:v>
      </x:c>
      <x:c r="I100" s="43" t="str">
        <x:v>included_studies/abramova_2023_biopsy/abramova_2023_biopsy_data_calculations.xlsx, Table1_Extract</x:v>
      </x:c>
      <x:c r="J100" s="43" t="str">
        <x:v>Make the comparison identifier agree with the sex in the paired source row.</x:v>
      </x:c>
    </x:row>
    <x:row r="101">
      <x:c r="A101" s="43" t="str">
        <x:v>7 – Abramova 2023 identifiers and units</x:v>
      </x:c>
      <x:c r="B101" s="43" t="str">
        <x:v>abramova_2023_biopsy</x:v>
      </x:c>
      <x:c r="C101" s="43" t="str">
        <x:v>es191</x:v>
      </x:c>
      <x:c r="D101" s="43" t="str">
        <x:v>192</x:v>
      </x:c>
      <x:c r="E101" s="43" t="str">
        <x:v>data_file</x:v>
      </x:c>
      <x:c r="F101" s="43" t="str">
        <x:v>abramova_2023_biopsy_data.xlsx</x:v>
      </x:c>
      <x:c r="G101" s="43" t="str">
        <x:v>included_studies/abramova_2023_biopsy/abramova_2023_biopsy_data_calculations.xlsx</x:v>
      </x:c>
      <x:c r="H101" s="43" t="str">
        <x:v>Corrected transcription</x:v>
      </x:c>
      <x:c r="I101" s="43" t="str">
        <x:v>included_studies/abramova_2023_biopsy/abramova_2023_biopsy_data_calculations.xlsx, Table1_Extract</x:v>
      </x:c>
      <x:c r="J101" s="43" t="str">
        <x:v>Use the stable path to the saved extraction/calculation workbook.</x:v>
      </x:c>
    </x:row>
    <x:row r="102">
      <x:c r="A102" s="43" t="str">
        <x:v>7 – Abramova 2023 identifiers and units</x:v>
      </x:c>
      <x:c r="B102" s="43" t="str">
        <x:v>abramova_2023_biopsy</x:v>
      </x:c>
      <x:c r="C102" s="43" t="str">
        <x:v>es191</x:v>
      </x:c>
      <x:c r="D102" s="43" t="str">
        <x:v>192</x:v>
      </x:c>
      <x:c r="E102" s="43" t="str">
        <x:v>ex_a_id</x:v>
      </x:c>
      <x:c r="F102" s="43" t="str">
        <x:v>PS_m_</x:v>
      </x:c>
      <x:c r="G102" s="43" t="str">
        <x:v>PS_f_</x:v>
      </x:c>
      <x:c r="H102" s="43" t="str">
        <x:v>Corrected transcription</x:v>
      </x:c>
      <x:c r="I102" s="43" t="str">
        <x:v>included_studies/abramova_2023_biopsy/abramova_2023_biopsy_data_calculations.xlsx, Table1_Extract</x:v>
      </x:c>
      <x:c r="J102" s="43" t="str">
        <x:v>Make the exposed identifier agree with the sex in the paired source row.</x:v>
      </x:c>
    </x:row>
    <x:row r="103">
      <x:c r="A103" s="43" t="str">
        <x:v>7 – Abramova 2023 identifiers and units</x:v>
      </x:c>
      <x:c r="B103" s="43" t="str">
        <x:v>abramova_2023_biopsy</x:v>
      </x:c>
      <x:c r="C103" s="43" t="str">
        <x:v>es192</x:v>
      </x:c>
      <x:c r="D103" s="43" t="str">
        <x:v>193</x:v>
      </x:c>
      <x:c r="E103" s="43" t="str">
        <x:v>c_a_id</x:v>
      </x:c>
      <x:c r="F103" s="43" t="str">
        <x:v>KON_f_</x:v>
      </x:c>
      <x:c r="G103" s="43" t="str">
        <x:v>KON_m_</x:v>
      </x:c>
      <x:c r="H103" s="43" t="str">
        <x:v>Corrected transcription</x:v>
      </x:c>
      <x:c r="I103" s="43" t="str">
        <x:v>included_studies/abramova_2023_biopsy/abramova_2023_biopsy_data_calculations.xlsx, Table1_Extract</x:v>
      </x:c>
      <x:c r="J103" s="43" t="str">
        <x:v>Make the control identifier agree with the sex in the paired source row.</x:v>
      </x:c>
    </x:row>
    <x:row r="104">
      <x:c r="A104" s="43" t="str">
        <x:v>7 – Abramova 2023 identifiers and units</x:v>
      </x:c>
      <x:c r="B104" s="43" t="str">
        <x:v>abramova_2023_biopsy</x:v>
      </x:c>
      <x:c r="C104" s="43" t="str">
        <x:v>es192</x:v>
      </x:c>
      <x:c r="D104" s="43" t="str">
        <x:v>193</x:v>
      </x:c>
      <x:c r="E104" s="43" t="str">
        <x:v>comparison</x:v>
      </x:c>
      <x:c r="F104" s="43" t="str">
        <x:v>KON_PS_f_</x:v>
      </x:c>
      <x:c r="G104" s="43" t="str">
        <x:v>KON_PS_m_</x:v>
      </x:c>
      <x:c r="H104" s="43" t="str">
        <x:v>Corrected transcription</x:v>
      </x:c>
      <x:c r="I104" s="43" t="str">
        <x:v>included_studies/abramova_2023_biopsy/abramova_2023_biopsy_data_calculations.xlsx, Table1_Extract</x:v>
      </x:c>
      <x:c r="J104" s="43" t="str">
        <x:v>Make the comparison identifier agree with the sex in the paired source row.</x:v>
      </x:c>
    </x:row>
    <x:row r="105">
      <x:c r="A105" s="43" t="str">
        <x:v>7 – Abramova 2023 identifiers and units</x:v>
      </x:c>
      <x:c r="B105" s="43" t="str">
        <x:v>abramova_2023_biopsy</x:v>
      </x:c>
      <x:c r="C105" s="43" t="str">
        <x:v>es192</x:v>
      </x:c>
      <x:c r="D105" s="43" t="str">
        <x:v>193</x:v>
      </x:c>
      <x:c r="E105" s="43" t="str">
        <x:v>data_file</x:v>
      </x:c>
      <x:c r="F105" s="43" t="str">
        <x:v>abramova_2023_biopsy_data.xlsx</x:v>
      </x:c>
      <x:c r="G105" s="43" t="str">
        <x:v>included_studies/abramova_2023_biopsy/abramova_2023_biopsy_data_calculations.xlsx</x:v>
      </x:c>
      <x:c r="H105" s="43" t="str">
        <x:v>Corrected transcription</x:v>
      </x:c>
      <x:c r="I105" s="43" t="str">
        <x:v>included_studies/abramova_2023_biopsy/abramova_2023_biopsy_data_calculations.xlsx, Table1_Extract</x:v>
      </x:c>
      <x:c r="J105" s="43" t="str">
        <x:v>Use the stable path to the saved extraction/calculation workbook.</x:v>
      </x:c>
    </x:row>
    <x:row r="106">
      <x:c r="A106" s="43" t="str">
        <x:v>7 – Abramova 2023 identifiers and units</x:v>
      </x:c>
      <x:c r="B106" s="43" t="str">
        <x:v>abramova_2023_biopsy</x:v>
      </x:c>
      <x:c r="C106" s="43" t="str">
        <x:v>es192</x:v>
      </x:c>
      <x:c r="D106" s="43" t="str">
        <x:v>193</x:v>
      </x:c>
      <x:c r="E106" s="43" t="str">
        <x:v>ex_a_id</x:v>
      </x:c>
      <x:c r="F106" s="43" t="str">
        <x:v>PS_f_</x:v>
      </x:c>
      <x:c r="G106" s="43" t="str">
        <x:v>PS_m_</x:v>
      </x:c>
      <x:c r="H106" s="43" t="str">
        <x:v>Corrected transcription</x:v>
      </x:c>
      <x:c r="I106" s="43" t="str">
        <x:v>included_studies/abramova_2023_biopsy/abramova_2023_biopsy_data_calculations.xlsx, Table1_Extract</x:v>
      </x:c>
      <x:c r="J106" s="43" t="str">
        <x:v>Make the exposed identifier agree with the sex in the paired source row.</x:v>
      </x:c>
    </x:row>
    <x:row r="107">
      <x:c r="A107" s="43" t="str">
        <x:v>7 – Abramova 2023 identifiers and units</x:v>
      </x:c>
      <x:c r="B107" s="43" t="str">
        <x:v>abramova_2023_biopsy</x:v>
      </x:c>
      <x:c r="C107" s="43" t="str">
        <x:v>es193</x:v>
      </x:c>
      <x:c r="D107" s="43" t="str">
        <x:v>194</x:v>
      </x:c>
      <x:c r="E107" s="43" t="str">
        <x:v>c_a_id</x:v>
      </x:c>
      <x:c r="F107" s="43" t="str">
        <x:v>KON_m_</x:v>
      </x:c>
      <x:c r="G107" s="43" t="str">
        <x:v>KON_f_</x:v>
      </x:c>
      <x:c r="H107" s="43" t="str">
        <x:v>Corrected transcription</x:v>
      </x:c>
      <x:c r="I107" s="43" t="str">
        <x:v>included_studies/abramova_2023_biopsy/abramova_2023_biopsy_data_calculations.xlsx, Table1_Extract</x:v>
      </x:c>
      <x:c r="J107" s="43" t="str">
        <x:v>Make the control identifier agree with the sex in the paired source row.</x:v>
      </x:c>
    </x:row>
    <x:row r="108">
      <x:c r="A108" s="43" t="str">
        <x:v>7 – Abramova 2023 identifiers and units</x:v>
      </x:c>
      <x:c r="B108" s="43" t="str">
        <x:v>abramova_2023_biopsy</x:v>
      </x:c>
      <x:c r="C108" s="43" t="str">
        <x:v>es193</x:v>
      </x:c>
      <x:c r="D108" s="43" t="str">
        <x:v>194</x:v>
      </x:c>
      <x:c r="E108" s="43" t="str">
        <x:v>comparison</x:v>
      </x:c>
      <x:c r="F108" s="43" t="str">
        <x:v>KON_PS_m_</x:v>
      </x:c>
      <x:c r="G108" s="43" t="str">
        <x:v>KON_PS_f_</x:v>
      </x:c>
      <x:c r="H108" s="43" t="str">
        <x:v>Corrected transcription</x:v>
      </x:c>
      <x:c r="I108" s="43" t="str">
        <x:v>included_studies/abramova_2023_biopsy/abramova_2023_biopsy_data_calculations.xlsx, Table1_Extract</x:v>
      </x:c>
      <x:c r="J108" s="43" t="str">
        <x:v>Make the comparison identifier agree with the sex in the paired source row.</x:v>
      </x:c>
    </x:row>
    <x:row r="109">
      <x:c r="A109" s="43" t="str">
        <x:v>7 – Abramova 2023 identifiers and units</x:v>
      </x:c>
      <x:c r="B109" s="43" t="str">
        <x:v>abramova_2023_biopsy</x:v>
      </x:c>
      <x:c r="C109" s="43" t="str">
        <x:v>es193</x:v>
      </x:c>
      <x:c r="D109" s="43" t="str">
        <x:v>194</x:v>
      </x:c>
      <x:c r="E109" s="43" t="str">
        <x:v>data_file</x:v>
      </x:c>
      <x:c r="F109" s="43" t="str">
        <x:v>abramova_2023_biopsy_data.xlsx</x:v>
      </x:c>
      <x:c r="G109" s="43" t="str">
        <x:v>included_studies/abramova_2023_biopsy/abramova_2023_biopsy_data_calculations.xlsx</x:v>
      </x:c>
      <x:c r="H109" s="43" t="str">
        <x:v>Corrected transcription</x:v>
      </x:c>
      <x:c r="I109" s="43" t="str">
        <x:v>included_studies/abramova_2023_biopsy/abramova_2023_biopsy_data_calculations.xlsx, Table1_Extract</x:v>
      </x:c>
      <x:c r="J109" s="43" t="str">
        <x:v>Use the stable path to the saved extraction/calculation workbook.</x:v>
      </x:c>
    </x:row>
    <x:row r="110">
      <x:c r="A110" s="43" t="str">
        <x:v>7 – Abramova 2023 identifiers and units</x:v>
      </x:c>
      <x:c r="B110" s="43" t="str">
        <x:v>abramova_2023_biopsy</x:v>
      </x:c>
      <x:c r="C110" s="43" t="str">
        <x:v>es193</x:v>
      </x:c>
      <x:c r="D110" s="43" t="str">
        <x:v>194</x:v>
      </x:c>
      <x:c r="E110" s="43" t="str">
        <x:v>ex_a_id</x:v>
      </x:c>
      <x:c r="F110" s="43" t="str">
        <x:v>PS_m_</x:v>
      </x:c>
      <x:c r="G110" s="43" t="str">
        <x:v>PS_f_</x:v>
      </x:c>
      <x:c r="H110" s="43" t="str">
        <x:v>Corrected transcription</x:v>
      </x:c>
      <x:c r="I110" s="43" t="str">
        <x:v>included_studies/abramova_2023_biopsy/abramova_2023_biopsy_data_calculations.xlsx, Table1_Extract</x:v>
      </x:c>
      <x:c r="J110" s="43" t="str">
        <x:v>Make the exposed identifier agree with the sex in the paired source row.</x:v>
      </x:c>
    </x:row>
    <x:row r="111">
      <x:c r="A111" s="43" t="str">
        <x:v>7 – Abramova 2023 identifiers and units</x:v>
      </x:c>
      <x:c r="B111" s="43" t="str">
        <x:v>abramova_2023_biopsy</x:v>
      </x:c>
      <x:c r="C111" s="43" t="str">
        <x:v>es194</x:v>
      </x:c>
      <x:c r="D111" s="43" t="str">
        <x:v>195</x:v>
      </x:c>
      <x:c r="E111" s="43" t="str">
        <x:v>c_a_id</x:v>
      </x:c>
      <x:c r="F111" s="43" t="str">
        <x:v>KON_f_</x:v>
      </x:c>
      <x:c r="G111" s="43" t="str">
        <x:v>KON_m_</x:v>
      </x:c>
      <x:c r="H111" s="43" t="str">
        <x:v>Corrected transcription</x:v>
      </x:c>
      <x:c r="I111" s="43" t="str">
        <x:v>included_studies/abramova_2023_biopsy/abramova_2023_biopsy_data_calculations.xlsx, Table1_Extract</x:v>
      </x:c>
      <x:c r="J111" s="43" t="str">
        <x:v>Make the control identifier agree with the sex in the paired source row.</x:v>
      </x:c>
    </x:row>
    <x:row r="112">
      <x:c r="A112" s="43" t="str">
        <x:v>7 – Abramova 2023 identifiers and units</x:v>
      </x:c>
      <x:c r="B112" s="43" t="str">
        <x:v>abramova_2023_biopsy</x:v>
      </x:c>
      <x:c r="C112" s="43" t="str">
        <x:v>es194</x:v>
      </x:c>
      <x:c r="D112" s="43" t="str">
        <x:v>195</x:v>
      </x:c>
      <x:c r="E112" s="43" t="str">
        <x:v>comparison</x:v>
      </x:c>
      <x:c r="F112" s="43" t="str">
        <x:v>KON_PS_f_</x:v>
      </x:c>
      <x:c r="G112" s="43" t="str">
        <x:v>KON_PS_m_</x:v>
      </x:c>
      <x:c r="H112" s="43" t="str">
        <x:v>Corrected transcription</x:v>
      </x:c>
      <x:c r="I112" s="43" t="str">
        <x:v>included_studies/abramova_2023_biopsy/abramova_2023_biopsy_data_calculations.xlsx, Table1_Extract</x:v>
      </x:c>
      <x:c r="J112" s="43" t="str">
        <x:v>Make the comparison identifier agree with the sex in the paired source row.</x:v>
      </x:c>
    </x:row>
    <x:row r="113">
      <x:c r="A113" s="43" t="str">
        <x:v>7 – Abramova 2023 identifiers and units</x:v>
      </x:c>
      <x:c r="B113" s="43" t="str">
        <x:v>abramova_2023_biopsy</x:v>
      </x:c>
      <x:c r="C113" s="43" t="str">
        <x:v>es194</x:v>
      </x:c>
      <x:c r="D113" s="43" t="str">
        <x:v>195</x:v>
      </x:c>
      <x:c r="E113" s="43" t="str">
        <x:v>data_file</x:v>
      </x:c>
      <x:c r="F113" s="43" t="str">
        <x:v>abramova_2023_biopsy_data.xlsx</x:v>
      </x:c>
      <x:c r="G113" s="43" t="str">
        <x:v>included_studies/abramova_2023_biopsy/abramova_2023_biopsy_data_calculations.xlsx</x:v>
      </x:c>
      <x:c r="H113" s="43" t="str">
        <x:v>Corrected transcription</x:v>
      </x:c>
      <x:c r="I113" s="43" t="str">
        <x:v>included_studies/abramova_2023_biopsy/abramova_2023_biopsy_data_calculations.xlsx, Table1_Extract</x:v>
      </x:c>
      <x:c r="J113" s="43" t="str">
        <x:v>Use the stable path to the saved extraction/calculation workbook.</x:v>
      </x:c>
    </x:row>
    <x:row r="114">
      <x:c r="A114" s="43" t="str">
        <x:v>7 – Abramova 2023 identifiers and units</x:v>
      </x:c>
      <x:c r="B114" s="43" t="str">
        <x:v>abramova_2023_biopsy</x:v>
      </x:c>
      <x:c r="C114" s="43" t="str">
        <x:v>es194</x:v>
      </x:c>
      <x:c r="D114" s="43" t="str">
        <x:v>195</x:v>
      </x:c>
      <x:c r="E114" s="43" t="str">
        <x:v>ex_a_id</x:v>
      </x:c>
      <x:c r="F114" s="43" t="str">
        <x:v>PS_f_</x:v>
      </x:c>
      <x:c r="G114" s="43" t="str">
        <x:v>PS_m_</x:v>
      </x:c>
      <x:c r="H114" s="43" t="str">
        <x:v>Corrected transcription</x:v>
      </x:c>
      <x:c r="I114" s="43" t="str">
        <x:v>included_studies/abramova_2023_biopsy/abramova_2023_biopsy_data_calculations.xlsx, Table1_Extract</x:v>
      </x:c>
      <x:c r="J114" s="43" t="str">
        <x:v>Make the exposed identifier agree with the sex in the paired source row.</x:v>
      </x:c>
    </x:row>
    <x:row r="115">
      <x:c r="A115" s="43" t="str">
        <x:v>7 – Abramova 2023 identifiers and units</x:v>
      </x:c>
      <x:c r="B115" s="43" t="str">
        <x:v>abramova_2023_biopsy</x:v>
      </x:c>
      <x:c r="C115" s="43" t="str">
        <x:v>es195</x:v>
      </x:c>
      <x:c r="D115" s="43" t="str">
        <x:v>196</x:v>
      </x:c>
      <x:c r="E115" s="43" t="str">
        <x:v>c_a_id</x:v>
      </x:c>
      <x:c r="F115" s="43" t="str">
        <x:v>KON_m_</x:v>
      </x:c>
      <x:c r="G115" s="43" t="str">
        <x:v>KON_f_</x:v>
      </x:c>
      <x:c r="H115" s="43" t="str">
        <x:v>Corrected transcription</x:v>
      </x:c>
      <x:c r="I115" s="43" t="str">
        <x:v>included_studies/abramova_2023_biopsy/abramova_2023_biopsy_data_calculations.xlsx, Table1_Extract</x:v>
      </x:c>
      <x:c r="J115" s="43" t="str">
        <x:v>Make the control identifier agree with the sex in the paired source row.</x:v>
      </x:c>
    </x:row>
    <x:row r="116">
      <x:c r="A116" s="43" t="str">
        <x:v>7 – Abramova 2023 identifiers and units</x:v>
      </x:c>
      <x:c r="B116" s="43" t="str">
        <x:v>abramova_2023_biopsy</x:v>
      </x:c>
      <x:c r="C116" s="43" t="str">
        <x:v>es195</x:v>
      </x:c>
      <x:c r="D116" s="43" t="str">
        <x:v>196</x:v>
      </x:c>
      <x:c r="E116" s="43" t="str">
        <x:v>comparison</x:v>
      </x:c>
      <x:c r="F116" s="43" t="str">
        <x:v>KON_PS_m_</x:v>
      </x:c>
      <x:c r="G116" s="43" t="str">
        <x:v>KON_PS_f_</x:v>
      </x:c>
      <x:c r="H116" s="43" t="str">
        <x:v>Corrected transcription</x:v>
      </x:c>
      <x:c r="I116" s="43" t="str">
        <x:v>included_studies/abramova_2023_biopsy/abramova_2023_biopsy_data_calculations.xlsx, Table1_Extract</x:v>
      </x:c>
      <x:c r="J116" s="43" t="str">
        <x:v>Make the comparison identifier agree with the sex in the paired source row.</x:v>
      </x:c>
    </x:row>
    <x:row r="117">
      <x:c r="A117" s="43" t="str">
        <x:v>7 – Abramova 2023 identifiers and units</x:v>
      </x:c>
      <x:c r="B117" s="43" t="str">
        <x:v>abramova_2023_biopsy</x:v>
      </x:c>
      <x:c r="C117" s="43" t="str">
        <x:v>es195</x:v>
      </x:c>
      <x:c r="D117" s="43" t="str">
        <x:v>196</x:v>
      </x:c>
      <x:c r="E117" s="43" t="str">
        <x:v>data_file</x:v>
      </x:c>
      <x:c r="F117" s="43" t="str">
        <x:v>abramova_2023_biopsy_data.xlsx</x:v>
      </x:c>
      <x:c r="G117" s="43" t="str">
        <x:v>included_studies/abramova_2023_biopsy/abramova_2023_biopsy_data_calculations.xlsx</x:v>
      </x:c>
      <x:c r="H117" s="43" t="str">
        <x:v>Corrected transcription</x:v>
      </x:c>
      <x:c r="I117" s="43" t="str">
        <x:v>included_studies/abramova_2023_biopsy/abramova_2023_biopsy_data_calculations.xlsx, Table1_Extract</x:v>
      </x:c>
      <x:c r="J117" s="43" t="str">
        <x:v>Use the stable path to the saved extraction/calculation workbook.</x:v>
      </x:c>
    </x:row>
    <x:row r="118">
      <x:c r="A118" s="43" t="str">
        <x:v>7 – Abramova 2023 identifiers and units</x:v>
      </x:c>
      <x:c r="B118" s="43" t="str">
        <x:v>abramova_2023_biopsy</x:v>
      </x:c>
      <x:c r="C118" s="43" t="str">
        <x:v>es195</x:v>
      </x:c>
      <x:c r="D118" s="43" t="str">
        <x:v>196</x:v>
      </x:c>
      <x:c r="E118" s="43" t="str">
        <x:v>ex_a_id</x:v>
      </x:c>
      <x:c r="F118" s="43" t="str">
        <x:v>PS_m_</x:v>
      </x:c>
      <x:c r="G118" s="43" t="str">
        <x:v>PS_f_</x:v>
      </x:c>
      <x:c r="H118" s="43" t="str">
        <x:v>Corrected transcription</x:v>
      </x:c>
      <x:c r="I118" s="43" t="str">
        <x:v>included_studies/abramova_2023_biopsy/abramova_2023_biopsy_data_calculations.xlsx, Table1_Extract</x:v>
      </x:c>
      <x:c r="J118" s="43" t="str">
        <x:v>Make the exposed identifier agree with the sex in the paired source row.</x:v>
      </x:c>
    </x:row>
    <x:row r="119">
      <x:c r="A119" s="43" t="str">
        <x:v>7 – Abramova 2023 identifiers and units</x:v>
      </x:c>
      <x:c r="B119" s="43" t="str">
        <x:v>abramova_2023_biopsy</x:v>
      </x:c>
      <x:c r="C119" s="43" t="str">
        <x:v>es196</x:v>
      </x:c>
      <x:c r="D119" s="43" t="str">
        <x:v>197</x:v>
      </x:c>
      <x:c r="E119" s="43" t="str">
        <x:v>c_a_id</x:v>
      </x:c>
      <x:c r="F119" s="43" t="str">
        <x:v>KON_f_</x:v>
      </x:c>
      <x:c r="G119" s="43" t="str">
        <x:v>KON_m_</x:v>
      </x:c>
      <x:c r="H119" s="43" t="str">
        <x:v>Corrected transcription</x:v>
      </x:c>
      <x:c r="I119" s="43" t="str">
        <x:v>included_studies/abramova_2023_biopsy/abramova_2023_biopsy_data_calculations.xlsx, Table1_Extract</x:v>
      </x:c>
      <x:c r="J119" s="43" t="str">
        <x:v>Make the control identifier agree with the sex in the paired source row.</x:v>
      </x:c>
    </x:row>
    <x:row r="120">
      <x:c r="A120" s="43" t="str">
        <x:v>7 – Abramova 2023 identifiers and units</x:v>
      </x:c>
      <x:c r="B120" s="43" t="str">
        <x:v>abramova_2023_biopsy</x:v>
      </x:c>
      <x:c r="C120" s="43" t="str">
        <x:v>es196</x:v>
      </x:c>
      <x:c r="D120" s="43" t="str">
        <x:v>197</x:v>
      </x:c>
      <x:c r="E120" s="43" t="str">
        <x:v>comparison</x:v>
      </x:c>
      <x:c r="F120" s="43" t="str">
        <x:v>KON_PS_f_</x:v>
      </x:c>
      <x:c r="G120" s="43" t="str">
        <x:v>KON_PS_m_</x:v>
      </x:c>
      <x:c r="H120" s="43" t="str">
        <x:v>Corrected transcription</x:v>
      </x:c>
      <x:c r="I120" s="43" t="str">
        <x:v>included_studies/abramova_2023_biopsy/abramova_2023_biopsy_data_calculations.xlsx, Table1_Extract</x:v>
      </x:c>
      <x:c r="J120" s="43" t="str">
        <x:v>Make the comparison identifier agree with the sex in the paired source row.</x:v>
      </x:c>
    </x:row>
    <x:row r="121">
      <x:c r="A121" s="43" t="str">
        <x:v>7 – Abramova 2023 identifiers and units</x:v>
      </x:c>
      <x:c r="B121" s="43" t="str">
        <x:v>abramova_2023_biopsy</x:v>
      </x:c>
      <x:c r="C121" s="43" t="str">
        <x:v>es196</x:v>
      </x:c>
      <x:c r="D121" s="43" t="str">
        <x:v>197</x:v>
      </x:c>
      <x:c r="E121" s="43" t="str">
        <x:v>data_file</x:v>
      </x:c>
      <x:c r="F121" s="43" t="str">
        <x:v>abramova_2023_biopsy_data.xlsx</x:v>
      </x:c>
      <x:c r="G121" s="43" t="str">
        <x:v>included_studies/abramova_2023_biopsy/abramova_2023_biopsy_data_calculations.xlsx</x:v>
      </x:c>
      <x:c r="H121" s="43" t="str">
        <x:v>Corrected transcription</x:v>
      </x:c>
      <x:c r="I121" s="43" t="str">
        <x:v>included_studies/abramova_2023_biopsy/abramova_2023_biopsy_data_calculations.xlsx, Table1_Extract</x:v>
      </x:c>
      <x:c r="J121" s="43" t="str">
        <x:v>Use the stable path to the saved extraction/calculation workbook.</x:v>
      </x:c>
    </x:row>
    <x:row r="122">
      <x:c r="A122" s="43" t="str">
        <x:v>7 – Abramova 2023 identifiers and units</x:v>
      </x:c>
      <x:c r="B122" s="43" t="str">
        <x:v>abramova_2023_biopsy</x:v>
      </x:c>
      <x:c r="C122" s="43" t="str">
        <x:v>es196</x:v>
      </x:c>
      <x:c r="D122" s="43" t="str">
        <x:v>197</x:v>
      </x:c>
      <x:c r="E122" s="43" t="str">
        <x:v>data_type</x:v>
      </x:c>
      <x:c r="F122" s="43" t="str">
        <x:v>Percentage</x:v>
      </x:c>
      <x:c r="G122" s="43" t="str">
        <x:v>Time</x:v>
      </x:c>
      <x:c r="H122" s="43" t="str">
        <x:v>Corrected transcription</x:v>
      </x:c>
      <x:c r="I122" s="43" t="str">
        <x:v>included_studies/abramova_2023_biopsy/abramova_2023_biopsy_data_calculations.xlsx, Table1_Extract</x:v>
      </x:c>
      <x:c r="J122" s="43" t="str">
        <x:v>Mean grooming duration is a duration, not a percentage.</x:v>
      </x:c>
    </x:row>
    <x:row r="123">
      <x:c r="A123" s="43" t="str">
        <x:v>7 – Abramova 2023 identifiers and units</x:v>
      </x:c>
      <x:c r="B123" s="43" t="str">
        <x:v>abramova_2023_biopsy</x:v>
      </x:c>
      <x:c r="C123" s="43" t="str">
        <x:v>es196</x:v>
      </x:c>
      <x:c r="D123" s="43" t="str">
        <x:v>197</x:v>
      </x:c>
      <x:c r="E123" s="43" t="str">
        <x:v>data_units</x:v>
      </x:c>
      <x:c r="F123" s="43" t="str">
        <x:v>%</x:v>
      </x:c>
      <x:c r="G123" s="43" t="str">
        <x:v>s</x:v>
      </x:c>
      <x:c r="H123" s="43" t="str">
        <x:v>Corrected transcription</x:v>
      </x:c>
      <x:c r="I123" s="43" t="str">
        <x:v>included_studies/abramova_2023_biopsy/abramova_2023_biopsy_data_calculations.xlsx, Table1_Extract</x:v>
      </x:c>
      <x:c r="J123" s="43" t="str">
        <x:v>The source table reports mean grooming duration in seconds.</x:v>
      </x:c>
    </x:row>
    <x:row r="124">
      <x:c r="A124" s="43" t="str">
        <x:v>7 – Abramova 2023 identifiers and units</x:v>
      </x:c>
      <x:c r="B124" s="43" t="str">
        <x:v>abramova_2023_biopsy</x:v>
      </x:c>
      <x:c r="C124" s="43" t="str">
        <x:v>es196</x:v>
      </x:c>
      <x:c r="D124" s="43" t="str">
        <x:v>197</x:v>
      </x:c>
      <x:c r="E124" s="43" t="str">
        <x:v>ex_a_id</x:v>
      </x:c>
      <x:c r="F124" s="43" t="str">
        <x:v>PS_f_</x:v>
      </x:c>
      <x:c r="G124" s="43" t="str">
        <x:v>PS_m_</x:v>
      </x:c>
      <x:c r="H124" s="43" t="str">
        <x:v>Corrected transcription</x:v>
      </x:c>
      <x:c r="I124" s="43" t="str">
        <x:v>included_studies/abramova_2023_biopsy/abramova_2023_biopsy_data_calculations.xlsx, Table1_Extract</x:v>
      </x:c>
      <x:c r="J124" s="43" t="str">
        <x:v>Make the exposed identifier agree with the sex in the paired source row.</x:v>
      </x:c>
    </x:row>
    <x:row r="125">
      <x:c r="A125" s="43" t="str">
        <x:v>7 – Abramova 2023 identifiers and units</x:v>
      </x:c>
      <x:c r="B125" s="43" t="str">
        <x:v>abramova_2023_biopsy</x:v>
      </x:c>
      <x:c r="C125" s="43" t="str">
        <x:v>es197</x:v>
      </x:c>
      <x:c r="D125" s="43" t="str">
        <x:v>198</x:v>
      </x:c>
      <x:c r="E125" s="43" t="str">
        <x:v>c_a_id</x:v>
      </x:c>
      <x:c r="F125" s="43" t="str">
        <x:v>KON_m_</x:v>
      </x:c>
      <x:c r="G125" s="43" t="str">
        <x:v>KON_f_</x:v>
      </x:c>
      <x:c r="H125" s="43" t="str">
        <x:v>Corrected transcription</x:v>
      </x:c>
      <x:c r="I125" s="43" t="str">
        <x:v>included_studies/abramova_2023_biopsy/abramova_2023_biopsy_data_calculations.xlsx, Table1_Extract</x:v>
      </x:c>
      <x:c r="J125" s="43" t="str">
        <x:v>Make the control identifier agree with the sex in the paired source row.</x:v>
      </x:c>
    </x:row>
    <x:row r="126">
      <x:c r="A126" s="43" t="str">
        <x:v>7 – Abramova 2023 identifiers and units</x:v>
      </x:c>
      <x:c r="B126" s="43" t="str">
        <x:v>abramova_2023_biopsy</x:v>
      </x:c>
      <x:c r="C126" s="43" t="str">
        <x:v>es197</x:v>
      </x:c>
      <x:c r="D126" s="43" t="str">
        <x:v>198</x:v>
      </x:c>
      <x:c r="E126" s="43" t="str">
        <x:v>comparison</x:v>
      </x:c>
      <x:c r="F126" s="43" t="str">
        <x:v>KON_PS_m_</x:v>
      </x:c>
      <x:c r="G126" s="43" t="str">
        <x:v>KON_PS_f_</x:v>
      </x:c>
      <x:c r="H126" s="43" t="str">
        <x:v>Corrected transcription</x:v>
      </x:c>
      <x:c r="I126" s="43" t="str">
        <x:v>included_studies/abramova_2023_biopsy/abramova_2023_biopsy_data_calculations.xlsx, Table1_Extract</x:v>
      </x:c>
      <x:c r="J126" s="43" t="str">
        <x:v>Make the comparison identifier agree with the sex in the paired source row.</x:v>
      </x:c>
    </x:row>
    <x:row r="127">
      <x:c r="A127" s="43" t="str">
        <x:v>7 – Abramova 2023 identifiers and units</x:v>
      </x:c>
      <x:c r="B127" s="43" t="str">
        <x:v>abramova_2023_biopsy</x:v>
      </x:c>
      <x:c r="C127" s="43" t="str">
        <x:v>es197</x:v>
      </x:c>
      <x:c r="D127" s="43" t="str">
        <x:v>198</x:v>
      </x:c>
      <x:c r="E127" s="43" t="str">
        <x:v>data_file</x:v>
      </x:c>
      <x:c r="F127" s="43" t="str">
        <x:v>abramova_2023_biopsy_data.xlsx</x:v>
      </x:c>
      <x:c r="G127" s="43" t="str">
        <x:v>included_studies/abramova_2023_biopsy/abramova_2023_biopsy_data_calculations.xlsx</x:v>
      </x:c>
      <x:c r="H127" s="43" t="str">
        <x:v>Corrected transcription</x:v>
      </x:c>
      <x:c r="I127" s="43" t="str">
        <x:v>included_studies/abramova_2023_biopsy/abramova_2023_biopsy_data_calculations.xlsx, Table1_Extract</x:v>
      </x:c>
      <x:c r="J127" s="43" t="str">
        <x:v>Use the stable path to the saved extraction/calculation workbook.</x:v>
      </x:c>
    </x:row>
    <x:row r="128">
      <x:c r="A128" s="43" t="str">
        <x:v>7 – Abramova 2023 identifiers and units</x:v>
      </x:c>
      <x:c r="B128" s="43" t="str">
        <x:v>abramova_2023_biopsy</x:v>
      </x:c>
      <x:c r="C128" s="43" t="str">
        <x:v>es197</x:v>
      </x:c>
      <x:c r="D128" s="43" t="str">
        <x:v>198</x:v>
      </x:c>
      <x:c r="E128" s="43" t="str">
        <x:v>data_type</x:v>
      </x:c>
      <x:c r="F128" s="43" t="str">
        <x:v>Percentage</x:v>
      </x:c>
      <x:c r="G128" s="43" t="str">
        <x:v>Time</x:v>
      </x:c>
      <x:c r="H128" s="43" t="str">
        <x:v>Corrected transcription</x:v>
      </x:c>
      <x:c r="I128" s="43" t="str">
        <x:v>included_studies/abramova_2023_biopsy/abramova_2023_biopsy_data_calculations.xlsx, Table1_Extract</x:v>
      </x:c>
      <x:c r="J128" s="43" t="str">
        <x:v>Mean grooming duration is a duration, not a percentage.</x:v>
      </x:c>
    </x:row>
    <x:row r="129">
      <x:c r="A129" s="43" t="str">
        <x:v>7 – Abramova 2023 identifiers and units</x:v>
      </x:c>
      <x:c r="B129" s="43" t="str">
        <x:v>abramova_2023_biopsy</x:v>
      </x:c>
      <x:c r="C129" s="43" t="str">
        <x:v>es197</x:v>
      </x:c>
      <x:c r="D129" s="43" t="str">
        <x:v>198</x:v>
      </x:c>
      <x:c r="E129" s="43" t="str">
        <x:v>data_units</x:v>
      </x:c>
      <x:c r="F129" s="43" t="str">
        <x:v>%</x:v>
      </x:c>
      <x:c r="G129" s="43" t="str">
        <x:v>s</x:v>
      </x:c>
      <x:c r="H129" s="43" t="str">
        <x:v>Corrected transcription</x:v>
      </x:c>
      <x:c r="I129" s="43" t="str">
        <x:v>included_studies/abramova_2023_biopsy/abramova_2023_biopsy_data_calculations.xlsx, Table1_Extract</x:v>
      </x:c>
      <x:c r="J129" s="43" t="str">
        <x:v>The source table reports mean grooming duration in seconds.</x:v>
      </x:c>
    </x:row>
    <x:row r="130">
      <x:c r="A130" s="43" t="str">
        <x:v>7 – Abramova 2023 identifiers and units</x:v>
      </x:c>
      <x:c r="B130" s="43" t="str">
        <x:v>abramova_2023_biopsy</x:v>
      </x:c>
      <x:c r="C130" s="43" t="str">
        <x:v>es197</x:v>
      </x:c>
      <x:c r="D130" s="43" t="str">
        <x:v>198</x:v>
      </x:c>
      <x:c r="E130" s="43" t="str">
        <x:v>ex_a_id</x:v>
      </x:c>
      <x:c r="F130" s="43" t="str">
        <x:v>PS_m_</x:v>
      </x:c>
      <x:c r="G130" s="43" t="str">
        <x:v>PS_f_</x:v>
      </x:c>
      <x:c r="H130" s="43" t="str">
        <x:v>Corrected transcription</x:v>
      </x:c>
      <x:c r="I130" s="43" t="str">
        <x:v>included_studies/abramova_2023_biopsy/abramova_2023_biopsy_data_calculations.xlsx, Table1_Extract</x:v>
      </x:c>
      <x:c r="J130" s="43" t="str">
        <x:v>Make the exposed identifier agree with the sex in the paired source row.</x:v>
      </x:c>
    </x:row>
    <x:row r="131">
      <x:c r="A131" s="43" t="str">
        <x:v>7 – Abramova 2023 identifiers and units</x:v>
      </x:c>
      <x:c r="B131" s="43" t="str">
        <x:v>abramova_2023_biopsy</x:v>
      </x:c>
      <x:c r="C131" s="43" t="str">
        <x:v>es198</x:v>
      </x:c>
      <x:c r="D131" s="43" t="str">
        <x:v>199</x:v>
      </x:c>
      <x:c r="E131" s="43" t="str">
        <x:v>c_a_id</x:v>
      </x:c>
      <x:c r="F131" s="43" t="str">
        <x:v>KON_f_</x:v>
      </x:c>
      <x:c r="G131" s="43" t="str">
        <x:v>KON_m_</x:v>
      </x:c>
      <x:c r="H131" s="43" t="str">
        <x:v>Corrected transcription</x:v>
      </x:c>
      <x:c r="I131" s="43" t="str">
        <x:v>included_studies/abramova_2023_biopsy/abramova_2023_biopsy_data_calculations.xlsx, Table1_Extract</x:v>
      </x:c>
      <x:c r="J131" s="43" t="str">
        <x:v>Make the control identifier agree with the sex in the paired source row.</x:v>
      </x:c>
    </x:row>
    <x:row r="132">
      <x:c r="A132" s="43" t="str">
        <x:v>7 – Abramova 2023 identifiers and units</x:v>
      </x:c>
      <x:c r="B132" s="43" t="str">
        <x:v>abramova_2023_biopsy</x:v>
      </x:c>
      <x:c r="C132" s="43" t="str">
        <x:v>es198</x:v>
      </x:c>
      <x:c r="D132" s="43" t="str">
        <x:v>199</x:v>
      </x:c>
      <x:c r="E132" s="43" t="str">
        <x:v>comparison</x:v>
      </x:c>
      <x:c r="F132" s="43" t="str">
        <x:v>KON_PS_f_</x:v>
      </x:c>
      <x:c r="G132" s="43" t="str">
        <x:v>KON_PS_m_</x:v>
      </x:c>
      <x:c r="H132" s="43" t="str">
        <x:v>Corrected transcription</x:v>
      </x:c>
      <x:c r="I132" s="43" t="str">
        <x:v>included_studies/abramova_2023_biopsy/abramova_2023_biopsy_data_calculations.xlsx, Table1_Extract</x:v>
      </x:c>
      <x:c r="J132" s="43" t="str">
        <x:v>Make the comparison identifier agree with the sex in the paired source row.</x:v>
      </x:c>
    </x:row>
    <x:row r="133">
      <x:c r="A133" s="43" t="str">
        <x:v>7 – Abramova 2023 identifiers and units</x:v>
      </x:c>
      <x:c r="B133" s="43" t="str">
        <x:v>abramova_2023_biopsy</x:v>
      </x:c>
      <x:c r="C133" s="43" t="str">
        <x:v>es198</x:v>
      </x:c>
      <x:c r="D133" s="43" t="str">
        <x:v>199</x:v>
      </x:c>
      <x:c r="E133" s="43" t="str">
        <x:v>data_file</x:v>
      </x:c>
      <x:c r="F133" s="43" t="str">
        <x:v>abramova_2023_biopsy_data.xlsx</x:v>
      </x:c>
      <x:c r="G133" s="43" t="str">
        <x:v>included_studies/abramova_2023_biopsy/abramova_2023_biopsy_data_calculations.xlsx</x:v>
      </x:c>
      <x:c r="H133" s="43" t="str">
        <x:v>Corrected transcription</x:v>
      </x:c>
      <x:c r="I133" s="43" t="str">
        <x:v>included_studies/abramova_2023_biopsy/abramova_2023_biopsy_data_calculations.xlsx, Table1_Extract</x:v>
      </x:c>
      <x:c r="J133" s="43" t="str">
        <x:v>Use the stable path to the saved extraction/calculation workbook.</x:v>
      </x:c>
    </x:row>
    <x:row r="134">
      <x:c r="A134" s="43" t="str">
        <x:v>7 – Abramova 2023 identifiers and units</x:v>
      </x:c>
      <x:c r="B134" s="43" t="str">
        <x:v>abramova_2023_biopsy</x:v>
      </x:c>
      <x:c r="C134" s="43" t="str">
        <x:v>es198</x:v>
      </x:c>
      <x:c r="D134" s="43" t="str">
        <x:v>199</x:v>
      </x:c>
      <x:c r="E134" s="43" t="str">
        <x:v>ex_a_id</x:v>
      </x:c>
      <x:c r="F134" s="43" t="str">
        <x:v>PS_f_</x:v>
      </x:c>
      <x:c r="G134" s="43" t="str">
        <x:v>PS_m_</x:v>
      </x:c>
      <x:c r="H134" s="43" t="str">
        <x:v>Corrected transcription</x:v>
      </x:c>
      <x:c r="I134" s="43" t="str">
        <x:v>included_studies/abramova_2023_biopsy/abramova_2023_biopsy_data_calculations.xlsx, Table1_Extract</x:v>
      </x:c>
      <x:c r="J134" s="43" t="str">
        <x:v>Make the exposed identifier agree with the sex in the paired source row.</x:v>
      </x:c>
    </x:row>
    <x:row r="135">
      <x:c r="A135" s="43" t="str">
        <x:v>7 – Abramova 2023 identifiers and units</x:v>
      </x:c>
      <x:c r="B135" s="43" t="str">
        <x:v>abramova_2023_biopsy</x:v>
      </x:c>
      <x:c r="C135" s="43" t="str">
        <x:v>es199</x:v>
      </x:c>
      <x:c r="D135" s="43" t="str">
        <x:v>200</x:v>
      </x:c>
      <x:c r="E135" s="43" t="str">
        <x:v>c_a_id</x:v>
      </x:c>
      <x:c r="F135" s="43" t="str">
        <x:v>KON_m_</x:v>
      </x:c>
      <x:c r="G135" s="43" t="str">
        <x:v>KON_f_</x:v>
      </x:c>
      <x:c r="H135" s="43" t="str">
        <x:v>Corrected transcription</x:v>
      </x:c>
      <x:c r="I135" s="43" t="str">
        <x:v>included_studies/abramova_2023_biopsy/abramova_2023_biopsy_data_calculations.xlsx, Table1_Extract</x:v>
      </x:c>
      <x:c r="J135" s="43" t="str">
        <x:v>Make the control identifier agree with the sex in the paired source row.</x:v>
      </x:c>
    </x:row>
    <x:row r="136">
      <x:c r="A136" s="43" t="str">
        <x:v>7 – Abramova 2023 identifiers and units</x:v>
      </x:c>
      <x:c r="B136" s="43" t="str">
        <x:v>abramova_2023_biopsy</x:v>
      </x:c>
      <x:c r="C136" s="43" t="str">
        <x:v>es199</x:v>
      </x:c>
      <x:c r="D136" s="43" t="str">
        <x:v>200</x:v>
      </x:c>
      <x:c r="E136" s="43" t="str">
        <x:v>comparison</x:v>
      </x:c>
      <x:c r="F136" s="43" t="str">
        <x:v>KON_PS_m_</x:v>
      </x:c>
      <x:c r="G136" s="43" t="str">
        <x:v>KON_PS_f_</x:v>
      </x:c>
      <x:c r="H136" s="43" t="str">
        <x:v>Corrected transcription</x:v>
      </x:c>
      <x:c r="I136" s="43" t="str">
        <x:v>included_studies/abramova_2023_biopsy/abramova_2023_biopsy_data_calculations.xlsx, Table1_Extract</x:v>
      </x:c>
      <x:c r="J136" s="43" t="str">
        <x:v>Make the comparison identifier agree with the sex in the paired source row.</x:v>
      </x:c>
    </x:row>
    <x:row r="137">
      <x:c r="A137" s="43" t="str">
        <x:v>7 – Abramova 2023 identifiers and units</x:v>
      </x:c>
      <x:c r="B137" s="43" t="str">
        <x:v>abramova_2023_biopsy</x:v>
      </x:c>
      <x:c r="C137" s="43" t="str">
        <x:v>es199</x:v>
      </x:c>
      <x:c r="D137" s="43" t="str">
        <x:v>200</x:v>
      </x:c>
      <x:c r="E137" s="43" t="str">
        <x:v>data_file</x:v>
      </x:c>
      <x:c r="F137" s="43" t="str">
        <x:v>abramova_2023_biopsy_data.xlsx</x:v>
      </x:c>
      <x:c r="G137" s="43" t="str">
        <x:v>included_studies/abramova_2023_biopsy/abramova_2023_biopsy_data_calculations.xlsx</x:v>
      </x:c>
      <x:c r="H137" s="43" t="str">
        <x:v>Corrected transcription</x:v>
      </x:c>
      <x:c r="I137" s="43" t="str">
        <x:v>included_studies/abramova_2023_biopsy/abramova_2023_biopsy_data_calculations.xlsx, Table1_Extract</x:v>
      </x:c>
      <x:c r="J137" s="43" t="str">
        <x:v>Use the stable path to the saved extraction/calculation workbook.</x:v>
      </x:c>
    </x:row>
    <x:row r="138">
      <x:c r="A138" s="43" t="str">
        <x:v>7 – Abramova 2023 identifiers and units</x:v>
      </x:c>
      <x:c r="B138" s="43" t="str">
        <x:v>abramova_2023_biopsy</x:v>
      </x:c>
      <x:c r="C138" s="43" t="str">
        <x:v>es199</x:v>
      </x:c>
      <x:c r="D138" s="43" t="str">
        <x:v>200</x:v>
      </x:c>
      <x:c r="E138" s="43" t="str">
        <x:v>ex_a_id</x:v>
      </x:c>
      <x:c r="F138" s="43" t="str">
        <x:v>PS_m_</x:v>
      </x:c>
      <x:c r="G138" s="43" t="str">
        <x:v>PS_f_</x:v>
      </x:c>
      <x:c r="H138" s="43" t="str">
        <x:v>Corrected transcription</x:v>
      </x:c>
      <x:c r="I138" s="43" t="str">
        <x:v>included_studies/abramova_2023_biopsy/abramova_2023_biopsy_data_calculations.xlsx, Table1_Extract</x:v>
      </x:c>
      <x:c r="J138" s="43" t="str">
        <x:v>Make the exposed identifier agree with the sex in the paired source row.</x:v>
      </x:c>
    </x:row>
    <x:row r="139">
      <x:c r="A139" s="43" t="str">
        <x:v>7 – Abramova 2023 identifiers and units</x:v>
      </x:c>
      <x:c r="B139" s="43" t="str">
        <x:v>abramova_2023_biopsy</x:v>
      </x:c>
      <x:c r="C139" s="43" t="str">
        <x:v>es200</x:v>
      </x:c>
      <x:c r="D139" s="43" t="str">
        <x:v>201</x:v>
      </x:c>
      <x:c r="E139" s="43" t="str">
        <x:v>c_a_id</x:v>
      </x:c>
      <x:c r="F139" s="43" t="str">
        <x:v>KON_f_</x:v>
      </x:c>
      <x:c r="G139" s="43" t="str">
        <x:v>KON_m_</x:v>
      </x:c>
      <x:c r="H139" s="43" t="str">
        <x:v>Corrected transcription</x:v>
      </x:c>
      <x:c r="I139" s="43" t="str">
        <x:v>included_studies/abramova_2023_biopsy/abramova_2023_biopsy_data_calculations.xlsx, Table1_Extract</x:v>
      </x:c>
      <x:c r="J139" s="43" t="str">
        <x:v>Make the control identifier agree with the sex in the paired source row.</x:v>
      </x:c>
    </x:row>
    <x:row r="140">
      <x:c r="A140" s="43" t="str">
        <x:v>7 – Abramova 2023 identifiers and units</x:v>
      </x:c>
      <x:c r="B140" s="43" t="str">
        <x:v>abramova_2023_biopsy</x:v>
      </x:c>
      <x:c r="C140" s="43" t="str">
        <x:v>es200</x:v>
      </x:c>
      <x:c r="D140" s="43" t="str">
        <x:v>201</x:v>
      </x:c>
      <x:c r="E140" s="43" t="str">
        <x:v>comparison</x:v>
      </x:c>
      <x:c r="F140" s="43" t="str">
        <x:v>KON_PS_f_</x:v>
      </x:c>
      <x:c r="G140" s="43" t="str">
        <x:v>KON_PS_m_</x:v>
      </x:c>
      <x:c r="H140" s="43" t="str">
        <x:v>Corrected transcription</x:v>
      </x:c>
      <x:c r="I140" s="43" t="str">
        <x:v>included_studies/abramova_2023_biopsy/abramova_2023_biopsy_data_calculations.xlsx, Table1_Extract</x:v>
      </x:c>
      <x:c r="J140" s="43" t="str">
        <x:v>Make the comparison identifier agree with the sex in the paired source row.</x:v>
      </x:c>
    </x:row>
    <x:row r="141">
      <x:c r="A141" s="43" t="str">
        <x:v>7 – Abramova 2023 identifiers and units</x:v>
      </x:c>
      <x:c r="B141" s="43" t="str">
        <x:v>abramova_2023_biopsy</x:v>
      </x:c>
      <x:c r="C141" s="43" t="str">
        <x:v>es200</x:v>
      </x:c>
      <x:c r="D141" s="43" t="str">
        <x:v>201</x:v>
      </x:c>
      <x:c r="E141" s="43" t="str">
        <x:v>data_file</x:v>
      </x:c>
      <x:c r="F141" s="43" t="str">
        <x:v>abramova_2023_biopsy_data.xlsx</x:v>
      </x:c>
      <x:c r="G141" s="43" t="str">
        <x:v>included_studies/abramova_2023_biopsy/abramova_2023_biopsy_data_calculations.xlsx</x:v>
      </x:c>
      <x:c r="H141" s="43" t="str">
        <x:v>Corrected transcription</x:v>
      </x:c>
      <x:c r="I141" s="43" t="str">
        <x:v>included_studies/abramova_2023_biopsy/abramova_2023_biopsy_data_calculations.xlsx, Table1_Extract</x:v>
      </x:c>
      <x:c r="J141" s="43" t="str">
        <x:v>Use the stable path to the saved extraction/calculation workbook.</x:v>
      </x:c>
    </x:row>
    <x:row r="142">
      <x:c r="A142" s="43" t="str">
        <x:v>7 – Abramova 2023 identifiers and units</x:v>
      </x:c>
      <x:c r="B142" s="43" t="str">
        <x:v>abramova_2023_biopsy</x:v>
      </x:c>
      <x:c r="C142" s="43" t="str">
        <x:v>es200</x:v>
      </x:c>
      <x:c r="D142" s="43" t="str">
        <x:v>201</x:v>
      </x:c>
      <x:c r="E142" s="43" t="str">
        <x:v>ex_a_id</x:v>
      </x:c>
      <x:c r="F142" s="43" t="str">
        <x:v>PS_f_</x:v>
      </x:c>
      <x:c r="G142" s="43" t="str">
        <x:v>PS_m_</x:v>
      </x:c>
      <x:c r="H142" s="43" t="str">
        <x:v>Corrected transcription</x:v>
      </x:c>
      <x:c r="I142" s="43" t="str">
        <x:v>included_studies/abramova_2023_biopsy/abramova_2023_biopsy_data_calculations.xlsx, Table1_Extract</x:v>
      </x:c>
      <x:c r="J142" s="43" t="str">
        <x:v>Make the exposed identifier agree with the sex in the paired source row.</x:v>
      </x:c>
    </x:row>
    <x:row r="143">
      <x:c r="A143" s="43" t="str">
        <x:v>7 – Abramova 2023 identifiers and units</x:v>
      </x:c>
      <x:c r="B143" s="43" t="str">
        <x:v>abramova_2023_biopsy</x:v>
      </x:c>
      <x:c r="C143" s="43" t="str">
        <x:v>es201</x:v>
      </x:c>
      <x:c r="D143" s="43" t="str">
        <x:v>202</x:v>
      </x:c>
      <x:c r="E143" s="43" t="str">
        <x:v>c_a_id</x:v>
      </x:c>
      <x:c r="F143" s="43" t="str">
        <x:v>KON_m_</x:v>
      </x:c>
      <x:c r="G143" s="43" t="str">
        <x:v>KON_f_</x:v>
      </x:c>
      <x:c r="H143" s="43" t="str">
        <x:v>Corrected transcription</x:v>
      </x:c>
      <x:c r="I143" s="43" t="str">
        <x:v>included_studies/abramova_2023_biopsy/abramova_2023_biopsy_data_calculations.xlsx, Table1_Extract</x:v>
      </x:c>
      <x:c r="J143" s="43" t="str">
        <x:v>Make the control identifier agree with the sex in the paired source row.</x:v>
      </x:c>
    </x:row>
    <x:row r="144">
      <x:c r="A144" s="43" t="str">
        <x:v>7 – Abramova 2023 identifiers and units</x:v>
      </x:c>
      <x:c r="B144" s="43" t="str">
        <x:v>abramova_2023_biopsy</x:v>
      </x:c>
      <x:c r="C144" s="43" t="str">
        <x:v>es201</x:v>
      </x:c>
      <x:c r="D144" s="43" t="str">
        <x:v>202</x:v>
      </x:c>
      <x:c r="E144" s="43" t="str">
        <x:v>comparison</x:v>
      </x:c>
      <x:c r="F144" s="43" t="str">
        <x:v>KON_PS_m_</x:v>
      </x:c>
      <x:c r="G144" s="43" t="str">
        <x:v>KON_PS_f_</x:v>
      </x:c>
      <x:c r="H144" s="43" t="str">
        <x:v>Corrected transcription</x:v>
      </x:c>
      <x:c r="I144" s="43" t="str">
        <x:v>included_studies/abramova_2023_biopsy/abramova_2023_biopsy_data_calculations.xlsx, Table1_Extract</x:v>
      </x:c>
      <x:c r="J144" s="43" t="str">
        <x:v>Make the comparison identifier agree with the sex in the paired source row.</x:v>
      </x:c>
    </x:row>
    <x:row r="145">
      <x:c r="A145" s="43" t="str">
        <x:v>7 – Abramova 2023 identifiers and units</x:v>
      </x:c>
      <x:c r="B145" s="43" t="str">
        <x:v>abramova_2023_biopsy</x:v>
      </x:c>
      <x:c r="C145" s="43" t="str">
        <x:v>es201</x:v>
      </x:c>
      <x:c r="D145" s="43" t="str">
        <x:v>202</x:v>
      </x:c>
      <x:c r="E145" s="43" t="str">
        <x:v>data_file</x:v>
      </x:c>
      <x:c r="F145" s="43" t="str">
        <x:v>abramova_2023_biopsy_data.xlsx</x:v>
      </x:c>
      <x:c r="G145" s="43" t="str">
        <x:v>included_studies/abramova_2023_biopsy/abramova_2023_biopsy_data_calculations.xlsx</x:v>
      </x:c>
      <x:c r="H145" s="43" t="str">
        <x:v>Corrected transcription</x:v>
      </x:c>
      <x:c r="I145" s="43" t="str">
        <x:v>included_studies/abramova_2023_biopsy/abramova_2023_biopsy_data_calculations.xlsx, Table1_Extract</x:v>
      </x:c>
      <x:c r="J145" s="43" t="str">
        <x:v>Use the stable path to the saved extraction/calculation workbook.</x:v>
      </x:c>
    </x:row>
    <x:row r="146">
      <x:c r="A146" s="43" t="str">
        <x:v>7 – Abramova 2023 identifiers and units</x:v>
      </x:c>
      <x:c r="B146" s="43" t="str">
        <x:v>abramova_2023_biopsy</x:v>
      </x:c>
      <x:c r="C146" s="43" t="str">
        <x:v>es201</x:v>
      </x:c>
      <x:c r="D146" s="43" t="str">
        <x:v>202</x:v>
      </x:c>
      <x:c r="E146" s="43" t="str">
        <x:v>ex_a_id</x:v>
      </x:c>
      <x:c r="F146" s="43" t="str">
        <x:v>PS_m_</x:v>
      </x:c>
      <x:c r="G146" s="43" t="str">
        <x:v>PS_f_</x:v>
      </x:c>
      <x:c r="H146" s="43" t="str">
        <x:v>Corrected transcription</x:v>
      </x:c>
      <x:c r="I146" s="43" t="str">
        <x:v>included_studies/abramova_2023_biopsy/abramova_2023_biopsy_data_calculations.xlsx, Table1_Extract</x:v>
      </x:c>
      <x:c r="J146" s="43" t="str">
        <x:v>Make the exposed identifier agree with the sex in the paired source row.</x:v>
      </x:c>
    </x:row>
    <x:row r="147">
      <x:c r="A147" s="43" t="str">
        <x:v>7 – Abramova 2023 identifiers and units</x:v>
      </x:c>
      <x:c r="B147" s="43" t="str">
        <x:v>abramova_2023_biopsy</x:v>
      </x:c>
      <x:c r="C147" s="43" t="str">
        <x:v>es202</x:v>
      </x:c>
      <x:c r="D147" s="43" t="str">
        <x:v>203</x:v>
      </x:c>
      <x:c r="E147" s="43" t="str">
        <x:v>c_a_id</x:v>
      </x:c>
      <x:c r="F147" s="43" t="str">
        <x:v>KON_f_</x:v>
      </x:c>
      <x:c r="G147" s="43" t="str">
        <x:v>KON_m_</x:v>
      </x:c>
      <x:c r="H147" s="43" t="str">
        <x:v>Corrected transcription</x:v>
      </x:c>
      <x:c r="I147" s="43" t="str">
        <x:v>included_studies/abramova_2023_biopsy/abramova_2023_biopsy_data_calculations.xlsx, Table1_Extract</x:v>
      </x:c>
      <x:c r="J147" s="43" t="str">
        <x:v>Make the control identifier agree with the sex in the paired source row.</x:v>
      </x:c>
    </x:row>
    <x:row r="148">
      <x:c r="A148" s="43" t="str">
        <x:v>7 – Abramova 2023 identifiers and units</x:v>
      </x:c>
      <x:c r="B148" s="43" t="str">
        <x:v>abramova_2023_biopsy</x:v>
      </x:c>
      <x:c r="C148" s="43" t="str">
        <x:v>es202</x:v>
      </x:c>
      <x:c r="D148" s="43" t="str">
        <x:v>203</x:v>
      </x:c>
      <x:c r="E148" s="43" t="str">
        <x:v>comparison</x:v>
      </x:c>
      <x:c r="F148" s="43" t="str">
        <x:v>KON_PS_f_</x:v>
      </x:c>
      <x:c r="G148" s="43" t="str">
        <x:v>KON_PS_m_</x:v>
      </x:c>
      <x:c r="H148" s="43" t="str">
        <x:v>Corrected transcription</x:v>
      </x:c>
      <x:c r="I148" s="43" t="str">
        <x:v>included_studies/abramova_2023_biopsy/abramova_2023_biopsy_data_calculations.xlsx, Table1_Extract</x:v>
      </x:c>
      <x:c r="J148" s="43" t="str">
        <x:v>Make the comparison identifier agree with the sex in the paired source row.</x:v>
      </x:c>
    </x:row>
    <x:row r="149">
      <x:c r="A149" s="43" t="str">
        <x:v>7 – Abramova 2023 identifiers and units</x:v>
      </x:c>
      <x:c r="B149" s="43" t="str">
        <x:v>abramova_2023_biopsy</x:v>
      </x:c>
      <x:c r="C149" s="43" t="str">
        <x:v>es202</x:v>
      </x:c>
      <x:c r="D149" s="43" t="str">
        <x:v>203</x:v>
      </x:c>
      <x:c r="E149" s="43" t="str">
        <x:v>data_file</x:v>
      </x:c>
      <x:c r="F149" s="43" t="str">
        <x:v>abramova_2023_biopsy_data.xlsx</x:v>
      </x:c>
      <x:c r="G149" s="43" t="str">
        <x:v>included_studies/abramova_2023_biopsy/abramova_2023_biopsy_data_calculations.xlsx</x:v>
      </x:c>
      <x:c r="H149" s="43" t="str">
        <x:v>Corrected transcription</x:v>
      </x:c>
      <x:c r="I149" s="43" t="str">
        <x:v>included_studies/abramova_2023_biopsy/abramova_2023_biopsy_data_calculations.xlsx, Table1_Extract</x:v>
      </x:c>
      <x:c r="J149" s="43" t="str">
        <x:v>Use the stable path to the saved extraction/calculation workbook.</x:v>
      </x:c>
    </x:row>
    <x:row r="150">
      <x:c r="A150" s="43" t="str">
        <x:v>7 – Abramova 2023 identifiers and units</x:v>
      </x:c>
      <x:c r="B150" s="43" t="str">
        <x:v>abramova_2023_biopsy</x:v>
      </x:c>
      <x:c r="C150" s="43" t="str">
        <x:v>es202</x:v>
      </x:c>
      <x:c r="D150" s="43" t="str">
        <x:v>203</x:v>
      </x:c>
      <x:c r="E150" s="43" t="str">
        <x:v>ex_a_id</x:v>
      </x:c>
      <x:c r="F150" s="43" t="str">
        <x:v>PS_f_</x:v>
      </x:c>
      <x:c r="G150" s="43" t="str">
        <x:v>PS_m_</x:v>
      </x:c>
      <x:c r="H150" s="43" t="str">
        <x:v>Corrected transcription</x:v>
      </x:c>
      <x:c r="I150" s="43" t="str">
        <x:v>included_studies/abramova_2023_biopsy/abramova_2023_biopsy_data_calculations.xlsx, Table1_Extract</x:v>
      </x:c>
      <x:c r="J150" s="43" t="str">
        <x:v>Make the exposed identifier agree with the sex in the paired source row.</x:v>
      </x:c>
    </x:row>
    <x:row r="151">
      <x:c r="A151" s="43" t="str">
        <x:v>7 – Abramova 2023 identifiers and units</x:v>
      </x:c>
      <x:c r="B151" s="43" t="str">
        <x:v>abramova_2023_biopsy</x:v>
      </x:c>
      <x:c r="C151" s="43" t="str">
        <x:v>es203</x:v>
      </x:c>
      <x:c r="D151" s="43" t="str">
        <x:v>204</x:v>
      </x:c>
      <x:c r="E151" s="43" t="str">
        <x:v>c_a_id</x:v>
      </x:c>
      <x:c r="F151" s="43" t="str">
        <x:v>KON_m_</x:v>
      </x:c>
      <x:c r="G151" s="43" t="str">
        <x:v>KON_f_</x:v>
      </x:c>
      <x:c r="H151" s="43" t="str">
        <x:v>Corrected transcription</x:v>
      </x:c>
      <x:c r="I151" s="43" t="str">
        <x:v>included_studies/abramova_2023_biopsy/abramova_2023_biopsy_data_calculations.xlsx, Table1_Extract</x:v>
      </x:c>
      <x:c r="J151" s="43" t="str">
        <x:v>Make the control identifier agree with the sex in the paired source row.</x:v>
      </x:c>
    </x:row>
    <x:row r="152">
      <x:c r="A152" s="43" t="str">
        <x:v>7 – Abramova 2023 identifiers and units</x:v>
      </x:c>
      <x:c r="B152" s="43" t="str">
        <x:v>abramova_2023_biopsy</x:v>
      </x:c>
      <x:c r="C152" s="43" t="str">
        <x:v>es203</x:v>
      </x:c>
      <x:c r="D152" s="43" t="str">
        <x:v>204</x:v>
      </x:c>
      <x:c r="E152" s="43" t="str">
        <x:v>comparison</x:v>
      </x:c>
      <x:c r="F152" s="43" t="str">
        <x:v>KON_PS_m_</x:v>
      </x:c>
      <x:c r="G152" s="43" t="str">
        <x:v>KON_PS_f_</x:v>
      </x:c>
      <x:c r="H152" s="43" t="str">
        <x:v>Corrected transcription</x:v>
      </x:c>
      <x:c r="I152" s="43" t="str">
        <x:v>included_studies/abramova_2023_biopsy/abramova_2023_biopsy_data_calculations.xlsx, Table1_Extract</x:v>
      </x:c>
      <x:c r="J152" s="43" t="str">
        <x:v>Make the comparison identifier agree with the sex in the paired source row.</x:v>
      </x:c>
    </x:row>
    <x:row r="153">
      <x:c r="A153" s="43" t="str">
        <x:v>7 – Abramova 2023 identifiers and units</x:v>
      </x:c>
      <x:c r="B153" s="43" t="str">
        <x:v>abramova_2023_biopsy</x:v>
      </x:c>
      <x:c r="C153" s="43" t="str">
        <x:v>es203</x:v>
      </x:c>
      <x:c r="D153" s="43" t="str">
        <x:v>204</x:v>
      </x:c>
      <x:c r="E153" s="43" t="str">
        <x:v>data_file</x:v>
      </x:c>
      <x:c r="F153" s="43" t="str">
        <x:v>abramova_2023_biopsy_data.xlsx</x:v>
      </x:c>
      <x:c r="G153" s="43" t="str">
        <x:v>included_studies/abramova_2023_biopsy/abramova_2023_biopsy_data_calculations.xlsx</x:v>
      </x:c>
      <x:c r="H153" s="43" t="str">
        <x:v>Corrected transcription</x:v>
      </x:c>
      <x:c r="I153" s="43" t="str">
        <x:v>included_studies/abramova_2023_biopsy/abramova_2023_biopsy_data_calculations.xlsx, Table1_Extract</x:v>
      </x:c>
      <x:c r="J153" s="43" t="str">
        <x:v>Use the stable path to the saved extraction/calculation workbook.</x:v>
      </x:c>
    </x:row>
    <x:row r="154">
      <x:c r="A154" s="43" t="str">
        <x:v>7 – Abramova 2023 identifiers and units</x:v>
      </x:c>
      <x:c r="B154" s="43" t="str">
        <x:v>abramova_2023_biopsy</x:v>
      </x:c>
      <x:c r="C154" s="43" t="str">
        <x:v>es203</x:v>
      </x:c>
      <x:c r="D154" s="43" t="str">
        <x:v>204</x:v>
      </x:c>
      <x:c r="E154" s="43" t="str">
        <x:v>ex_a_id</x:v>
      </x:c>
      <x:c r="F154" s="43" t="str">
        <x:v>PS_m_</x:v>
      </x:c>
      <x:c r="G154" s="43" t="str">
        <x:v>PS_f_</x:v>
      </x:c>
      <x:c r="H154" s="43" t="str">
        <x:v>Corrected transcription</x:v>
      </x:c>
      <x:c r="I154" s="43" t="str">
        <x:v>included_studies/abramova_2023_biopsy/abramova_2023_biopsy_data_calculations.xlsx, Table1_Extract</x:v>
      </x:c>
      <x:c r="J154" s="43" t="str">
        <x:v>Make the exposed identifier agree with the sex in the paired source row.</x:v>
      </x:c>
    </x:row>
    <x:row r="155">
      <x:c r="A155" s="43" t="str">
        <x:v>7 – Abramova 2023 identifiers and units</x:v>
      </x:c>
      <x:c r="B155" s="43" t="str">
        <x:v>abramova_2023_biopsy</x:v>
      </x:c>
      <x:c r="C155" s="43" t="str">
        <x:v>es204</x:v>
      </x:c>
      <x:c r="D155" s="43" t="str">
        <x:v>205</x:v>
      </x:c>
      <x:c r="E155" s="43" t="str">
        <x:v>c_a_id</x:v>
      </x:c>
      <x:c r="F155" s="43" t="str">
        <x:v>KON_f_</x:v>
      </x:c>
      <x:c r="G155" s="43" t="str">
        <x:v>KON_m_</x:v>
      </x:c>
      <x:c r="H155" s="43" t="str">
        <x:v>Corrected transcription</x:v>
      </x:c>
      <x:c r="I155" s="43" t="str">
        <x:v>included_studies/abramova_2023_biopsy/abramova_2023_biopsy_data_calculations.xlsx, Table1_Extract</x:v>
      </x:c>
      <x:c r="J155" s="43" t="str">
        <x:v>Make the control identifier agree with the sex in the paired source row.</x:v>
      </x:c>
    </x:row>
    <x:row r="156">
      <x:c r="A156" s="43" t="str">
        <x:v>7 – Abramova 2023 identifiers and units</x:v>
      </x:c>
      <x:c r="B156" s="43" t="str">
        <x:v>abramova_2023_biopsy</x:v>
      </x:c>
      <x:c r="C156" s="43" t="str">
        <x:v>es204</x:v>
      </x:c>
      <x:c r="D156" s="43" t="str">
        <x:v>205</x:v>
      </x:c>
      <x:c r="E156" s="43" t="str">
        <x:v>comparison</x:v>
      </x:c>
      <x:c r="F156" s="43" t="str">
        <x:v>KON_PS_f_</x:v>
      </x:c>
      <x:c r="G156" s="43" t="str">
        <x:v>KON_PS_m_</x:v>
      </x:c>
      <x:c r="H156" s="43" t="str">
        <x:v>Corrected transcription</x:v>
      </x:c>
      <x:c r="I156" s="43" t="str">
        <x:v>included_studies/abramova_2023_biopsy/abramova_2023_biopsy_data_calculations.xlsx, Table1_Extract</x:v>
      </x:c>
      <x:c r="J156" s="43" t="str">
        <x:v>Make the comparison identifier agree with the sex in the paired source row.</x:v>
      </x:c>
    </x:row>
    <x:row r="157">
      <x:c r="A157" s="43" t="str">
        <x:v>7 – Abramova 2023 identifiers and units</x:v>
      </x:c>
      <x:c r="B157" s="43" t="str">
        <x:v>abramova_2023_biopsy</x:v>
      </x:c>
      <x:c r="C157" s="43" t="str">
        <x:v>es204</x:v>
      </x:c>
      <x:c r="D157" s="43" t="str">
        <x:v>205</x:v>
      </x:c>
      <x:c r="E157" s="43" t="str">
        <x:v>data_file</x:v>
      </x:c>
      <x:c r="F157" s="43" t="str">
        <x:v>abramova_2023_biopsy_data.xlsx</x:v>
      </x:c>
      <x:c r="G157" s="43" t="str">
        <x:v>included_studies/abramova_2023_biopsy/abramova_2023_biopsy_data_calculations.xlsx</x:v>
      </x:c>
      <x:c r="H157" s="43" t="str">
        <x:v>Corrected transcription</x:v>
      </x:c>
      <x:c r="I157" s="43" t="str">
        <x:v>included_studies/abramova_2023_biopsy/abramova_2023_biopsy_data_calculations.xlsx, Table1_Extract</x:v>
      </x:c>
      <x:c r="J157" s="43" t="str">
        <x:v>Use the stable path to the saved extraction/calculation workbook.</x:v>
      </x:c>
    </x:row>
    <x:row r="158">
      <x:c r="A158" s="43" t="str">
        <x:v>7 – Abramova 2023 identifiers and units</x:v>
      </x:c>
      <x:c r="B158" s="43" t="str">
        <x:v>abramova_2023_biopsy</x:v>
      </x:c>
      <x:c r="C158" s="43" t="str">
        <x:v>es204</x:v>
      </x:c>
      <x:c r="D158" s="43" t="str">
        <x:v>205</x:v>
      </x:c>
      <x:c r="E158" s="43" t="str">
        <x:v>ex_a_id</x:v>
      </x:c>
      <x:c r="F158" s="43" t="str">
        <x:v>PS_f_</x:v>
      </x:c>
      <x:c r="G158" s="43" t="str">
        <x:v>PS_m_</x:v>
      </x:c>
      <x:c r="H158" s="43" t="str">
        <x:v>Corrected transcription</x:v>
      </x:c>
      <x:c r="I158" s="43" t="str">
        <x:v>included_studies/abramova_2023_biopsy/abramova_2023_biopsy_data_calculations.xlsx, Table1_Extract</x:v>
      </x:c>
      <x:c r="J158" s="43" t="str">
        <x:v>Make the exposed identifier agree with the sex in the paired source row.</x:v>
      </x:c>
    </x:row>
    <x:row r="159">
      <x:c r="A159" s="43" t="str">
        <x:v>7 – Abramova 2023 identifiers and units</x:v>
      </x:c>
      <x:c r="B159" s="43" t="str">
        <x:v>abramova_2023_biopsy</x:v>
      </x:c>
      <x:c r="C159" s="43" t="str">
        <x:v>es205</x:v>
      </x:c>
      <x:c r="D159" s="43" t="str">
        <x:v>206</x:v>
      </x:c>
      <x:c r="E159" s="43" t="str">
        <x:v>c_a_id</x:v>
      </x:c>
      <x:c r="F159" s="43" t="str">
        <x:v>KON_m_</x:v>
      </x:c>
      <x:c r="G159" s="43" t="str">
        <x:v>KON_f_</x:v>
      </x:c>
      <x:c r="H159" s="43" t="str">
        <x:v>Corrected transcription</x:v>
      </x:c>
      <x:c r="I159" s="43" t="str">
        <x:v>included_studies/abramova_2023_biopsy/abramova_2023_biopsy_data_calculations.xlsx, Table1_Extract</x:v>
      </x:c>
      <x:c r="J159" s="43" t="str">
        <x:v>Make the control identifier agree with the sex in the paired source row.</x:v>
      </x:c>
    </x:row>
    <x:row r="160">
      <x:c r="A160" s="43" t="str">
        <x:v>7 – Abramova 2023 identifiers and units</x:v>
      </x:c>
      <x:c r="B160" s="43" t="str">
        <x:v>abramova_2023_biopsy</x:v>
      </x:c>
      <x:c r="C160" s="43" t="str">
        <x:v>es205</x:v>
      </x:c>
      <x:c r="D160" s="43" t="str">
        <x:v>206</x:v>
      </x:c>
      <x:c r="E160" s="43" t="str">
        <x:v>comparison</x:v>
      </x:c>
      <x:c r="F160" s="43" t="str">
        <x:v>KON_PS_m_</x:v>
      </x:c>
      <x:c r="G160" s="43" t="str">
        <x:v>KON_PS_f_</x:v>
      </x:c>
      <x:c r="H160" s="43" t="str">
        <x:v>Corrected transcription</x:v>
      </x:c>
      <x:c r="I160" s="43" t="str">
        <x:v>included_studies/abramova_2023_biopsy/abramova_2023_biopsy_data_calculations.xlsx, Table1_Extract</x:v>
      </x:c>
      <x:c r="J160" s="43" t="str">
        <x:v>Make the comparison identifier agree with the sex in the paired source row.</x:v>
      </x:c>
    </x:row>
    <x:row r="161">
      <x:c r="A161" s="43" t="str">
        <x:v>7 – Abramova 2023 identifiers and units</x:v>
      </x:c>
      <x:c r="B161" s="43" t="str">
        <x:v>abramova_2023_biopsy</x:v>
      </x:c>
      <x:c r="C161" s="43" t="str">
        <x:v>es205</x:v>
      </x:c>
      <x:c r="D161" s="43" t="str">
        <x:v>206</x:v>
      </x:c>
      <x:c r="E161" s="43" t="str">
        <x:v>data_file</x:v>
      </x:c>
      <x:c r="F161" s="43" t="str">
        <x:v>abramova_2023_biopsy_data.xlsx</x:v>
      </x:c>
      <x:c r="G161" s="43" t="str">
        <x:v>included_studies/abramova_2023_biopsy/abramova_2023_biopsy_data_calculations.xlsx</x:v>
      </x:c>
      <x:c r="H161" s="43" t="str">
        <x:v>Corrected transcription</x:v>
      </x:c>
      <x:c r="I161" s="43" t="str">
        <x:v>included_studies/abramova_2023_biopsy/abramova_2023_biopsy_data_calculations.xlsx, Table1_Extract</x:v>
      </x:c>
      <x:c r="J161" s="43" t="str">
        <x:v>Use the stable path to the saved extraction/calculation workbook.</x:v>
      </x:c>
    </x:row>
    <x:row r="162">
      <x:c r="A162" s="43" t="str">
        <x:v>7 – Abramova 2023 identifiers and units</x:v>
      </x:c>
      <x:c r="B162" s="43" t="str">
        <x:v>abramova_2023_biopsy</x:v>
      </x:c>
      <x:c r="C162" s="43" t="str">
        <x:v>es205</x:v>
      </x:c>
      <x:c r="D162" s="43" t="str">
        <x:v>206</x:v>
      </x:c>
      <x:c r="E162" s="43" t="str">
        <x:v>ex_a_id</x:v>
      </x:c>
      <x:c r="F162" s="43" t="str">
        <x:v>PS_m_</x:v>
      </x:c>
      <x:c r="G162" s="43" t="str">
        <x:v>PS_f_</x:v>
      </x:c>
      <x:c r="H162" s="43" t="str">
        <x:v>Corrected transcription</x:v>
      </x:c>
      <x:c r="I162" s="43" t="str">
        <x:v>included_studies/abramova_2023_biopsy/abramova_2023_biopsy_data_calculations.xlsx, Table1_Extract</x:v>
      </x:c>
      <x:c r="J162" s="43" t="str">
        <x:v>Make the exposed identifier agree with the sex in the paired source row.</x:v>
      </x:c>
    </x:row>
    <x:row r="163">
      <x:c r="A163" s="43" t="str">
        <x:v>7 – Abramova 2023 identifiers and units</x:v>
      </x:c>
      <x:c r="B163" s="43" t="str">
        <x:v>abramova_2023_biopsy</x:v>
      </x:c>
      <x:c r="C163" s="43" t="str">
        <x:v>es206</x:v>
      </x:c>
      <x:c r="D163" s="43" t="str">
        <x:v>207</x:v>
      </x:c>
      <x:c r="E163" s="43" t="str">
        <x:v>c_a_id</x:v>
      </x:c>
      <x:c r="F163" s="43" t="str">
        <x:v>KON_f_</x:v>
      </x:c>
      <x:c r="G163" s="43" t="str">
        <x:v>KON_m_</x:v>
      </x:c>
      <x:c r="H163" s="43" t="str">
        <x:v>Corrected transcription</x:v>
      </x:c>
      <x:c r="I163" s="43" t="str">
        <x:v>included_studies/abramova_2023_biopsy/abramova_2023_biopsy_data_calculations.xlsx, Table1_Extract</x:v>
      </x:c>
      <x:c r="J163" s="43" t="str">
        <x:v>Make the control identifier agree with the sex in the paired source row.</x:v>
      </x:c>
    </x:row>
    <x:row r="164">
      <x:c r="A164" s="43" t="str">
        <x:v>7 – Abramova 2023 identifiers and units</x:v>
      </x:c>
      <x:c r="B164" s="43" t="str">
        <x:v>abramova_2023_biopsy</x:v>
      </x:c>
      <x:c r="C164" s="43" t="str">
        <x:v>es206</x:v>
      </x:c>
      <x:c r="D164" s="43" t="str">
        <x:v>207</x:v>
      </x:c>
      <x:c r="E164" s="43" t="str">
        <x:v>comparison</x:v>
      </x:c>
      <x:c r="F164" s="43" t="str">
        <x:v>KON_PS_f_</x:v>
      </x:c>
      <x:c r="G164" s="43" t="str">
        <x:v>KON_PS_m_</x:v>
      </x:c>
      <x:c r="H164" s="43" t="str">
        <x:v>Corrected transcription</x:v>
      </x:c>
      <x:c r="I164" s="43" t="str">
        <x:v>included_studies/abramova_2023_biopsy/abramova_2023_biopsy_data_calculations.xlsx, Table1_Extract</x:v>
      </x:c>
      <x:c r="J164" s="43" t="str">
        <x:v>Make the comparison identifier agree with the sex in the paired source row.</x:v>
      </x:c>
    </x:row>
    <x:row r="165">
      <x:c r="A165" s="43" t="str">
        <x:v>7 – Abramova 2023 identifiers and units</x:v>
      </x:c>
      <x:c r="B165" s="43" t="str">
        <x:v>abramova_2023_biopsy</x:v>
      </x:c>
      <x:c r="C165" s="43" t="str">
        <x:v>es206</x:v>
      </x:c>
      <x:c r="D165" s="43" t="str">
        <x:v>207</x:v>
      </x:c>
      <x:c r="E165" s="43" t="str">
        <x:v>data_file</x:v>
      </x:c>
      <x:c r="F165" s="43" t="str">
        <x:v>abramova_2023_biopsy_data.xlsx</x:v>
      </x:c>
      <x:c r="G165" s="43" t="str">
        <x:v>included_studies/abramova_2023_biopsy/abramova_2023_biopsy_data_calculations.xlsx</x:v>
      </x:c>
      <x:c r="H165" s="43" t="str">
        <x:v>Corrected transcription</x:v>
      </x:c>
      <x:c r="I165" s="43" t="str">
        <x:v>included_studies/abramova_2023_biopsy/abramova_2023_biopsy_data_calculations.xlsx, Table1_Extract</x:v>
      </x:c>
      <x:c r="J165" s="43" t="str">
        <x:v>Use the stable path to the saved extraction/calculation workbook.</x:v>
      </x:c>
    </x:row>
    <x:row r="166">
      <x:c r="A166" s="43" t="str">
        <x:v>7 – Abramova 2023 identifiers and units</x:v>
      </x:c>
      <x:c r="B166" s="43" t="str">
        <x:v>abramova_2023_biopsy</x:v>
      </x:c>
      <x:c r="C166" s="43" t="str">
        <x:v>es206</x:v>
      </x:c>
      <x:c r="D166" s="43" t="str">
        <x:v>207</x:v>
      </x:c>
      <x:c r="E166" s="43" t="str">
        <x:v>ex_a_id</x:v>
      </x:c>
      <x:c r="F166" s="43" t="str">
        <x:v>PS_f_</x:v>
      </x:c>
      <x:c r="G166" s="43" t="str">
        <x:v>PS_m_</x:v>
      </x:c>
      <x:c r="H166" s="43" t="str">
        <x:v>Corrected transcription</x:v>
      </x:c>
      <x:c r="I166" s="43" t="str">
        <x:v>included_studies/abramova_2023_biopsy/abramova_2023_biopsy_data_calculations.xlsx, Table1_Extract</x:v>
      </x:c>
      <x:c r="J166" s="43" t="str">
        <x:v>Make the exposed identifier agree with the sex in the paired source row.</x:v>
      </x:c>
    </x:row>
    <x:row r="167">
      <x:c r="A167" s="43" t="str">
        <x:v>7 – Abramova 2023 identifiers and units</x:v>
      </x:c>
      <x:c r="B167" s="43" t="str">
        <x:v>abramova_2023_biopsy</x:v>
      </x:c>
      <x:c r="C167" s="43" t="str">
        <x:v>es207</x:v>
      </x:c>
      <x:c r="D167" s="43" t="str">
        <x:v>208</x:v>
      </x:c>
      <x:c r="E167" s="43" t="str">
        <x:v>c_a_id</x:v>
      </x:c>
      <x:c r="F167" s="43" t="str">
        <x:v>KON_m_</x:v>
      </x:c>
      <x:c r="G167" s="43" t="str">
        <x:v>KON_f_</x:v>
      </x:c>
      <x:c r="H167" s="43" t="str">
        <x:v>Corrected transcription</x:v>
      </x:c>
      <x:c r="I167" s="43" t="str">
        <x:v>included_studies/abramova_2023_biopsy/abramova_2023_biopsy_data_calculations.xlsx, Table1_Extract</x:v>
      </x:c>
      <x:c r="J167" s="43" t="str">
        <x:v>Make the control identifier agree with the sex in the paired source row.</x:v>
      </x:c>
    </x:row>
    <x:row r="168">
      <x:c r="A168" s="43" t="str">
        <x:v>7 – Abramova 2023 identifiers and units</x:v>
      </x:c>
      <x:c r="B168" s="43" t="str">
        <x:v>abramova_2023_biopsy</x:v>
      </x:c>
      <x:c r="C168" s="43" t="str">
        <x:v>es207</x:v>
      </x:c>
      <x:c r="D168" s="43" t="str">
        <x:v>208</x:v>
      </x:c>
      <x:c r="E168" s="43" t="str">
        <x:v>comparison</x:v>
      </x:c>
      <x:c r="F168" s="43" t="str">
        <x:v>KON_PS_m_</x:v>
      </x:c>
      <x:c r="G168" s="43" t="str">
        <x:v>KON_PS_f_</x:v>
      </x:c>
      <x:c r="H168" s="43" t="str">
        <x:v>Corrected transcription</x:v>
      </x:c>
      <x:c r="I168" s="43" t="str">
        <x:v>included_studies/abramova_2023_biopsy/abramova_2023_biopsy_data_calculations.xlsx, Table1_Extract</x:v>
      </x:c>
      <x:c r="J168" s="43" t="str">
        <x:v>Make the comparison identifier agree with the sex in the paired source row.</x:v>
      </x:c>
    </x:row>
    <x:row r="169">
      <x:c r="A169" s="43" t="str">
        <x:v>7 – Abramova 2023 identifiers and units</x:v>
      </x:c>
      <x:c r="B169" s="43" t="str">
        <x:v>abramova_2023_biopsy</x:v>
      </x:c>
      <x:c r="C169" s="43" t="str">
        <x:v>es207</x:v>
      </x:c>
      <x:c r="D169" s="43" t="str">
        <x:v>208</x:v>
      </x:c>
      <x:c r="E169" s="43" t="str">
        <x:v>data_file</x:v>
      </x:c>
      <x:c r="F169" s="43" t="str">
        <x:v>abramova_2023_biopsy_data.xlsx</x:v>
      </x:c>
      <x:c r="G169" s="43" t="str">
        <x:v>included_studies/abramova_2023_biopsy/abramova_2023_biopsy_data_calculations.xlsx</x:v>
      </x:c>
      <x:c r="H169" s="43" t="str">
        <x:v>Corrected transcription</x:v>
      </x:c>
      <x:c r="I169" s="43" t="str">
        <x:v>included_studies/abramova_2023_biopsy/abramova_2023_biopsy_data_calculations.xlsx, Table1_Extract</x:v>
      </x:c>
      <x:c r="J169" s="43" t="str">
        <x:v>Use the stable path to the saved extraction/calculation workbook.</x:v>
      </x:c>
    </x:row>
    <x:row r="170">
      <x:c r="A170" s="44" t="str">
        <x:v>7 – Abramova 2023 identifiers and units</x:v>
      </x:c>
      <x:c r="B170" s="44" t="str">
        <x:v>abramova_2023_biopsy</x:v>
      </x:c>
      <x:c r="C170" s="44" t="str">
        <x:v>es207</x:v>
      </x:c>
      <x:c r="D170" s="44" t="str">
        <x:v>208</x:v>
      </x:c>
      <x:c r="E170" s="44" t="str">
        <x:v>ex_a_id</x:v>
      </x:c>
      <x:c r="F170" s="44" t="str">
        <x:v>PS_m_</x:v>
      </x:c>
      <x:c r="G170" s="44" t="str">
        <x:v>PS_f_</x:v>
      </x:c>
      <x:c r="H170" s="44" t="str">
        <x:v>Corrected transcription</x:v>
      </x:c>
      <x:c r="I170" s="44" t="str">
        <x:v>included_studies/abramova_2023_biopsy/abramova_2023_biopsy_data_calculations.xlsx, Table1_Extract</x:v>
      </x:c>
      <x:c r="J170" s="44" t="str">
        <x:v>Make the exposed identifier agree with the sex in the paired source row.</x:v>
      </x:c>
    </x:row>
  </x:sheetData>
  <x:conditionalFormatting sqref="H2:H170">
    <x:cfRule type="containsText" dxfId="60" priority="1" operator="containsText" text="Verified"/>
    <x:cfRule type="containsText" dxfId="61" priority="2" operator="containsText" text="Corrected transcription"/>
    <x:cfRule type="containsText" dxfId="62" priority="3" operator="containsText" text="Corrected derived value"/>
    <x:cfRule type="containsText" dxfId="63" priority="4" operator="containsText" text="Analysis decision required"/>
    <x:cfRule type="containsText" dxfId="64" priority="5" operator="containsText" text="Source needed"/>
  </x:conditionalFormatting>
  <x:pageMargins left="0.7" right="0.7" top="0.75" bottom="0.75" header="0.3" footer="0.3"/>
  <x:tableParts count="1">
    <x:tablePart xmlns:r="http://schemas.openxmlformats.org/officeDocument/2006/relationships" r:id="R28bcf359076343f4"/>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Variance decision – Whitlow 1978</x:v>
      </x:c>
      <x:c r="B2" s="42" t="str">
        <x:v>whitlow_1978_thesis</x:v>
      </x:c>
      <x:c r="C2" s="42" t="str">
        <x:v>es094</x:v>
      </x:c>
      <x:c r="D2" s="42" t="str">
        <x:v>95</x:v>
      </x:c>
      <x:c r="E2" s="42" t="str">
        <x:v>c_se_analysis</x:v>
      </x:c>
      <x:c r="F2" s="42" t="str"/>
      <x:c r="G2" s="42" t="str">
        <x:v>1.811483</x:v>
      </x:c>
      <x:c r="H2" s="42" t="str">
        <x:v>Corrected derived value</x:v>
      </x:c>
      <x:c r="I2" s="42" t="str">
        <x:v>included_studies/whitlow_1978_thesis.pdf; figure error bars are not defined; assumption approved by reviewer</x:v>
      </x:c>
      <x:c r="J2" s="42" t="str">
        <x:v>Apply the reviewer-approved variance assumption transparently; no author-reported variance is implied.</x:v>
      </x:c>
    </x:row>
    <x:row r="3">
      <x:c r="A3" s="43" t="str">
        <x:v>Variance decision – Whitlow 1978</x:v>
      </x:c>
      <x:c r="B3" s="43" t="str">
        <x:v>whitlow_1978_thesis</x:v>
      </x:c>
      <x:c r="C3" s="43" t="str">
        <x:v>es094</x:v>
      </x:c>
      <x:c r="D3" s="43" t="str">
        <x:v>95</x:v>
      </x:c>
      <x:c r="E3" s="43" t="str">
        <x:v>ex_se_analysis</x:v>
      </x:c>
      <x:c r="F3" s="43" t="str"/>
      <x:c r="G3" s="43" t="str">
        <x:v>1.887174</x:v>
      </x:c>
      <x:c r="H3" s="43" t="str">
        <x:v>Corrected derived value</x:v>
      </x:c>
      <x:c r="I3" s="43" t="str">
        <x:v>included_studies/whitlow_1978_thesis.pdf; figure error bars are not defined; assumption approved by reviewer</x:v>
      </x:c>
      <x:c r="J3" s="43" t="str">
        <x:v>Apply the reviewer-approved variance assumption transparently; no author-reported variance is implied.</x:v>
      </x:c>
    </x:row>
    <x:row r="4">
      <x:c r="A4" s="43" t="str">
        <x:v>Variance decision – Whitlow 1978</x:v>
      </x:c>
      <x:c r="B4" s="43" t="str">
        <x:v>whitlow_1978_thesis</x:v>
      </x:c>
      <x:c r="C4" s="43" t="str">
        <x:v>es095</x:v>
      </x:c>
      <x:c r="D4" s="43" t="str">
        <x:v>96</x:v>
      </x:c>
      <x:c r="E4" s="43" t="str">
        <x:v>c_se_analysis</x:v>
      </x:c>
      <x:c r="F4" s="43" t="str"/>
      <x:c r="G4" s="43" t="str">
        <x:v>1.811483</x:v>
      </x:c>
      <x:c r="H4" s="43" t="str">
        <x:v>Corrected derived value</x:v>
      </x:c>
      <x:c r="I4" s="43" t="str">
        <x:v>included_studies/whitlow_1978_thesis.pdf; figure error bars are not defined; assumption approved by reviewer</x:v>
      </x:c>
      <x:c r="J4" s="43" t="str">
        <x:v>Apply the reviewer-approved variance assumption transparently; no author-reported variance is implied.</x:v>
      </x:c>
    </x:row>
    <x:row r="5">
      <x:c r="A5" s="43" t="str">
        <x:v>Variance decision – Whitlow 1978</x:v>
      </x:c>
      <x:c r="B5" s="43" t="str">
        <x:v>whitlow_1978_thesis</x:v>
      </x:c>
      <x:c r="C5" s="43" t="str">
        <x:v>es095</x:v>
      </x:c>
      <x:c r="D5" s="43" t="str">
        <x:v>96</x:v>
      </x:c>
      <x:c r="E5" s="43" t="str">
        <x:v>ex_se_analysis</x:v>
      </x:c>
      <x:c r="F5" s="43" t="str"/>
      <x:c r="G5" s="43" t="str">
        <x:v>1.74458</x:v>
      </x:c>
      <x:c r="H5" s="43" t="str">
        <x:v>Corrected derived value</x:v>
      </x:c>
      <x:c r="I5" s="43" t="str">
        <x:v>included_studies/whitlow_1978_thesis.pdf; figure error bars are not defined; assumption approved by reviewer</x:v>
      </x:c>
      <x:c r="J5" s="43" t="str">
        <x:v>Apply the reviewer-approved variance assumption transparently; no author-reported variance is implied.</x:v>
      </x:c>
    </x:row>
    <x:row r="6">
      <x:c r="A6" s="43" t="str">
        <x:v>Variance decision – Whitlow 1978</x:v>
      </x:c>
      <x:c r="B6" s="43" t="str">
        <x:v>whitlow_1978_thesis</x:v>
      </x:c>
      <x:c r="C6" s="43" t="str">
        <x:v>es096</x:v>
      </x:c>
      <x:c r="D6" s="43" t="str">
        <x:v>97</x:v>
      </x:c>
      <x:c r="E6" s="43" t="str">
        <x:v>c_se_analysis</x:v>
      </x:c>
      <x:c r="F6" s="43" t="str"/>
      <x:c r="G6" s="43" t="str">
        <x:v>1.409617</x:v>
      </x:c>
      <x:c r="H6" s="43" t="str">
        <x:v>Corrected derived value</x:v>
      </x:c>
      <x:c r="I6" s="43" t="str">
        <x:v>included_studies/whitlow_1978_thesis.pdf; figure error bars are not defined; assumption approved by reviewer</x:v>
      </x:c>
      <x:c r="J6" s="43" t="str">
        <x:v>Apply the reviewer-approved variance assumption transparently; no author-reported variance is implied.</x:v>
      </x:c>
    </x:row>
    <x:row r="7">
      <x:c r="A7" s="43" t="str">
        <x:v>Variance decision – Whitlow 1978</x:v>
      </x:c>
      <x:c r="B7" s="43" t="str">
        <x:v>whitlow_1978_thesis</x:v>
      </x:c>
      <x:c r="C7" s="43" t="str">
        <x:v>es096</x:v>
      </x:c>
      <x:c r="D7" s="43" t="str">
        <x:v>97</x:v>
      </x:c>
      <x:c r="E7" s="43" t="str">
        <x:v>ex_se_analysis</x:v>
      </x:c>
      <x:c r="F7" s="43" t="str"/>
      <x:c r="G7" s="43" t="str">
        <x:v>1.46288</x:v>
      </x:c>
      <x:c r="H7" s="43" t="str">
        <x:v>Corrected derived value</x:v>
      </x:c>
      <x:c r="I7" s="43" t="str">
        <x:v>included_studies/whitlow_1978_thesis.pdf; figure error bars are not defined; assumption approved by reviewer</x:v>
      </x:c>
      <x:c r="J7" s="43" t="str">
        <x:v>Apply the reviewer-approved variance assumption transparently; no author-reported variance is implied.</x:v>
      </x:c>
    </x:row>
    <x:row r="8">
      <x:c r="A8" s="43" t="str">
        <x:v>Variance decision – Whitlow 1978</x:v>
      </x:c>
      <x:c r="B8" s="43" t="str">
        <x:v>whitlow_1978_thesis</x:v>
      </x:c>
      <x:c r="C8" s="43" t="str">
        <x:v>es097</x:v>
      </x:c>
      <x:c r="D8" s="43" t="str">
        <x:v>98</x:v>
      </x:c>
      <x:c r="E8" s="43" t="str">
        <x:v>c_se_analysis</x:v>
      </x:c>
      <x:c r="F8" s="43" t="str"/>
      <x:c r="G8" s="43" t="str">
        <x:v>1.409617</x:v>
      </x:c>
      <x:c r="H8" s="43" t="str">
        <x:v>Corrected derived value</x:v>
      </x:c>
      <x:c r="I8" s="43" t="str">
        <x:v>included_studies/whitlow_1978_thesis.pdf; figure error bars are not defined; assumption approved by reviewer</x:v>
      </x:c>
      <x:c r="J8" s="43" t="str">
        <x:v>Apply the reviewer-approved variance assumption transparently; no author-reported variance is implied.</x:v>
      </x:c>
    </x:row>
    <x:row r="9">
      <x:c r="A9" s="43" t="str">
        <x:v>Variance decision – Whitlow 1978</x:v>
      </x:c>
      <x:c r="B9" s="43" t="str">
        <x:v>whitlow_1978_thesis</x:v>
      </x:c>
      <x:c r="C9" s="43" t="str">
        <x:v>es097</x:v>
      </x:c>
      <x:c r="D9" s="43" t="str">
        <x:v>98</x:v>
      </x:c>
      <x:c r="E9" s="43" t="str">
        <x:v>ex_se_analysis</x:v>
      </x:c>
      <x:c r="F9" s="43" t="str"/>
      <x:c r="G9" s="43" t="str">
        <x:v>1.357986</x:v>
      </x:c>
      <x:c r="H9" s="43" t="str">
        <x:v>Corrected derived value</x:v>
      </x:c>
      <x:c r="I9" s="43" t="str">
        <x:v>included_studies/whitlow_1978_thesis.pdf; figure error bars are not defined; assumption approved by reviewer</x:v>
      </x:c>
      <x:c r="J9" s="43" t="str">
        <x:v>Apply the reviewer-approved variance assumption transparently; no author-reported variance is implied.</x:v>
      </x:c>
    </x:row>
    <x:row r="10">
      <x:c r="A10" s="43" t="str">
        <x:v>Variance decision – Whitlow 1978</x:v>
      </x:c>
      <x:c r="B10" s="43" t="str">
        <x:v>whitlow_1978_thesis</x:v>
      </x:c>
      <x:c r="C10" s="43" t="str">
        <x:v>es098</x:v>
      </x:c>
      <x:c r="D10" s="43" t="str">
        <x:v>99</x:v>
      </x:c>
      <x:c r="E10" s="43" t="str">
        <x:v>c_se_analysis</x:v>
      </x:c>
      <x:c r="F10" s="43" t="str"/>
      <x:c r="G10" s="43" t="str">
        <x:v>0.930853</x:v>
      </x:c>
      <x:c r="H10" s="43" t="str">
        <x:v>Corrected derived value</x:v>
      </x:c>
      <x:c r="I10" s="43" t="str">
        <x:v>included_studies/whitlow_1978_thesis.pdf; figure error bars are not defined; assumption approved by reviewer</x:v>
      </x:c>
      <x:c r="J10" s="43" t="str">
        <x:v>Apply the reviewer-approved variance assumption transparently; no author-reported variance is implied.</x:v>
      </x:c>
    </x:row>
    <x:row r="11">
      <x:c r="A11" s="43" t="str">
        <x:v>Variance decision – Whitlow 1978</x:v>
      </x:c>
      <x:c r="B11" s="43" t="str">
        <x:v>whitlow_1978_thesis</x:v>
      </x:c>
      <x:c r="C11" s="43" t="str">
        <x:v>es098</x:v>
      </x:c>
      <x:c r="D11" s="43" t="str">
        <x:v>99</x:v>
      </x:c>
      <x:c r="E11" s="43" t="str">
        <x:v>ex_se_analysis</x:v>
      </x:c>
      <x:c r="F11" s="43" t="str"/>
      <x:c r="G11" s="43" t="str">
        <x:v>1.156226</x:v>
      </x:c>
      <x:c r="H11" s="43" t="str">
        <x:v>Corrected derived value</x:v>
      </x:c>
      <x:c r="I11" s="43" t="str">
        <x:v>included_studies/whitlow_1978_thesis.pdf; figure error bars are not defined; assumption approved by reviewer</x:v>
      </x:c>
      <x:c r="J11" s="43" t="str">
        <x:v>Apply the reviewer-approved variance assumption transparently; no author-reported variance is implied.</x:v>
      </x:c>
    </x:row>
    <x:row r="12">
      <x:c r="A12" s="43" t="str">
        <x:v>Variance decision – Whitlow 1978</x:v>
      </x:c>
      <x:c r="B12" s="43" t="str">
        <x:v>whitlow_1978_thesis</x:v>
      </x:c>
      <x:c r="C12" s="43" t="str">
        <x:v>es099</x:v>
      </x:c>
      <x:c r="D12" s="43" t="str">
        <x:v>100</x:v>
      </x:c>
      <x:c r="E12" s="43" t="str">
        <x:v>c_se_analysis</x:v>
      </x:c>
      <x:c r="F12" s="43" t="str"/>
      <x:c r="G12" s="43" t="str">
        <x:v>0.930853</x:v>
      </x:c>
      <x:c r="H12" s="43" t="str">
        <x:v>Corrected derived value</x:v>
      </x:c>
      <x:c r="I12" s="43" t="str">
        <x:v>included_studies/whitlow_1978_thesis.pdf; figure error bars are not defined; assumption approved by reviewer</x:v>
      </x:c>
      <x:c r="J12" s="43" t="str">
        <x:v>Apply the reviewer-approved variance assumption transparently; no author-reported variance is implied.</x:v>
      </x:c>
    </x:row>
    <x:row r="13">
      <x:c r="A13" s="43" t="str">
        <x:v>Variance decision – Whitlow 1978</x:v>
      </x:c>
      <x:c r="B13" s="43" t="str">
        <x:v>whitlow_1978_thesis</x:v>
      </x:c>
      <x:c r="C13" s="43" t="str">
        <x:v>es099</x:v>
      </x:c>
      <x:c r="D13" s="43" t="str">
        <x:v>100</x:v>
      </x:c>
      <x:c r="E13" s="43" t="str">
        <x:v>ex_se_analysis</x:v>
      </x:c>
      <x:c r="F13" s="43" t="str"/>
      <x:c r="G13" s="43" t="str">
        <x:v>0.887316</x:v>
      </x:c>
      <x:c r="H13" s="43" t="str">
        <x:v>Corrected derived value</x:v>
      </x:c>
      <x:c r="I13" s="43" t="str">
        <x:v>included_studies/whitlow_1978_thesis.pdf; figure error bars are not defined; assumption approved by reviewer</x:v>
      </x:c>
      <x:c r="J13" s="43" t="str">
        <x:v>Apply the reviewer-approved variance assumption transparently; no author-reported variance is implied.</x:v>
      </x:c>
    </x:row>
    <x:row r="14">
      <x:c r="A14" s="43" t="str">
        <x:v>Variance decision – Whitlow 1978</x:v>
      </x:c>
      <x:c r="B14" s="43" t="str">
        <x:v>whitlow_1978_thesis</x:v>
      </x:c>
      <x:c r="C14" s="43" t="str">
        <x:v>es100</x:v>
      </x:c>
      <x:c r="D14" s="43" t="str">
        <x:v>101</x:v>
      </x:c>
      <x:c r="E14" s="43" t="str">
        <x:v>c_se_analysis</x:v>
      </x:c>
      <x:c r="F14" s="43" t="str"/>
      <x:c r="G14" s="43" t="str">
        <x:v>0.473286</x:v>
      </x:c>
      <x:c r="H14" s="43" t="str">
        <x:v>Corrected derived value</x:v>
      </x:c>
      <x:c r="I14" s="43" t="str">
        <x:v>included_studies/whitlow_1978_thesis.pdf; figure error bars are not defined; assumption approved by reviewer</x:v>
      </x:c>
      <x:c r="J14" s="43" t="str">
        <x:v>Apply the reviewer-approved variance assumption transparently; no author-reported variance is implied.</x:v>
      </x:c>
    </x:row>
    <x:row r="15">
      <x:c r="A15" s="43" t="str">
        <x:v>Variance decision – Whitlow 1978</x:v>
      </x:c>
      <x:c r="B15" s="43" t="str">
        <x:v>whitlow_1978_thesis</x:v>
      </x:c>
      <x:c r="C15" s="43" t="str">
        <x:v>es100</x:v>
      </x:c>
      <x:c r="D15" s="43" t="str">
        <x:v>101</x:v>
      </x:c>
      <x:c r="E15" s="43" t="str">
        <x:v>ex_se_analysis</x:v>
      </x:c>
      <x:c r="F15" s="43" t="str"/>
      <x:c r="G15" s="43" t="str">
        <x:v>0.429012</x:v>
      </x:c>
      <x:c r="H15" s="43" t="str">
        <x:v>Corrected derived value</x:v>
      </x:c>
      <x:c r="I15" s="43" t="str">
        <x:v>included_studies/whitlow_1978_thesis.pdf; figure error bars are not defined; assumption approved by reviewer</x:v>
      </x:c>
      <x:c r="J15" s="43" t="str">
        <x:v>Apply the reviewer-approved variance assumption transparently; no author-reported variance is implied.</x:v>
      </x:c>
    </x:row>
    <x:row r="16">
      <x:c r="A16" s="43" t="str">
        <x:v>Variance decision – Whitlow 1978</x:v>
      </x:c>
      <x:c r="B16" s="43" t="str">
        <x:v>whitlow_1978_thesis</x:v>
      </x:c>
      <x:c r="C16" s="43" t="str">
        <x:v>es101</x:v>
      </x:c>
      <x:c r="D16" s="43" t="str">
        <x:v>102</x:v>
      </x:c>
      <x:c r="E16" s="43" t="str">
        <x:v>c_se_analysis</x:v>
      </x:c>
      <x:c r="F16" s="43" t="str"/>
      <x:c r="G16" s="43" t="str">
        <x:v>0.473286</x:v>
      </x:c>
      <x:c r="H16" s="43" t="str">
        <x:v>Corrected derived value</x:v>
      </x:c>
      <x:c r="I16" s="43" t="str">
        <x:v>included_studies/whitlow_1978_thesis.pdf; figure error bars are not defined; assumption approved by reviewer</x:v>
      </x:c>
      <x:c r="J16" s="43" t="str">
        <x:v>Apply the reviewer-approved variance assumption transparently; no author-reported variance is implied.</x:v>
      </x:c>
    </x:row>
    <x:row r="17">
      <x:c r="A17" s="43" t="str">
        <x:v>Variance decision – Whitlow 1978</x:v>
      </x:c>
      <x:c r="B17" s="43" t="str">
        <x:v>whitlow_1978_thesis</x:v>
      </x:c>
      <x:c r="C17" s="43" t="str">
        <x:v>es101</x:v>
      </x:c>
      <x:c r="D17" s="43" t="str">
        <x:v>102</x:v>
      </x:c>
      <x:c r="E17" s="43" t="str">
        <x:v>ex_se_analysis</x:v>
      </x:c>
      <x:c r="F17" s="43" t="str"/>
      <x:c r="G17" s="43" t="str">
        <x:v>0.430577</x:v>
      </x:c>
      <x:c r="H17" s="43" t="str">
        <x:v>Corrected derived value</x:v>
      </x:c>
      <x:c r="I17" s="43" t="str">
        <x:v>included_studies/whitlow_1978_thesis.pdf; figure error bars are not defined; assumption approved by reviewer</x:v>
      </x:c>
      <x:c r="J17" s="43" t="str">
        <x:v>Apply the reviewer-approved variance assumption transparently; no author-reported variance is implied.</x:v>
      </x:c>
    </x:row>
    <x:row r="18">
      <x:c r="A18" s="43" t="str">
        <x:v>Variance decision – Whitlow 1978</x:v>
      </x:c>
      <x:c r="B18" s="43" t="str">
        <x:v>whitlow_1978_thesis</x:v>
      </x:c>
      <x:c r="C18" s="43" t="str">
        <x:v>es102</x:v>
      </x:c>
      <x:c r="D18" s="43" t="str">
        <x:v>103</x:v>
      </x:c>
      <x:c r="E18" s="43" t="str">
        <x:v>c_se_analysis</x:v>
      </x:c>
      <x:c r="F18" s="43" t="str"/>
      <x:c r="G18" s="43" t="str">
        <x:v>0.565233</x:v>
      </x:c>
      <x:c r="H18" s="43" t="str">
        <x:v>Corrected derived value</x:v>
      </x:c>
      <x:c r="I18" s="43" t="str">
        <x:v>included_studies/whitlow_1978_thesis.pdf; figure error bars are not defined; assumption approved by reviewer</x:v>
      </x:c>
      <x:c r="J18" s="43" t="str">
        <x:v>Apply the reviewer-approved variance assumption transparently; no author-reported variance is implied.</x:v>
      </x:c>
    </x:row>
    <x:row r="19">
      <x:c r="A19" s="43" t="str">
        <x:v>Variance decision – Whitlow 1978</x:v>
      </x:c>
      <x:c r="B19" s="43" t="str">
        <x:v>whitlow_1978_thesis</x:v>
      </x:c>
      <x:c r="C19" s="43" t="str">
        <x:v>es102</x:v>
      </x:c>
      <x:c r="D19" s="43" t="str">
        <x:v>103</x:v>
      </x:c>
      <x:c r="E19" s="43" t="str">
        <x:v>ex_se_analysis</x:v>
      </x:c>
      <x:c r="F19" s="43" t="str"/>
      <x:c r="G19" s="43" t="str">
        <x:v>0.532475</x:v>
      </x:c>
      <x:c r="H19" s="43" t="str">
        <x:v>Corrected derived value</x:v>
      </x:c>
      <x:c r="I19" s="43" t="str">
        <x:v>included_studies/whitlow_1978_thesis.pdf; figure error bars are not defined; assumption approved by reviewer</x:v>
      </x:c>
      <x:c r="J19" s="43" t="str">
        <x:v>Apply the reviewer-approved variance assumption transparently; no author-reported variance is implied.</x:v>
      </x:c>
    </x:row>
    <x:row r="20">
      <x:c r="A20" s="43" t="str">
        <x:v>Variance decision – Whitlow 1978</x:v>
      </x:c>
      <x:c r="B20" s="43" t="str">
        <x:v>whitlow_1978_thesis</x:v>
      </x:c>
      <x:c r="C20" s="43" t="str">
        <x:v>es103</x:v>
      </x:c>
      <x:c r="D20" s="43" t="str">
        <x:v>104</x:v>
      </x:c>
      <x:c r="E20" s="43" t="str">
        <x:v>c_se_analysis</x:v>
      </x:c>
      <x:c r="F20" s="43" t="str"/>
      <x:c r="G20" s="43" t="str">
        <x:v>0.565233</x:v>
      </x:c>
      <x:c r="H20" s="43" t="str">
        <x:v>Corrected derived value</x:v>
      </x:c>
      <x:c r="I20" s="43" t="str">
        <x:v>included_studies/whitlow_1978_thesis.pdf; figure error bars are not defined; assumption approved by reviewer</x:v>
      </x:c>
      <x:c r="J20" s="43" t="str">
        <x:v>Apply the reviewer-approved variance assumption transparently; no author-reported variance is implied.</x:v>
      </x:c>
    </x:row>
    <x:row r="21">
      <x:c r="A21" s="43" t="str">
        <x:v>Variance decision – Whitlow 1978</x:v>
      </x:c>
      <x:c r="B21" s="43" t="str">
        <x:v>whitlow_1978_thesis</x:v>
      </x:c>
      <x:c r="C21" s="43" t="str">
        <x:v>es103</x:v>
      </x:c>
      <x:c r="D21" s="43" t="str">
        <x:v>104</x:v>
      </x:c>
      <x:c r="E21" s="43" t="str">
        <x:v>ex_se_analysis</x:v>
      </x:c>
      <x:c r="F21" s="43" t="str"/>
      <x:c r="G21" s="43" t="str">
        <x:v>0.490012</x:v>
      </x:c>
      <x:c r="H21" s="43" t="str">
        <x:v>Corrected derived value</x:v>
      </x:c>
      <x:c r="I21" s="43" t="str">
        <x:v>included_studies/whitlow_1978_thesis.pdf; figure error bars are not defined; assumption approved by reviewer</x:v>
      </x:c>
      <x:c r="J21" s="43" t="str">
        <x:v>Apply the reviewer-approved variance assumption transparently; no author-reported variance is implied.</x:v>
      </x:c>
    </x:row>
    <x:row r="22">
      <x:c r="A22" s="43" t="str">
        <x:v>Variance decision – Whitlow 1978</x:v>
      </x:c>
      <x:c r="B22" s="43" t="str">
        <x:v>whitlow_1978_thesis</x:v>
      </x:c>
      <x:c r="C22" s="43" t="str">
        <x:v>es104</x:v>
      </x:c>
      <x:c r="D22" s="43" t="str">
        <x:v>105</x:v>
      </x:c>
      <x:c r="E22" s="43" t="str">
        <x:v>c_se_analysis</x:v>
      </x:c>
      <x:c r="F22" s="43" t="str"/>
      <x:c r="G22" s="43" t="str">
        <x:v>0.43818</x:v>
      </x:c>
      <x:c r="H22" s="43" t="str">
        <x:v>Corrected derived value</x:v>
      </x:c>
      <x:c r="I22" s="43" t="str">
        <x:v>included_studies/whitlow_1978_thesis.pdf; figure error bars are not defined; assumption approved by reviewer</x:v>
      </x:c>
      <x:c r="J22" s="43" t="str">
        <x:v>Apply the reviewer-approved variance assumption transparently; no author-reported variance is implied.</x:v>
      </x:c>
    </x:row>
    <x:row r="23">
      <x:c r="A23" s="43" t="str">
        <x:v>Variance decision – Whitlow 1978</x:v>
      </x:c>
      <x:c r="B23" s="43" t="str">
        <x:v>whitlow_1978_thesis</x:v>
      </x:c>
      <x:c r="C23" s="43" t="str">
        <x:v>es104</x:v>
      </x:c>
      <x:c r="D23" s="43" t="str">
        <x:v>105</x:v>
      </x:c>
      <x:c r="E23" s="43" t="str">
        <x:v>ex_se_analysis</x:v>
      </x:c>
      <x:c r="F23" s="43" t="str"/>
      <x:c r="G23" s="43" t="str">
        <x:v>0.429526</x:v>
      </x:c>
      <x:c r="H23" s="43" t="str">
        <x:v>Corrected derived value</x:v>
      </x:c>
      <x:c r="I23" s="43" t="str">
        <x:v>included_studies/whitlow_1978_thesis.pdf; figure error bars are not defined; assumption approved by reviewer</x:v>
      </x:c>
      <x:c r="J23" s="43" t="str">
        <x:v>Apply the reviewer-approved variance assumption transparently; no author-reported variance is implied.</x:v>
      </x:c>
    </x:row>
    <x:row r="24">
      <x:c r="A24" s="43" t="str">
        <x:v>Variance decision – Whitlow 1978</x:v>
      </x:c>
      <x:c r="B24" s="43" t="str">
        <x:v>whitlow_1978_thesis</x:v>
      </x:c>
      <x:c r="C24" s="43" t="str">
        <x:v>es105</x:v>
      </x:c>
      <x:c r="D24" s="43" t="str">
        <x:v>106</x:v>
      </x:c>
      <x:c r="E24" s="43" t="str">
        <x:v>c_se_analysis</x:v>
      </x:c>
      <x:c r="F24" s="43" t="str"/>
      <x:c r="G24" s="43" t="str">
        <x:v>0.43818</x:v>
      </x:c>
      <x:c r="H24" s="43" t="str">
        <x:v>Corrected derived value</x:v>
      </x:c>
      <x:c r="I24" s="43" t="str">
        <x:v>included_studies/whitlow_1978_thesis.pdf; figure error bars are not defined; assumption approved by reviewer</x:v>
      </x:c>
      <x:c r="J24" s="43" t="str">
        <x:v>Apply the reviewer-approved variance assumption transparently; no author-reported variance is implied.</x:v>
      </x:c>
    </x:row>
    <x:row r="25">
      <x:c r="A25" s="43" t="str">
        <x:v>Variance decision – Whitlow 1978</x:v>
      </x:c>
      <x:c r="B25" s="43" t="str">
        <x:v>whitlow_1978_thesis</x:v>
      </x:c>
      <x:c r="C25" s="43" t="str">
        <x:v>es105</x:v>
      </x:c>
      <x:c r="D25" s="43" t="str">
        <x:v>106</x:v>
      </x:c>
      <x:c r="E25" s="43" t="str">
        <x:v>ex_se_analysis</x:v>
      </x:c>
      <x:c r="F25" s="43" t="str"/>
      <x:c r="G25" s="43" t="str">
        <x:v>0.392095</x:v>
      </x:c>
      <x:c r="H25" s="43" t="str">
        <x:v>Corrected derived value</x:v>
      </x:c>
      <x:c r="I25" s="43" t="str">
        <x:v>included_studies/whitlow_1978_thesis.pdf; figure error bars are not defined; assumption approved by reviewer</x:v>
      </x:c>
      <x:c r="J25" s="43" t="str">
        <x:v>Apply the reviewer-approved variance assumption transparently; no author-reported variance is implied.</x:v>
      </x:c>
    </x:row>
    <x:row r="26">
      <x:c r="A26" s="43" t="str">
        <x:v>Variance decision – Whitlow 1978</x:v>
      </x:c>
      <x:c r="B26" s="43" t="str">
        <x:v>whitlow_1978_thesis</x:v>
      </x:c>
      <x:c r="C26" s="43" t="str">
        <x:v>es106</x:v>
      </x:c>
      <x:c r="D26" s="43" t="str">
        <x:v>107</x:v>
      </x:c>
      <x:c r="E26" s="43" t="str">
        <x:v>c_se_analysis</x:v>
      </x:c>
      <x:c r="F26" s="43" t="str"/>
      <x:c r="G26" s="43" t="str">
        <x:v>0.29496</x:v>
      </x:c>
      <x:c r="H26" s="43" t="str">
        <x:v>Corrected derived value</x:v>
      </x:c>
      <x:c r="I26" s="43" t="str">
        <x:v>included_studies/whitlow_1978_thesis.pdf; figure error bars are not defined; assumption approved by reviewer</x:v>
      </x:c>
      <x:c r="J26" s="43" t="str">
        <x:v>Apply the reviewer-approved variance assumption transparently; no author-reported variance is implied.</x:v>
      </x:c>
    </x:row>
    <x:row r="27">
      <x:c r="A27" s="43" t="str">
        <x:v>Variance decision – Whitlow 1978</x:v>
      </x:c>
      <x:c r="B27" s="43" t="str">
        <x:v>whitlow_1978_thesis</x:v>
      </x:c>
      <x:c r="C27" s="43" t="str">
        <x:v>es106</x:v>
      </x:c>
      <x:c r="D27" s="43" t="str">
        <x:v>107</x:v>
      </x:c>
      <x:c r="E27" s="43" t="str">
        <x:v>ex_se_analysis</x:v>
      </x:c>
      <x:c r="F27" s="43" t="str"/>
      <x:c r="G27" s="43" t="str">
        <x:v>0.344802</x:v>
      </x:c>
      <x:c r="H27" s="43" t="str">
        <x:v>Corrected derived value</x:v>
      </x:c>
      <x:c r="I27" s="43" t="str">
        <x:v>included_studies/whitlow_1978_thesis.pdf; figure error bars are not defined; assumption approved by reviewer</x:v>
      </x:c>
      <x:c r="J27" s="43" t="str">
        <x:v>Apply the reviewer-approved variance assumption transparently; no author-reported variance is implied.</x:v>
      </x:c>
    </x:row>
    <x:row r="28">
      <x:c r="A28" s="43" t="str">
        <x:v>Variance decision – Whitlow 1978</x:v>
      </x:c>
      <x:c r="B28" s="43" t="str">
        <x:v>whitlow_1978_thesis</x:v>
      </x:c>
      <x:c r="C28" s="43" t="str">
        <x:v>es107</x:v>
      </x:c>
      <x:c r="D28" s="43" t="str">
        <x:v>108</x:v>
      </x:c>
      <x:c r="E28" s="43" t="str">
        <x:v>c_se_analysis</x:v>
      </x:c>
      <x:c r="F28" s="43" t="str"/>
      <x:c r="G28" s="43" t="str">
        <x:v>0.29496</x:v>
      </x:c>
      <x:c r="H28" s="43" t="str">
        <x:v>Corrected derived value</x:v>
      </x:c>
      <x:c r="I28" s="43" t="str">
        <x:v>included_studies/whitlow_1978_thesis.pdf; figure error bars are not defined; assumption approved by reviewer</x:v>
      </x:c>
      <x:c r="J28" s="43" t="str">
        <x:v>Apply the reviewer-approved variance assumption transparently; no author-reported variance is implied.</x:v>
      </x:c>
    </x:row>
    <x:row r="29">
      <x:c r="A29" s="43" t="str">
        <x:v>Variance decision – Whitlow 1978</x:v>
      </x:c>
      <x:c r="B29" s="43" t="str">
        <x:v>whitlow_1978_thesis</x:v>
      </x:c>
      <x:c r="C29" s="43" t="str">
        <x:v>es107</x:v>
      </x:c>
      <x:c r="D29" s="43" t="str">
        <x:v>108</x:v>
      </x:c>
      <x:c r="E29" s="43" t="str">
        <x:v>ex_se_analysis</x:v>
      </x:c>
      <x:c r="F29" s="43" t="str"/>
      <x:c r="G29" s="43" t="str">
        <x:v>0.318014</x:v>
      </x:c>
      <x:c r="H29" s="43" t="str">
        <x:v>Corrected derived value</x:v>
      </x:c>
      <x:c r="I29" s="43" t="str">
        <x:v>included_studies/whitlow_1978_thesis.pdf; figure error bars are not defined; assumption approved by reviewer</x:v>
      </x:c>
      <x:c r="J29" s="43" t="str">
        <x:v>Apply the reviewer-approved variance assumption transparently; no author-reported variance is implied.</x:v>
      </x:c>
    </x:row>
    <x:row r="30">
      <x:c r="A30" s="43" t="str">
        <x:v>Variance decision – Whitlow 1978</x:v>
      </x:c>
      <x:c r="B30" s="43" t="str">
        <x:v>whitlow_1978_thesis</x:v>
      </x:c>
      <x:c r="C30" s="43" t="str">
        <x:v>es108</x:v>
      </x:c>
      <x:c r="D30" s="43" t="str">
        <x:v>109</x:v>
      </x:c>
      <x:c r="E30" s="43" t="str">
        <x:v>c_se_analysis</x:v>
      </x:c>
      <x:c r="F30" s="43" t="str"/>
      <x:c r="G30" s="43" t="str">
        <x:v>0.333174</x:v>
      </x:c>
      <x:c r="H30" s="43" t="str">
        <x:v>Corrected derived value</x:v>
      </x:c>
      <x:c r="I30" s="43" t="str">
        <x:v>included_studies/whitlow_1978_thesis.pdf; figure error bars are not defined; assumption approved by reviewer</x:v>
      </x:c>
      <x:c r="J30" s="43" t="str">
        <x:v>Apply the reviewer-approved variance assumption transparently; no author-reported variance is implied.</x:v>
      </x:c>
    </x:row>
    <x:row r="31">
      <x:c r="A31" s="43" t="str">
        <x:v>Variance decision – Whitlow 1978</x:v>
      </x:c>
      <x:c r="B31" s="43" t="str">
        <x:v>whitlow_1978_thesis</x:v>
      </x:c>
      <x:c r="C31" s="43" t="str">
        <x:v>es108</x:v>
      </x:c>
      <x:c r="D31" s="43" t="str">
        <x:v>109</x:v>
      </x:c>
      <x:c r="E31" s="43" t="str">
        <x:v>ex_se_analysis</x:v>
      </x:c>
      <x:c r="F31" s="43" t="str"/>
      <x:c r="G31" s="43" t="str">
        <x:v>0.314861</x:v>
      </x:c>
      <x:c r="H31" s="43" t="str">
        <x:v>Corrected derived value</x:v>
      </x:c>
      <x:c r="I31" s="43" t="str">
        <x:v>included_studies/whitlow_1978_thesis.pdf; figure error bars are not defined; assumption approved by reviewer</x:v>
      </x:c>
      <x:c r="J31" s="43" t="str">
        <x:v>Apply the reviewer-approved variance assumption transparently; no author-reported variance is implied.</x:v>
      </x:c>
    </x:row>
    <x:row r="32">
      <x:c r="A32" s="43" t="str">
        <x:v>Variance decision – Whitlow 1978</x:v>
      </x:c>
      <x:c r="B32" s="43" t="str">
        <x:v>whitlow_1978_thesis</x:v>
      </x:c>
      <x:c r="C32" s="43" t="str">
        <x:v>es109</x:v>
      </x:c>
      <x:c r="D32" s="43" t="str">
        <x:v>110</x:v>
      </x:c>
      <x:c r="E32" s="43" t="str">
        <x:v>c_se_analysis</x:v>
      </x:c>
      <x:c r="F32" s="43" t="str"/>
      <x:c r="G32" s="43" t="str">
        <x:v>0.333174</x:v>
      </x:c>
      <x:c r="H32" s="43" t="str">
        <x:v>Corrected derived value</x:v>
      </x:c>
      <x:c r="I32" s="43" t="str">
        <x:v>included_studies/whitlow_1978_thesis.pdf; figure error bars are not defined; assumption approved by reviewer</x:v>
      </x:c>
      <x:c r="J32" s="43" t="str">
        <x:v>Apply the reviewer-approved variance assumption transparently; no author-reported variance is implied.</x:v>
      </x:c>
    </x:row>
    <x:row r="33">
      <x:c r="A33" s="43" t="str">
        <x:v>Variance decision – Whitlow 1978</x:v>
      </x:c>
      <x:c r="B33" s="43" t="str">
        <x:v>whitlow_1978_thesis</x:v>
      </x:c>
      <x:c r="C33" s="43" t="str">
        <x:v>es109</x:v>
      </x:c>
      <x:c r="D33" s="43" t="str">
        <x:v>110</x:v>
      </x:c>
      <x:c r="E33" s="43" t="str">
        <x:v>ex_se_analysis</x:v>
      </x:c>
      <x:c r="F33" s="43" t="str"/>
      <x:c r="G33" s="43" t="str">
        <x:v>0.302585</x:v>
      </x:c>
      <x:c r="H33" s="43" t="str">
        <x:v>Corrected derived value</x:v>
      </x:c>
      <x:c r="I33" s="43" t="str">
        <x:v>included_studies/whitlow_1978_thesis.pdf; figure error bars are not defined; assumption approved by reviewer</x:v>
      </x:c>
      <x:c r="J33" s="43" t="str">
        <x:v>Apply the reviewer-approved variance assumption transparently; no author-reported variance is implied.</x:v>
      </x:c>
    </x:row>
    <x:row r="34">
      <x:c r="A34" s="43" t="str">
        <x:v>Variance decision – Whitlow 1978</x:v>
      </x:c>
      <x:c r="B34" s="43" t="str">
        <x:v>whitlow_1978_thesis</x:v>
      </x:c>
      <x:c r="C34" s="43" t="str">
        <x:v>es110</x:v>
      </x:c>
      <x:c r="D34" s="43" t="str">
        <x:v>111</x:v>
      </x:c>
      <x:c r="E34" s="43" t="str">
        <x:v>c_se_analysis</x:v>
      </x:c>
      <x:c r="F34" s="43" t="str"/>
      <x:c r="G34" s="43" t="str">
        <x:v>0.238745</x:v>
      </x:c>
      <x:c r="H34" s="43" t="str">
        <x:v>Corrected derived value</x:v>
      </x:c>
      <x:c r="I34" s="43" t="str">
        <x:v>included_studies/whitlow_1978_thesis.pdf; figure error bars are not defined; assumption approved by reviewer</x:v>
      </x:c>
      <x:c r="J34" s="43" t="str">
        <x:v>Apply the reviewer-approved variance assumption transparently; no author-reported variance is implied.</x:v>
      </x:c>
    </x:row>
    <x:row r="35">
      <x:c r="A35" s="43" t="str">
        <x:v>Variance decision – Whitlow 1978</x:v>
      </x:c>
      <x:c r="B35" s="43" t="str">
        <x:v>whitlow_1978_thesis</x:v>
      </x:c>
      <x:c r="C35" s="43" t="str">
        <x:v>es110</x:v>
      </x:c>
      <x:c r="D35" s="43" t="str">
        <x:v>111</x:v>
      </x:c>
      <x:c r="E35" s="43" t="str">
        <x:v>ex_se_analysis</x:v>
      </x:c>
      <x:c r="F35" s="43" t="str"/>
      <x:c r="G35" s="43" t="str">
        <x:v>0.358688</x:v>
      </x:c>
      <x:c r="H35" s="43" t="str">
        <x:v>Corrected derived value</x:v>
      </x:c>
      <x:c r="I35" s="43" t="str">
        <x:v>included_studies/whitlow_1978_thesis.pdf; figure error bars are not defined; assumption approved by reviewer</x:v>
      </x:c>
      <x:c r="J35" s="43" t="str">
        <x:v>Apply the reviewer-approved variance assumption transparently; no author-reported variance is implied.</x:v>
      </x:c>
    </x:row>
    <x:row r="36">
      <x:c r="A36" s="43" t="str">
        <x:v>Variance decision – Whitlow 1978</x:v>
      </x:c>
      <x:c r="B36" s="43" t="str">
        <x:v>whitlow_1978_thesis</x:v>
      </x:c>
      <x:c r="C36" s="43" t="str">
        <x:v>es111</x:v>
      </x:c>
      <x:c r="D36" s="43" t="str">
        <x:v>112</x:v>
      </x:c>
      <x:c r="E36" s="43" t="str">
        <x:v>c_se_analysis</x:v>
      </x:c>
      <x:c r="F36" s="43" t="str"/>
      <x:c r="G36" s="43" t="str">
        <x:v>0.238745</x:v>
      </x:c>
      <x:c r="H36" s="43" t="str">
        <x:v>Corrected derived value</x:v>
      </x:c>
      <x:c r="I36" s="43" t="str">
        <x:v>included_studies/whitlow_1978_thesis.pdf; figure error bars are not defined; assumption approved by reviewer</x:v>
      </x:c>
      <x:c r="J36" s="43" t="str">
        <x:v>Apply the reviewer-approved variance assumption transparently; no author-reported variance is implied.</x:v>
      </x:c>
    </x:row>
    <x:row r="37">
      <x:c r="A37" s="43" t="str">
        <x:v>Variance decision – Whitlow 1978</x:v>
      </x:c>
      <x:c r="B37" s="43" t="str">
        <x:v>whitlow_1978_thesis</x:v>
      </x:c>
      <x:c r="C37" s="43" t="str">
        <x:v>es111</x:v>
      </x:c>
      <x:c r="D37" s="43" t="str">
        <x:v>112</x:v>
      </x:c>
      <x:c r="E37" s="43" t="str">
        <x:v>ex_se_analysis</x:v>
      </x:c>
      <x:c r="F37" s="43" t="str"/>
      <x:c r="G37" s="43" t="str">
        <x:v>0.378186</x:v>
      </x:c>
      <x:c r="H37" s="43" t="str">
        <x:v>Corrected derived value</x:v>
      </x:c>
      <x:c r="I37" s="43" t="str">
        <x:v>included_studies/whitlow_1978_thesis.pdf; figure error bars are not defined; assumption approved by reviewer</x:v>
      </x:c>
      <x:c r="J37" s="43" t="str">
        <x:v>Apply the reviewer-approved variance assumption transparently; no author-reported variance is implied.</x:v>
      </x:c>
    </x:row>
    <x:row r="38">
      <x:c r="A38" s="43" t="str">
        <x:v>Variance decision – Whitlow 1978</x:v>
      </x:c>
      <x:c r="B38" s="43" t="str">
        <x:v>whitlow_1978_thesis</x:v>
      </x:c>
      <x:c r="C38" s="43" t="str">
        <x:v>es112</x:v>
      </x:c>
      <x:c r="D38" s="43" t="str">
        <x:v>113</x:v>
      </x:c>
      <x:c r="E38" s="43" t="str">
        <x:v>c_se_analysis</x:v>
      </x:c>
      <x:c r="F38" s="43" t="str"/>
      <x:c r="G38" s="43" t="str">
        <x:v>1.512722</x:v>
      </x:c>
      <x:c r="H38" s="43" t="str">
        <x:v>Corrected derived value</x:v>
      </x:c>
      <x:c r="I38" s="43" t="str">
        <x:v>included_studies/whitlow_1978_thesis.pdf; figure error bars are not defined; assumption approved by reviewer</x:v>
      </x:c>
      <x:c r="J38" s="43" t="str">
        <x:v>Apply the reviewer-approved variance assumption transparently; no author-reported variance is implied.</x:v>
      </x:c>
    </x:row>
    <x:row r="39">
      <x:c r="A39" s="43" t="str">
        <x:v>Variance decision – Whitlow 1978</x:v>
      </x:c>
      <x:c r="B39" s="43" t="str">
        <x:v>whitlow_1978_thesis</x:v>
      </x:c>
      <x:c r="C39" s="43" t="str">
        <x:v>es112</x:v>
      </x:c>
      <x:c r="D39" s="43" t="str">
        <x:v>113</x:v>
      </x:c>
      <x:c r="E39" s="43" t="str">
        <x:v>ex_se_analysis</x:v>
      </x:c>
      <x:c r="F39" s="43" t="str"/>
      <x:c r="G39" s="43" t="str">
        <x:v>1.887174</x:v>
      </x:c>
      <x:c r="H39" s="43" t="str">
        <x:v>Corrected derived value</x:v>
      </x:c>
      <x:c r="I39" s="43" t="str">
        <x:v>included_studies/whitlow_1978_thesis.pdf; figure error bars are not defined; assumption approved by reviewer</x:v>
      </x:c>
      <x:c r="J39" s="43" t="str">
        <x:v>Apply the reviewer-approved variance assumption transparently; no author-reported variance is implied.</x:v>
      </x:c>
    </x:row>
    <x:row r="40">
      <x:c r="A40" s="43" t="str">
        <x:v>Variance decision – Whitlow 1978</x:v>
      </x:c>
      <x:c r="B40" s="43" t="str">
        <x:v>whitlow_1978_thesis</x:v>
      </x:c>
      <x:c r="C40" s="43" t="str">
        <x:v>es113</x:v>
      </x:c>
      <x:c r="D40" s="43" t="str">
        <x:v>114</x:v>
      </x:c>
      <x:c r="E40" s="43" t="str">
        <x:v>c_se_analysis</x:v>
      </x:c>
      <x:c r="F40" s="43" t="str"/>
      <x:c r="G40" s="43" t="str">
        <x:v>1.512722</x:v>
      </x:c>
      <x:c r="H40" s="43" t="str">
        <x:v>Corrected derived value</x:v>
      </x:c>
      <x:c r="I40" s="43" t="str">
        <x:v>included_studies/whitlow_1978_thesis.pdf; figure error bars are not defined; assumption approved by reviewer</x:v>
      </x:c>
      <x:c r="J40" s="43" t="str">
        <x:v>Apply the reviewer-approved variance assumption transparently; no author-reported variance is implied.</x:v>
      </x:c>
    </x:row>
    <x:row r="41">
      <x:c r="A41" s="43" t="str">
        <x:v>Variance decision – Whitlow 1978</x:v>
      </x:c>
      <x:c r="B41" s="43" t="str">
        <x:v>whitlow_1978_thesis</x:v>
      </x:c>
      <x:c r="C41" s="43" t="str">
        <x:v>es113</x:v>
      </x:c>
      <x:c r="D41" s="43" t="str">
        <x:v>114</x:v>
      </x:c>
      <x:c r="E41" s="43" t="str">
        <x:v>ex_se_analysis</x:v>
      </x:c>
      <x:c r="F41" s="43" t="str"/>
      <x:c r="G41" s="43" t="str">
        <x:v>1.74458</x:v>
      </x:c>
      <x:c r="H41" s="43" t="str">
        <x:v>Corrected derived value</x:v>
      </x:c>
      <x:c r="I41" s="43" t="str">
        <x:v>included_studies/whitlow_1978_thesis.pdf; figure error bars are not defined; assumption approved by reviewer</x:v>
      </x:c>
      <x:c r="J41" s="43" t="str">
        <x:v>Apply the reviewer-approved variance assumption transparently; no author-reported variance is implied.</x:v>
      </x:c>
    </x:row>
    <x:row r="42">
      <x:c r="A42" s="43" t="str">
        <x:v>Variance decision – Whitlow 1978</x:v>
      </x:c>
      <x:c r="B42" s="43" t="str">
        <x:v>whitlow_1978_thesis</x:v>
      </x:c>
      <x:c r="C42" s="43" t="str">
        <x:v>es114</x:v>
      </x:c>
      <x:c r="D42" s="43" t="str">
        <x:v>115</x:v>
      </x:c>
      <x:c r="E42" s="43" t="str">
        <x:v>c_se_analysis</x:v>
      </x:c>
      <x:c r="F42" s="43" t="str"/>
      <x:c r="G42" s="43" t="str">
        <x:v>1.259689</x:v>
      </x:c>
      <x:c r="H42" s="43" t="str">
        <x:v>Corrected derived value</x:v>
      </x:c>
      <x:c r="I42" s="43" t="str">
        <x:v>included_studies/whitlow_1978_thesis.pdf; figure error bars are not defined; assumption approved by reviewer</x:v>
      </x:c>
      <x:c r="J42" s="43" t="str">
        <x:v>Apply the reviewer-approved variance assumption transparently; no author-reported variance is implied.</x:v>
      </x:c>
    </x:row>
    <x:row r="43">
      <x:c r="A43" s="43" t="str">
        <x:v>Variance decision – Whitlow 1978</x:v>
      </x:c>
      <x:c r="B43" s="43" t="str">
        <x:v>whitlow_1978_thesis</x:v>
      </x:c>
      <x:c r="C43" s="43" t="str">
        <x:v>es114</x:v>
      </x:c>
      <x:c r="D43" s="43" t="str">
        <x:v>115</x:v>
      </x:c>
      <x:c r="E43" s="43" t="str">
        <x:v>ex_se_analysis</x:v>
      </x:c>
      <x:c r="F43" s="43" t="str"/>
      <x:c r="G43" s="43" t="str">
        <x:v>1.46288</x:v>
      </x:c>
      <x:c r="H43" s="43" t="str">
        <x:v>Corrected derived value</x:v>
      </x:c>
      <x:c r="I43" s="43" t="str">
        <x:v>included_studies/whitlow_1978_thesis.pdf; figure error bars are not defined; assumption approved by reviewer</x:v>
      </x:c>
      <x:c r="J43" s="43" t="str">
        <x:v>Apply the reviewer-approved variance assumption transparently; no author-reported variance is implied.</x:v>
      </x:c>
    </x:row>
    <x:row r="44">
      <x:c r="A44" s="43" t="str">
        <x:v>Variance decision – Whitlow 1978</x:v>
      </x:c>
      <x:c r="B44" s="43" t="str">
        <x:v>whitlow_1978_thesis</x:v>
      </x:c>
      <x:c r="C44" s="43" t="str">
        <x:v>es115</x:v>
      </x:c>
      <x:c r="D44" s="43" t="str">
        <x:v>116</x:v>
      </x:c>
      <x:c r="E44" s="43" t="str">
        <x:v>c_se_analysis</x:v>
      </x:c>
      <x:c r="F44" s="43" t="str"/>
      <x:c r="G44" s="43" t="str">
        <x:v>1.259689</x:v>
      </x:c>
      <x:c r="H44" s="43" t="str">
        <x:v>Corrected derived value</x:v>
      </x:c>
      <x:c r="I44" s="43" t="str">
        <x:v>included_studies/whitlow_1978_thesis.pdf; figure error bars are not defined; assumption approved by reviewer</x:v>
      </x:c>
      <x:c r="J44" s="43" t="str">
        <x:v>Apply the reviewer-approved variance assumption transparently; no author-reported variance is implied.</x:v>
      </x:c>
    </x:row>
    <x:row r="45">
      <x:c r="A45" s="43" t="str">
        <x:v>Variance decision – Whitlow 1978</x:v>
      </x:c>
      <x:c r="B45" s="43" t="str">
        <x:v>whitlow_1978_thesis</x:v>
      </x:c>
      <x:c r="C45" s="43" t="str">
        <x:v>es115</x:v>
      </x:c>
      <x:c r="D45" s="43" t="str">
        <x:v>116</x:v>
      </x:c>
      <x:c r="E45" s="43" t="str">
        <x:v>ex_se_analysis</x:v>
      </x:c>
      <x:c r="F45" s="43" t="str"/>
      <x:c r="G45" s="43" t="str">
        <x:v>1.357986</x:v>
      </x:c>
      <x:c r="H45" s="43" t="str">
        <x:v>Corrected derived value</x:v>
      </x:c>
      <x:c r="I45" s="43" t="str">
        <x:v>included_studies/whitlow_1978_thesis.pdf; figure error bars are not defined; assumption approved by reviewer</x:v>
      </x:c>
      <x:c r="J45" s="43" t="str">
        <x:v>Apply the reviewer-approved variance assumption transparently; no author-reported variance is implied.</x:v>
      </x:c>
    </x:row>
    <x:row r="46">
      <x:c r="A46" s="43" t="str">
        <x:v>Variance decision – Whitlow 1978</x:v>
      </x:c>
      <x:c r="B46" s="43" t="str">
        <x:v>whitlow_1978_thesis</x:v>
      </x:c>
      <x:c r="C46" s="43" t="str">
        <x:v>es116</x:v>
      </x:c>
      <x:c r="D46" s="43" t="str">
        <x:v>117</x:v>
      </x:c>
      <x:c r="E46" s="43" t="str">
        <x:v>c_se_analysis</x:v>
      </x:c>
      <x:c r="F46" s="43" t="str"/>
      <x:c r="G46" s="43" t="str">
        <x:v>0.977743</x:v>
      </x:c>
      <x:c r="H46" s="43" t="str">
        <x:v>Corrected derived value</x:v>
      </x:c>
      <x:c r="I46" s="43" t="str">
        <x:v>included_studies/whitlow_1978_thesis.pdf; figure error bars are not defined; assumption approved by reviewer</x:v>
      </x:c>
      <x:c r="J46" s="43" t="str">
        <x:v>Apply the reviewer-approved variance assumption transparently; no author-reported variance is implied.</x:v>
      </x:c>
    </x:row>
    <x:row r="47">
      <x:c r="A47" s="43" t="str">
        <x:v>Variance decision – Whitlow 1978</x:v>
      </x:c>
      <x:c r="B47" s="43" t="str">
        <x:v>whitlow_1978_thesis</x:v>
      </x:c>
      <x:c r="C47" s="43" t="str">
        <x:v>es116</x:v>
      </x:c>
      <x:c r="D47" s="43" t="str">
        <x:v>117</x:v>
      </x:c>
      <x:c r="E47" s="43" t="str">
        <x:v>ex_se_analysis</x:v>
      </x:c>
      <x:c r="F47" s="43" t="str"/>
      <x:c r="G47" s="43" t="str">
        <x:v>1.156226</x:v>
      </x:c>
      <x:c r="H47" s="43" t="str">
        <x:v>Corrected derived value</x:v>
      </x:c>
      <x:c r="I47" s="43" t="str">
        <x:v>included_studies/whitlow_1978_thesis.pdf; figure error bars are not defined; assumption approved by reviewer</x:v>
      </x:c>
      <x:c r="J47" s="43" t="str">
        <x:v>Apply the reviewer-approved variance assumption transparently; no author-reported variance is implied.</x:v>
      </x:c>
    </x:row>
    <x:row r="48">
      <x:c r="A48" s="43" t="str">
        <x:v>Variance decision – Whitlow 1978</x:v>
      </x:c>
      <x:c r="B48" s="43" t="str">
        <x:v>whitlow_1978_thesis</x:v>
      </x:c>
      <x:c r="C48" s="43" t="str">
        <x:v>es117</x:v>
      </x:c>
      <x:c r="D48" s="43" t="str">
        <x:v>118</x:v>
      </x:c>
      <x:c r="E48" s="43" t="str">
        <x:v>c_se_analysis</x:v>
      </x:c>
      <x:c r="F48" s="43" t="str"/>
      <x:c r="G48" s="43" t="str">
        <x:v>0.977743</x:v>
      </x:c>
      <x:c r="H48" s="43" t="str">
        <x:v>Corrected derived value</x:v>
      </x:c>
      <x:c r="I48" s="43" t="str">
        <x:v>included_studies/whitlow_1978_thesis.pdf; figure error bars are not defined; assumption approved by reviewer</x:v>
      </x:c>
      <x:c r="J48" s="43" t="str">
        <x:v>Apply the reviewer-approved variance assumption transparently; no author-reported variance is implied.</x:v>
      </x:c>
    </x:row>
    <x:row r="49">
      <x:c r="A49" s="43" t="str">
        <x:v>Variance decision – Whitlow 1978</x:v>
      </x:c>
      <x:c r="B49" s="43" t="str">
        <x:v>whitlow_1978_thesis</x:v>
      </x:c>
      <x:c r="C49" s="43" t="str">
        <x:v>es117</x:v>
      </x:c>
      <x:c r="D49" s="43" t="str">
        <x:v>118</x:v>
      </x:c>
      <x:c r="E49" s="43" t="str">
        <x:v>ex_se_analysis</x:v>
      </x:c>
      <x:c r="F49" s="43" t="str"/>
      <x:c r="G49" s="43" t="str">
        <x:v>0.887316</x:v>
      </x:c>
      <x:c r="H49" s="43" t="str">
        <x:v>Corrected derived value</x:v>
      </x:c>
      <x:c r="I49" s="43" t="str">
        <x:v>included_studies/whitlow_1978_thesis.pdf; figure error bars are not defined; assumption approved by reviewer</x:v>
      </x:c>
      <x:c r="J49" s="43" t="str">
        <x:v>Apply the reviewer-approved variance assumption transparently; no author-reported variance is implied.</x:v>
      </x:c>
    </x:row>
    <x:row r="50">
      <x:c r="A50" s="43" t="str">
        <x:v>Variance decision – Whitlow 1978</x:v>
      </x:c>
      <x:c r="B50" s="43" t="str">
        <x:v>whitlow_1978_thesis</x:v>
      </x:c>
      <x:c r="C50" s="43" t="str">
        <x:v>es118</x:v>
      </x:c>
      <x:c r="D50" s="43" t="str">
        <x:v>119</x:v>
      </x:c>
      <x:c r="E50" s="43" t="str">
        <x:v>c_se_analysis</x:v>
      </x:c>
      <x:c r="F50" s="43" t="str"/>
      <x:c r="G50" s="43" t="str">
        <x:v>0.450143</x:v>
      </x:c>
      <x:c r="H50" s="43" t="str">
        <x:v>Corrected derived value</x:v>
      </x:c>
      <x:c r="I50" s="43" t="str">
        <x:v>included_studies/whitlow_1978_thesis.pdf; figure error bars are not defined; assumption approved by reviewer</x:v>
      </x:c>
      <x:c r="J50" s="43" t="str">
        <x:v>Apply the reviewer-approved variance assumption transparently; no author-reported variance is implied.</x:v>
      </x:c>
    </x:row>
    <x:row r="51">
      <x:c r="A51" s="43" t="str">
        <x:v>Variance decision – Whitlow 1978</x:v>
      </x:c>
      <x:c r="B51" s="43" t="str">
        <x:v>whitlow_1978_thesis</x:v>
      </x:c>
      <x:c r="C51" s="43" t="str">
        <x:v>es118</x:v>
      </x:c>
      <x:c r="D51" s="43" t="str">
        <x:v>119</x:v>
      </x:c>
      <x:c r="E51" s="43" t="str">
        <x:v>ex_se_analysis</x:v>
      </x:c>
      <x:c r="F51" s="43" t="str"/>
      <x:c r="G51" s="43" t="str">
        <x:v>0.429012</x:v>
      </x:c>
      <x:c r="H51" s="43" t="str">
        <x:v>Corrected derived value</x:v>
      </x:c>
      <x:c r="I51" s="43" t="str">
        <x:v>included_studies/whitlow_1978_thesis.pdf; figure error bars are not defined; assumption approved by reviewer</x:v>
      </x:c>
      <x:c r="J51" s="43" t="str">
        <x:v>Apply the reviewer-approved variance assumption transparently; no author-reported variance is implied.</x:v>
      </x:c>
    </x:row>
    <x:row r="52">
      <x:c r="A52" s="43" t="str">
        <x:v>Variance decision – Whitlow 1978</x:v>
      </x:c>
      <x:c r="B52" s="43" t="str">
        <x:v>whitlow_1978_thesis</x:v>
      </x:c>
      <x:c r="C52" s="43" t="str">
        <x:v>es119</x:v>
      </x:c>
      <x:c r="D52" s="43" t="str">
        <x:v>120</x:v>
      </x:c>
      <x:c r="E52" s="43" t="str">
        <x:v>c_se_analysis</x:v>
      </x:c>
      <x:c r="F52" s="43" t="str"/>
      <x:c r="G52" s="43" t="str">
        <x:v>0.450143</x:v>
      </x:c>
      <x:c r="H52" s="43" t="str">
        <x:v>Corrected derived value</x:v>
      </x:c>
      <x:c r="I52" s="43" t="str">
        <x:v>included_studies/whitlow_1978_thesis.pdf; figure error bars are not defined; assumption approved by reviewer</x:v>
      </x:c>
      <x:c r="J52" s="43" t="str">
        <x:v>Apply the reviewer-approved variance assumption transparently; no author-reported variance is implied.</x:v>
      </x:c>
    </x:row>
    <x:row r="53">
      <x:c r="A53" s="43" t="str">
        <x:v>Variance decision – Whitlow 1978</x:v>
      </x:c>
      <x:c r="B53" s="43" t="str">
        <x:v>whitlow_1978_thesis</x:v>
      </x:c>
      <x:c r="C53" s="43" t="str">
        <x:v>es119</x:v>
      </x:c>
      <x:c r="D53" s="43" t="str">
        <x:v>120</x:v>
      </x:c>
      <x:c r="E53" s="43" t="str">
        <x:v>ex_se_analysis</x:v>
      </x:c>
      <x:c r="F53" s="43" t="str"/>
      <x:c r="G53" s="43" t="str">
        <x:v>0.430577</x:v>
      </x:c>
      <x:c r="H53" s="43" t="str">
        <x:v>Corrected derived value</x:v>
      </x:c>
      <x:c r="I53" s="43" t="str">
        <x:v>included_studies/whitlow_1978_thesis.pdf; figure error bars are not defined; assumption approved by reviewer</x:v>
      </x:c>
      <x:c r="J53" s="43" t="str">
        <x:v>Apply the reviewer-approved variance assumption transparently; no author-reported variance is implied.</x:v>
      </x:c>
    </x:row>
    <x:row r="54">
      <x:c r="A54" s="43" t="str">
        <x:v>Variance decision – Whitlow 1978</x:v>
      </x:c>
      <x:c r="B54" s="43" t="str">
        <x:v>whitlow_1978_thesis</x:v>
      </x:c>
      <x:c r="C54" s="43" t="str">
        <x:v>es120</x:v>
      </x:c>
      <x:c r="D54" s="43" t="str">
        <x:v>121</x:v>
      </x:c>
      <x:c r="E54" s="43" t="str">
        <x:v>c_se_analysis</x:v>
      </x:c>
      <x:c r="F54" s="43" t="str"/>
      <x:c r="G54" s="43" t="str">
        <x:v>0.419084</x:v>
      </x:c>
      <x:c r="H54" s="43" t="str">
        <x:v>Corrected derived value</x:v>
      </x:c>
      <x:c r="I54" s="43" t="str">
        <x:v>included_studies/whitlow_1978_thesis.pdf; figure error bars are not defined; assumption approved by reviewer</x:v>
      </x:c>
      <x:c r="J54" s="43" t="str">
        <x:v>Apply the reviewer-approved variance assumption transparently; no author-reported variance is implied.</x:v>
      </x:c>
    </x:row>
    <x:row r="55">
      <x:c r="A55" s="43" t="str">
        <x:v>Variance decision – Whitlow 1978</x:v>
      </x:c>
      <x:c r="B55" s="43" t="str">
        <x:v>whitlow_1978_thesis</x:v>
      </x:c>
      <x:c r="C55" s="43" t="str">
        <x:v>es120</x:v>
      </x:c>
      <x:c r="D55" s="43" t="str">
        <x:v>121</x:v>
      </x:c>
      <x:c r="E55" s="43" t="str">
        <x:v>ex_se_analysis</x:v>
      </x:c>
      <x:c r="F55" s="43" t="str"/>
      <x:c r="G55" s="43" t="str">
        <x:v>0.532475</x:v>
      </x:c>
      <x:c r="H55" s="43" t="str">
        <x:v>Corrected derived value</x:v>
      </x:c>
      <x:c r="I55" s="43" t="str">
        <x:v>included_studies/whitlow_1978_thesis.pdf; figure error bars are not defined; assumption approved by reviewer</x:v>
      </x:c>
      <x:c r="J55" s="43" t="str">
        <x:v>Apply the reviewer-approved variance assumption transparently; no author-reported variance is implied.</x:v>
      </x:c>
    </x:row>
    <x:row r="56">
      <x:c r="A56" s="43" t="str">
        <x:v>Variance decision – Whitlow 1978</x:v>
      </x:c>
      <x:c r="B56" s="43" t="str">
        <x:v>whitlow_1978_thesis</x:v>
      </x:c>
      <x:c r="C56" s="43" t="str">
        <x:v>es121</x:v>
      </x:c>
      <x:c r="D56" s="43" t="str">
        <x:v>122</x:v>
      </x:c>
      <x:c r="E56" s="43" t="str">
        <x:v>c_se_analysis</x:v>
      </x:c>
      <x:c r="F56" s="43" t="str"/>
      <x:c r="G56" s="43" t="str">
        <x:v>0.419084</x:v>
      </x:c>
      <x:c r="H56" s="43" t="str">
        <x:v>Corrected derived value</x:v>
      </x:c>
      <x:c r="I56" s="43" t="str">
        <x:v>included_studies/whitlow_1978_thesis.pdf; figure error bars are not defined; assumption approved by reviewer</x:v>
      </x:c>
      <x:c r="J56" s="43" t="str">
        <x:v>Apply the reviewer-approved variance assumption transparently; no author-reported variance is implied.</x:v>
      </x:c>
    </x:row>
    <x:row r="57">
      <x:c r="A57" s="43" t="str">
        <x:v>Variance decision – Whitlow 1978</x:v>
      </x:c>
      <x:c r="B57" s="43" t="str">
        <x:v>whitlow_1978_thesis</x:v>
      </x:c>
      <x:c r="C57" s="43" t="str">
        <x:v>es121</x:v>
      </x:c>
      <x:c r="D57" s="43" t="str">
        <x:v>122</x:v>
      </x:c>
      <x:c r="E57" s="43" t="str">
        <x:v>ex_se_analysis</x:v>
      </x:c>
      <x:c r="F57" s="43" t="str"/>
      <x:c r="G57" s="43" t="str">
        <x:v>0.490012</x:v>
      </x:c>
      <x:c r="H57" s="43" t="str">
        <x:v>Corrected derived value</x:v>
      </x:c>
      <x:c r="I57" s="43" t="str">
        <x:v>included_studies/whitlow_1978_thesis.pdf; figure error bars are not defined; assumption approved by reviewer</x:v>
      </x:c>
      <x:c r="J57" s="43" t="str">
        <x:v>Apply the reviewer-approved variance assumption transparently; no author-reported variance is implied.</x:v>
      </x:c>
    </x:row>
    <x:row r="58">
      <x:c r="A58" s="43" t="str">
        <x:v>Variance decision – Whitlow 1978</x:v>
      </x:c>
      <x:c r="B58" s="43" t="str">
        <x:v>whitlow_1978_thesis</x:v>
      </x:c>
      <x:c r="C58" s="43" t="str">
        <x:v>es122</x:v>
      </x:c>
      <x:c r="D58" s="43" t="str">
        <x:v>123</x:v>
      </x:c>
      <x:c r="E58" s="43" t="str">
        <x:v>c_se_analysis</x:v>
      </x:c>
      <x:c r="F58" s="43" t="str"/>
      <x:c r="G58" s="43" t="str">
        <x:v>0.438627</x:v>
      </x:c>
      <x:c r="H58" s="43" t="str">
        <x:v>Corrected derived value</x:v>
      </x:c>
      <x:c r="I58" s="43" t="str">
        <x:v>included_studies/whitlow_1978_thesis.pdf; figure error bars are not defined; assumption approved by reviewer</x:v>
      </x:c>
      <x:c r="J58" s="43" t="str">
        <x:v>Apply the reviewer-approved variance assumption transparently; no author-reported variance is implied.</x:v>
      </x:c>
    </x:row>
    <x:row r="59">
      <x:c r="A59" s="43" t="str">
        <x:v>Variance decision – Whitlow 1978</x:v>
      </x:c>
      <x:c r="B59" s="43" t="str">
        <x:v>whitlow_1978_thesis</x:v>
      </x:c>
      <x:c r="C59" s="43" t="str">
        <x:v>es122</x:v>
      </x:c>
      <x:c r="D59" s="43" t="str">
        <x:v>123</x:v>
      </x:c>
      <x:c r="E59" s="43" t="str">
        <x:v>ex_se_analysis</x:v>
      </x:c>
      <x:c r="F59" s="43" t="str"/>
      <x:c r="G59" s="43" t="str">
        <x:v>0.429526</x:v>
      </x:c>
      <x:c r="H59" s="43" t="str">
        <x:v>Corrected derived value</x:v>
      </x:c>
      <x:c r="I59" s="43" t="str">
        <x:v>included_studies/whitlow_1978_thesis.pdf; figure error bars are not defined; assumption approved by reviewer</x:v>
      </x:c>
      <x:c r="J59" s="43" t="str">
        <x:v>Apply the reviewer-approved variance assumption transparently; no author-reported variance is implied.</x:v>
      </x:c>
    </x:row>
    <x:row r="60">
      <x:c r="A60" s="43" t="str">
        <x:v>Variance decision – Whitlow 1978</x:v>
      </x:c>
      <x:c r="B60" s="43" t="str">
        <x:v>whitlow_1978_thesis</x:v>
      </x:c>
      <x:c r="C60" s="43" t="str">
        <x:v>es123</x:v>
      </x:c>
      <x:c r="D60" s="43" t="str">
        <x:v>124</x:v>
      </x:c>
      <x:c r="E60" s="43" t="str">
        <x:v>c_se_analysis</x:v>
      </x:c>
      <x:c r="F60" s="43" t="str"/>
      <x:c r="G60" s="43" t="str">
        <x:v>0.438627</x:v>
      </x:c>
      <x:c r="H60" s="43" t="str">
        <x:v>Corrected derived value</x:v>
      </x:c>
      <x:c r="I60" s="43" t="str">
        <x:v>included_studies/whitlow_1978_thesis.pdf; figure error bars are not defined; assumption approved by reviewer</x:v>
      </x:c>
      <x:c r="J60" s="43" t="str">
        <x:v>Apply the reviewer-approved variance assumption transparently; no author-reported variance is implied.</x:v>
      </x:c>
    </x:row>
    <x:row r="61">
      <x:c r="A61" s="43" t="str">
        <x:v>Variance decision – Whitlow 1978</x:v>
      </x:c>
      <x:c r="B61" s="43" t="str">
        <x:v>whitlow_1978_thesis</x:v>
      </x:c>
      <x:c r="C61" s="43" t="str">
        <x:v>es123</x:v>
      </x:c>
      <x:c r="D61" s="43" t="str">
        <x:v>124</x:v>
      </x:c>
      <x:c r="E61" s="43" t="str">
        <x:v>ex_se_analysis</x:v>
      </x:c>
      <x:c r="F61" s="43" t="str"/>
      <x:c r="G61" s="43" t="str">
        <x:v>0.392095</x:v>
      </x:c>
      <x:c r="H61" s="43" t="str">
        <x:v>Corrected derived value</x:v>
      </x:c>
      <x:c r="I61" s="43" t="str">
        <x:v>included_studies/whitlow_1978_thesis.pdf; figure error bars are not defined; assumption approved by reviewer</x:v>
      </x:c>
      <x:c r="J61" s="43" t="str">
        <x:v>Apply the reviewer-approved variance assumption transparently; no author-reported variance is implied.</x:v>
      </x:c>
    </x:row>
    <x:row r="62">
      <x:c r="A62" s="43" t="str">
        <x:v>Variance decision – Whitlow 1978</x:v>
      </x:c>
      <x:c r="B62" s="43" t="str">
        <x:v>whitlow_1978_thesis</x:v>
      </x:c>
      <x:c r="C62" s="43" t="str">
        <x:v>es124</x:v>
      </x:c>
      <x:c r="D62" s="43" t="str">
        <x:v>125</x:v>
      </x:c>
      <x:c r="E62" s="43" t="str">
        <x:v>c_se_analysis</x:v>
      </x:c>
      <x:c r="F62" s="43" t="str"/>
      <x:c r="G62" s="43" t="str">
        <x:v>0.345316</x:v>
      </x:c>
      <x:c r="H62" s="43" t="str">
        <x:v>Corrected derived value</x:v>
      </x:c>
      <x:c r="I62" s="43" t="str">
        <x:v>included_studies/whitlow_1978_thesis.pdf; figure error bars are not defined; assumption approved by reviewer</x:v>
      </x:c>
      <x:c r="J62" s="43" t="str">
        <x:v>Apply the reviewer-approved variance assumption transparently; no author-reported variance is implied.</x:v>
      </x:c>
    </x:row>
    <x:row r="63">
      <x:c r="A63" s="43" t="str">
        <x:v>Variance decision – Whitlow 1978</x:v>
      </x:c>
      <x:c r="B63" s="43" t="str">
        <x:v>whitlow_1978_thesis</x:v>
      </x:c>
      <x:c r="C63" s="43" t="str">
        <x:v>es124</x:v>
      </x:c>
      <x:c r="D63" s="43" t="str">
        <x:v>125</x:v>
      </x:c>
      <x:c r="E63" s="43" t="str">
        <x:v>ex_se_analysis</x:v>
      </x:c>
      <x:c r="F63" s="43" t="str"/>
      <x:c r="G63" s="43" t="str">
        <x:v>0.344802</x:v>
      </x:c>
      <x:c r="H63" s="43" t="str">
        <x:v>Corrected derived value</x:v>
      </x:c>
      <x:c r="I63" s="43" t="str">
        <x:v>included_studies/whitlow_1978_thesis.pdf; figure error bars are not defined; assumption approved by reviewer</x:v>
      </x:c>
      <x:c r="J63" s="43" t="str">
        <x:v>Apply the reviewer-approved variance assumption transparently; no author-reported variance is implied.</x:v>
      </x:c>
    </x:row>
    <x:row r="64">
      <x:c r="A64" s="43" t="str">
        <x:v>Variance decision – Whitlow 1978</x:v>
      </x:c>
      <x:c r="B64" s="43" t="str">
        <x:v>whitlow_1978_thesis</x:v>
      </x:c>
      <x:c r="C64" s="43" t="str">
        <x:v>es125</x:v>
      </x:c>
      <x:c r="D64" s="43" t="str">
        <x:v>126</x:v>
      </x:c>
      <x:c r="E64" s="43" t="str">
        <x:v>c_se_analysis</x:v>
      </x:c>
      <x:c r="F64" s="43" t="str"/>
      <x:c r="G64" s="43" t="str">
        <x:v>0.345316</x:v>
      </x:c>
      <x:c r="H64" s="43" t="str">
        <x:v>Corrected derived value</x:v>
      </x:c>
      <x:c r="I64" s="43" t="str">
        <x:v>included_studies/whitlow_1978_thesis.pdf; figure error bars are not defined; assumption approved by reviewer</x:v>
      </x:c>
      <x:c r="J64" s="43" t="str">
        <x:v>Apply the reviewer-approved variance assumption transparently; no author-reported variance is implied.</x:v>
      </x:c>
    </x:row>
    <x:row r="65">
      <x:c r="A65" s="43" t="str">
        <x:v>Variance decision – Whitlow 1978</x:v>
      </x:c>
      <x:c r="B65" s="43" t="str">
        <x:v>whitlow_1978_thesis</x:v>
      </x:c>
      <x:c r="C65" s="43" t="str">
        <x:v>es125</x:v>
      </x:c>
      <x:c r="D65" s="43" t="str">
        <x:v>126</x:v>
      </x:c>
      <x:c r="E65" s="43" t="str">
        <x:v>ex_se_analysis</x:v>
      </x:c>
      <x:c r="F65" s="43" t="str"/>
      <x:c r="G65" s="43" t="str">
        <x:v>0.318014</x:v>
      </x:c>
      <x:c r="H65" s="43" t="str">
        <x:v>Corrected derived value</x:v>
      </x:c>
      <x:c r="I65" s="43" t="str">
        <x:v>included_studies/whitlow_1978_thesis.pdf; figure error bars are not defined; assumption approved by reviewer</x:v>
      </x:c>
      <x:c r="J65" s="43" t="str">
        <x:v>Apply the reviewer-approved variance assumption transparently; no author-reported variance is implied.</x:v>
      </x:c>
    </x:row>
    <x:row r="66">
      <x:c r="A66" s="43" t="str">
        <x:v>Variance decision – Whitlow 1978</x:v>
      </x:c>
      <x:c r="B66" s="43" t="str">
        <x:v>whitlow_1978_thesis</x:v>
      </x:c>
      <x:c r="C66" s="43" t="str">
        <x:v>es126</x:v>
      </x:c>
      <x:c r="D66" s="43" t="str">
        <x:v>127</x:v>
      </x:c>
      <x:c r="E66" s="43" t="str">
        <x:v>c_se_analysis</x:v>
      </x:c>
      <x:c r="F66" s="43" t="str"/>
      <x:c r="G66" s="43" t="str">
        <x:v>0.276311</x:v>
      </x:c>
      <x:c r="H66" s="43" t="str">
        <x:v>Corrected derived value</x:v>
      </x:c>
      <x:c r="I66" s="43" t="str">
        <x:v>included_studies/whitlow_1978_thesis.pdf; figure error bars are not defined; assumption approved by reviewer</x:v>
      </x:c>
      <x:c r="J66" s="43" t="str">
        <x:v>Apply the reviewer-approved variance assumption transparently; no author-reported variance is implied.</x:v>
      </x:c>
    </x:row>
    <x:row r="67">
      <x:c r="A67" s="43" t="str">
        <x:v>Variance decision – Whitlow 1978</x:v>
      </x:c>
      <x:c r="B67" s="43" t="str">
        <x:v>whitlow_1978_thesis</x:v>
      </x:c>
      <x:c r="C67" s="43" t="str">
        <x:v>es126</x:v>
      </x:c>
      <x:c r="D67" s="43" t="str">
        <x:v>127</x:v>
      </x:c>
      <x:c r="E67" s="43" t="str">
        <x:v>ex_se_analysis</x:v>
      </x:c>
      <x:c r="F67" s="43" t="str"/>
      <x:c r="G67" s="43" t="str">
        <x:v>0.314861</x:v>
      </x:c>
      <x:c r="H67" s="43" t="str">
        <x:v>Corrected derived value</x:v>
      </x:c>
      <x:c r="I67" s="43" t="str">
        <x:v>included_studies/whitlow_1978_thesis.pdf; figure error bars are not defined; assumption approved by reviewer</x:v>
      </x:c>
      <x:c r="J67" s="43" t="str">
        <x:v>Apply the reviewer-approved variance assumption transparently; no author-reported variance is implied.</x:v>
      </x:c>
    </x:row>
    <x:row r="68">
      <x:c r="A68" s="43" t="str">
        <x:v>Variance decision – Whitlow 1978</x:v>
      </x:c>
      <x:c r="B68" s="43" t="str">
        <x:v>whitlow_1978_thesis</x:v>
      </x:c>
      <x:c r="C68" s="43" t="str">
        <x:v>es127</x:v>
      </x:c>
      <x:c r="D68" s="43" t="str">
        <x:v>128</x:v>
      </x:c>
      <x:c r="E68" s="43" t="str">
        <x:v>c_se_analysis</x:v>
      </x:c>
      <x:c r="F68" s="43" t="str"/>
      <x:c r="G68" s="43" t="str">
        <x:v>0.276311</x:v>
      </x:c>
      <x:c r="H68" s="43" t="str">
        <x:v>Corrected derived value</x:v>
      </x:c>
      <x:c r="I68" s="43" t="str">
        <x:v>included_studies/whitlow_1978_thesis.pdf; figure error bars are not defined; assumption approved by reviewer</x:v>
      </x:c>
      <x:c r="J68" s="43" t="str">
        <x:v>Apply the reviewer-approved variance assumption transparently; no author-reported variance is implied.</x:v>
      </x:c>
    </x:row>
    <x:row r="69">
      <x:c r="A69" s="43" t="str">
        <x:v>Variance decision – Whitlow 1978</x:v>
      </x:c>
      <x:c r="B69" s="43" t="str">
        <x:v>whitlow_1978_thesis</x:v>
      </x:c>
      <x:c r="C69" s="43" t="str">
        <x:v>es127</x:v>
      </x:c>
      <x:c r="D69" s="43" t="str">
        <x:v>128</x:v>
      </x:c>
      <x:c r="E69" s="43" t="str">
        <x:v>ex_se_analysis</x:v>
      </x:c>
      <x:c r="F69" s="43" t="str"/>
      <x:c r="G69" s="43" t="str">
        <x:v>0.302585</x:v>
      </x:c>
      <x:c r="H69" s="43" t="str">
        <x:v>Corrected derived value</x:v>
      </x:c>
      <x:c r="I69" s="43" t="str">
        <x:v>included_studies/whitlow_1978_thesis.pdf; figure error bars are not defined; assumption approved by reviewer</x:v>
      </x:c>
      <x:c r="J69" s="43" t="str">
        <x:v>Apply the reviewer-approved variance assumption transparently; no author-reported variance is implied.</x:v>
      </x:c>
    </x:row>
    <x:row r="70">
      <x:c r="A70" s="43" t="str">
        <x:v>Variance decision – Whitlow 1978</x:v>
      </x:c>
      <x:c r="B70" s="43" t="str">
        <x:v>whitlow_1978_thesis</x:v>
      </x:c>
      <x:c r="C70" s="43" t="str">
        <x:v>es128</x:v>
      </x:c>
      <x:c r="D70" s="43" t="str">
        <x:v>129</x:v>
      </x:c>
      <x:c r="E70" s="43" t="str">
        <x:v>c_se_analysis</x:v>
      </x:c>
      <x:c r="F70" s="43" t="str"/>
      <x:c r="G70" s="43" t="str">
        <x:v>0.372484</x:v>
      </x:c>
      <x:c r="H70" s="43" t="str">
        <x:v>Corrected derived value</x:v>
      </x:c>
      <x:c r="I70" s="43" t="str">
        <x:v>included_studies/whitlow_1978_thesis.pdf; figure error bars are not defined; assumption approved by reviewer</x:v>
      </x:c>
      <x:c r="J70" s="43" t="str">
        <x:v>Apply the reviewer-approved variance assumption transparently; no author-reported variance is implied.</x:v>
      </x:c>
    </x:row>
    <x:row r="71">
      <x:c r="A71" s="43" t="str">
        <x:v>Variance decision – Whitlow 1978</x:v>
      </x:c>
      <x:c r="B71" s="43" t="str">
        <x:v>whitlow_1978_thesis</x:v>
      </x:c>
      <x:c r="C71" s="43" t="str">
        <x:v>es128</x:v>
      </x:c>
      <x:c r="D71" s="43" t="str">
        <x:v>129</x:v>
      </x:c>
      <x:c r="E71" s="43" t="str">
        <x:v>ex_se_analysis</x:v>
      </x:c>
      <x:c r="F71" s="43" t="str"/>
      <x:c r="G71" s="43" t="str">
        <x:v>0.358688</x:v>
      </x:c>
      <x:c r="H71" s="43" t="str">
        <x:v>Corrected derived value</x:v>
      </x:c>
      <x:c r="I71" s="43" t="str">
        <x:v>included_studies/whitlow_1978_thesis.pdf; figure error bars are not defined; assumption approved by reviewer</x:v>
      </x:c>
      <x:c r="J71" s="43" t="str">
        <x:v>Apply the reviewer-approved variance assumption transparently; no author-reported variance is implied.</x:v>
      </x:c>
    </x:row>
    <x:row r="72">
      <x:c r="A72" s="43" t="str">
        <x:v>Variance decision – Whitlow 1978</x:v>
      </x:c>
      <x:c r="B72" s="43" t="str">
        <x:v>whitlow_1978_thesis</x:v>
      </x:c>
      <x:c r="C72" s="43" t="str">
        <x:v>es129</x:v>
      </x:c>
      <x:c r="D72" s="43" t="str">
        <x:v>130</x:v>
      </x:c>
      <x:c r="E72" s="43" t="str">
        <x:v>c_se_analysis</x:v>
      </x:c>
      <x:c r="F72" s="43" t="str"/>
      <x:c r="G72" s="43" t="str">
        <x:v>0.372484</x:v>
      </x:c>
      <x:c r="H72" s="43" t="str">
        <x:v>Corrected derived value</x:v>
      </x:c>
      <x:c r="I72" s="43" t="str">
        <x:v>included_studies/whitlow_1978_thesis.pdf; figure error bars are not defined; assumption approved by reviewer</x:v>
      </x:c>
      <x:c r="J72" s="43" t="str">
        <x:v>Apply the reviewer-approved variance assumption transparently; no author-reported variance is implied.</x:v>
      </x:c>
    </x:row>
    <x:row r="73">
      <x:c r="A73" s="44" t="str">
        <x:v>Variance decision – Whitlow 1978</x:v>
      </x:c>
      <x:c r="B73" s="44" t="str">
        <x:v>whitlow_1978_thesis</x:v>
      </x:c>
      <x:c r="C73" s="44" t="str">
        <x:v>es129</x:v>
      </x:c>
      <x:c r="D73" s="44" t="str">
        <x:v>130</x:v>
      </x:c>
      <x:c r="E73" s="44" t="str">
        <x:v>ex_se_analysis</x:v>
      </x:c>
      <x:c r="F73" s="44" t="str"/>
      <x:c r="G73" s="44" t="str">
        <x:v>0.378186</x:v>
      </x:c>
      <x:c r="H73" s="44" t="str">
        <x:v>Corrected derived value</x:v>
      </x:c>
      <x:c r="I73" s="44" t="str">
        <x:v>included_studies/whitlow_1978_thesis.pdf; figure error bars are not defined; assumption approved by reviewer</x:v>
      </x:c>
      <x:c r="J73" s="44" t="str">
        <x:v>Apply the reviewer-approved variance assumption transparently; no author-reported variance is implied.</x:v>
      </x:c>
    </x:row>
  </x:sheetData>
  <x:conditionalFormatting sqref="H2:H73">
    <x:cfRule type="containsText" dxfId="65" priority="1" operator="containsText" text="Verified"/>
    <x:cfRule type="containsText" dxfId="66" priority="2" operator="containsText" text="Corrected transcription"/>
    <x:cfRule type="containsText" dxfId="67" priority="3" operator="containsText" text="Corrected derived value"/>
    <x:cfRule type="containsText" dxfId="68" priority="4" operator="containsText" text="Analysis decision required"/>
    <x:cfRule type="containsText" dxfId="69" priority="5" operator="containsText" text="Source needed"/>
  </x:conditionalFormatting>
  <x:pageMargins left="0.7" right="0.7" top="0.75" bottom="0.75" header="0.3" footer="0.3"/>
  <x:tableParts count="1">
    <x:tablePart xmlns:r="http://schemas.openxmlformats.org/officeDocument/2006/relationships" r:id="Rc857968318974e8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43" hidden="0" customWidth="1"/>
    <x:col min="2" max="2" width="28" hidden="0" customWidth="1"/>
    <x:col min="3" max="3" width="11" hidden="0" customWidth="1"/>
    <x:col min="4" max="4" width="12" hidden="0" customWidth="1"/>
    <x:col min="5" max="5" width="28" hidden="0" customWidth="1"/>
    <x:col min="6" max="6" width="25" hidden="0" customWidth="1"/>
    <x:col min="7" max="7" width="25" hidden="0" customWidth="1"/>
    <x:col min="8" max="8" width="28" hidden="0" customWidth="1"/>
    <x:col min="9" max="9" width="70" hidden="0" customWidth="1"/>
    <x:col min="10" max="10" width="80" hidden="0" customWidth="1"/>
  </x:cols>
  <x:sheetData>
    <x:row r="1" ht="34" customHeight="1">
      <x:c r="A1" s="40" t="str">
        <x:v>package</x:v>
      </x:c>
      <x:c r="B1" s="40" t="str">
        <x:v>study_id</x:v>
      </x:c>
      <x:c r="C1" s="40" t="str">
        <x:v>es_id</x:v>
      </x:c>
      <x:c r="D1" s="40" t="str">
        <x:v>source_csv_row</x:v>
      </x:c>
      <x:c r="E1" s="40" t="str">
        <x:v>field</x:v>
      </x:c>
      <x:c r="F1" s="40" t="str">
        <x:v>old_value_v3</x:v>
      </x:c>
      <x:c r="G1" s="40" t="str">
        <x:v>new_value_v4</x:v>
      </x:c>
      <x:c r="H1" s="40" t="str">
        <x:v>status</x:v>
      </x:c>
      <x:c r="I1" s="40" t="str">
        <x:v>source</x:v>
      </x:c>
      <x:c r="J1" s="40" t="str">
        <x:v>rationale</x:v>
      </x:c>
    </x:row>
    <x:row r="2">
      <x:c r="A2" s="42" t="str">
        <x:v>Source follow-up – Abramova 2024</x:v>
      </x:c>
      <x:c r="B2" s="42" t="str">
        <x:v>abramova_2024_devneur</x:v>
      </x:c>
      <x:c r="C2" s="42" t="str">
        <x:v>es045</x:v>
      </x:c>
      <x:c r="D2" s="42" t="str">
        <x:v>46</x:v>
      </x:c>
      <x:c r="E2" s="42" t="str">
        <x:v>data_file</x:v>
      </x:c>
      <x:c r="F2" s="42" t="str"/>
      <x:c r="G2" s="42" t="str">
        <x:v>included_studies/abramova_2024_devneur/abramova_2024_devneur_author_email_sucrose_preference.png</x:v>
      </x:c>
      <x:c r="H2" s="42" t="str">
        <x:v>Corrected transcription</x:v>
      </x:c>
      <x:c r="I2" s="42" t="str">
        <x:v>included_studies/abramova_2024_devneur/abramova_2024_devneur_author_email_sucrose_preference.png</x:v>
      </x:c>
      <x:c r="J2" s="42" t="str">
        <x:v>Link the extracted values to the archived author correspondence screenshot.</x:v>
      </x:c>
    </x:row>
    <x:row r="3">
      <x:c r="A3" s="43" t="str">
        <x:v>Source follow-up – Abramova 2024</x:v>
      </x:c>
      <x:c r="B3" s="43" t="str">
        <x:v>abramova_2024_devneur</x:v>
      </x:c>
      <x:c r="C3" s="43" t="str">
        <x:v>es045</x:v>
      </x:c>
      <x:c r="D3" s="43" t="str">
        <x:v>46</x:v>
      </x:c>
      <x:c r="E3" s="43" t="str">
        <x:v>data_source</x:v>
      </x:c>
      <x:c r="F3" s="43" t="str">
        <x:v>author's email</x:v>
      </x:c>
      <x:c r="G3" s="43" t="str">
        <x:v>Author email (saved screenshot)</x:v>
      </x:c>
      <x:c r="H3" s="43" t="str">
        <x:v>Corrected transcription</x:v>
      </x:c>
      <x:c r="I3" s="43" t="str">
        <x:v>included_studies/abramova_2024_devneur/abramova_2024_devneur_author_email_sucrose_preference.png</x:v>
      </x:c>
      <x:c r="J3" s="43" t="str">
        <x:v>The supplied author email confirms the stored mean and SE values.</x:v>
      </x:c>
    </x:row>
    <x:row r="4">
      <x:c r="A4" s="43" t="str">
        <x:v>Source follow-up – Abramova 2024</x:v>
      </x:c>
      <x:c r="B4" s="43" t="str">
        <x:v>abramova_2024_devneur</x:v>
      </x:c>
      <x:c r="C4" s="43" t="str">
        <x:v>es046</x:v>
      </x:c>
      <x:c r="D4" s="43" t="str">
        <x:v>47</x:v>
      </x:c>
      <x:c r="E4" s="43" t="str">
        <x:v>data_file</x:v>
      </x:c>
      <x:c r="F4" s="43" t="str"/>
      <x:c r="G4" s="43" t="str">
        <x:v>included_studies/abramova_2024_devneur/abramova_2024_devneur_author_email_sucrose_preference.png</x:v>
      </x:c>
      <x:c r="H4" s="43" t="str">
        <x:v>Corrected transcription</x:v>
      </x:c>
      <x:c r="I4" s="43" t="str">
        <x:v>included_studies/abramova_2024_devneur/abramova_2024_devneur_author_email_sucrose_preference.png</x:v>
      </x:c>
      <x:c r="J4" s="43" t="str">
        <x:v>Link the extracted values to the archived author correspondence screenshot.</x:v>
      </x:c>
    </x:row>
    <x:row r="5">
      <x:c r="A5" s="44" t="str">
        <x:v>Source follow-up – Abramova 2024</x:v>
      </x:c>
      <x:c r="B5" s="44" t="str">
        <x:v>abramova_2024_devneur</x:v>
      </x:c>
      <x:c r="C5" s="44" t="str">
        <x:v>es046</x:v>
      </x:c>
      <x:c r="D5" s="44" t="str">
        <x:v>47</x:v>
      </x:c>
      <x:c r="E5" s="44" t="str">
        <x:v>data_source</x:v>
      </x:c>
      <x:c r="F5" s="44" t="str">
        <x:v>author's email</x:v>
      </x:c>
      <x:c r="G5" s="44" t="str">
        <x:v>Author email (saved screenshot)</x:v>
      </x:c>
      <x:c r="H5" s="44" t="str">
        <x:v>Corrected transcription</x:v>
      </x:c>
      <x:c r="I5" s="44" t="str">
        <x:v>included_studies/abramova_2024_devneur/abramova_2024_devneur_author_email_sucrose_preference.png</x:v>
      </x:c>
      <x:c r="J5" s="44" t="str">
        <x:v>The supplied author email confirms the stored mean and SE values.</x:v>
      </x:c>
    </x:row>
  </x:sheetData>
  <x:conditionalFormatting sqref="H2:H5">
    <x:cfRule type="containsText" dxfId="70" priority="1" operator="containsText" text="Verified"/>
    <x:cfRule type="containsText" dxfId="71" priority="2" operator="containsText" text="Corrected transcription"/>
    <x:cfRule type="containsText" dxfId="72" priority="3" operator="containsText" text="Corrected derived value"/>
    <x:cfRule type="containsText" dxfId="73" priority="4" operator="containsText" text="Analysis decision required"/>
    <x:cfRule type="containsText" dxfId="74" priority="5" operator="containsText" text="Source needed"/>
  </x:conditionalFormatting>
  <x:pageMargins left="0.7" right="0.7" top="0.75" bottom="0.75" header="0.3" footer="0.3"/>
  <x:tableParts count="1">
    <x:tablePart xmlns:r="http://schemas.openxmlformats.org/officeDocument/2006/relationships" r:id="R0a9317a5472f48a5"/>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55"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28"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 min="47" max="47" width="14" hidden="0" customWidth="1"/>
    <x:col min="48" max="48" width="14" hidden="0" customWidth="1"/>
    <x:col min="49" max="49" width="14" hidden="0" customWidth="1"/>
    <x:col min="50" max="50" width="14" hidden="0" customWidth="1"/>
    <x:col min="51" max="51" width="14" hidden="0" customWidth="1"/>
    <x:col min="52" max="52" width="14" hidden="0" customWidth="1"/>
    <x:col min="53" max="53" width="14" hidden="0" customWidth="1"/>
    <x:col min="54" max="54" width="14" hidden="0" customWidth="1"/>
    <x:col min="55" max="55" width="14" hidden="0" customWidth="1"/>
    <x:col min="56" max="56" width="14" hidden="0" customWidth="1"/>
    <x:col min="57" max="57" width="14" hidden="0" customWidth="1"/>
    <x:col min="58" max="58" width="14" hidden="0" customWidth="1"/>
    <x:col min="59" max="59" width="14" hidden="0" customWidth="1"/>
    <x:col min="60" max="60" width="14" hidden="0" customWidth="1"/>
    <x:col min="61" max="61" width="14" hidden="0" customWidth="1"/>
    <x:col min="62" max="62" width="42" hidden="0" customWidth="1"/>
    <x:col min="63" max="63" width="42" hidden="0" customWidth="1"/>
    <x:col min="64" max="64" width="14" hidden="0" customWidth="1"/>
    <x:col min="65" max="65" width="14" hidden="0" customWidth="1"/>
    <x:col min="66" max="66" width="14" hidden="0" customWidth="1"/>
    <x:col min="67" max="67" width="14" hidden="0" customWidth="1"/>
    <x:col min="68" max="68" width="14" hidden="0" customWidth="1"/>
    <x:col min="69" max="69" width="14" hidden="0" customWidth="1"/>
    <x:col min="70" max="70" width="14" hidden="0" customWidth="1"/>
    <x:col min="71" max="71" width="14" hidden="0" customWidth="1"/>
    <x:col min="72" max="72" width="14" hidden="0" customWidth="1"/>
    <x:col min="73" max="73" width="42" hidden="0" customWidth="1"/>
    <x:col min="74" max="74" width="14" hidden="0" customWidth="1"/>
    <x:col min="75" max="75" width="14" hidden="0" customWidth="1"/>
    <x:col min="76" max="76" width="55" hidden="0" customWidth="1"/>
    <x:col min="77" max="77" width="55" hidden="0" customWidth="1"/>
    <x:col min="78" max="78" width="14" hidden="0" customWidth="1"/>
    <x:col min="79" max="79" width="14" hidden="0" customWidth="1"/>
    <x:col min="80" max="80" width="55" hidden="0" customWidth="1"/>
    <x:col min="81" max="81" width="55" hidden="0" customWidth="1"/>
    <x:col min="82" max="82" width="28" hidden="0" customWidth="1"/>
    <x:col min="83" max="83" width="28" hidden="0" customWidth="1"/>
    <x:col min="84" max="84" width="55" hidden="0" customWidth="1"/>
  </x:cols>
  <x:sheetData>
    <x:row r="1" ht="34" customHeight="1">
      <x:c r="A1" s="40" t="str">
        <x:v>source_csv_row</x:v>
      </x:c>
      <x:c r="B1" s="40" t="str">
        <x:v>study_id</x:v>
      </x:c>
      <x:c r="C1" s="40" t="str">
        <x:v>ex_id</x:v>
      </x:c>
      <x:c r="D1" s="40" t="str">
        <x:v>con_id</x:v>
      </x:c>
      <x:c r="E1" s="40" t="str">
        <x:v>out_id</x:v>
      </x:c>
      <x:c r="F1" s="40" t="str">
        <x:v>es_id</x:v>
      </x:c>
      <x:c r="G1" s="40" t="str">
        <x:v>shared_control</x:v>
      </x:c>
      <x:c r="H1" s="40" t="str">
        <x:v>id_notes</x:v>
      </x:c>
      <x:c r="I1" s="40" t="str">
        <x:v>title</x:v>
      </x:c>
      <x:c r="J1" s="40" t="str">
        <x:v>doi</x:v>
      </x:c>
      <x:c r="K1" s="40" t="str">
        <x:v>publish_in</x:v>
      </x:c>
      <x:c r="L1" s="40" t="str">
        <x:v>outcome_id_notes</x:v>
      </x:c>
      <x:c r="M1" s="40" t="str">
        <x:v>sp_latin</x:v>
      </x:c>
      <x:c r="N1" s="40" t="str">
        <x:v>sp_common</x:v>
      </x:c>
      <x:c r="O1" s="40" t="str">
        <x:v>strain</x:v>
      </x:c>
      <x:c r="P1" s="40" t="str">
        <x:v>dam_age</x:v>
      </x:c>
      <x:c r="Q1" s="40" t="str">
        <x:v>dam_age_notes</x:v>
      </x:c>
      <x:c r="R1" s="40" t="str">
        <x:v>gest_stage_ex</x:v>
      </x:c>
      <x:c r="S1" s="40" t="str">
        <x:v>gest_stage_ex_notes</x:v>
      </x:c>
      <x:c r="T1" s="40" t="str">
        <x:v>exposure_span_d</x:v>
      </x:c>
      <x:c r="U1" s="40" t="str">
        <x:v>exposure_type</x:v>
      </x:c>
      <x:c r="V1" s="40" t="str">
        <x:v>exposure_session_duration_h</x:v>
      </x:c>
      <x:c r="W1" s="40" t="str">
        <x:v>ex_session_duration_notes</x:v>
      </x:c>
      <x:c r="X1" s="40" t="str">
        <x:v>noise_type</x:v>
      </x:c>
      <x:c r="Y1" s="40" t="str">
        <x:v>noise_type_2</x:v>
      </x:c>
      <x:c r="Z1" s="40" t="str">
        <x:v>loudness_dB</x:v>
      </x:c>
      <x:c r="AA1" s="40" t="str">
        <x:v>frequency_Hz</x:v>
      </x:c>
      <x:c r="AB1" s="40" t="str">
        <x:v>control_conditions</x:v>
      </x:c>
      <x:c r="AC1" s="40" t="str">
        <x:v>control_loudness</x:v>
      </x:c>
      <x:c r="AD1" s="40" t="str">
        <x:v>control_notes</x:v>
      </x:c>
      <x:c r="AE1" s="40" t="str">
        <x:v>offspring_sex</x:v>
      </x:c>
      <x:c r="AF1" s="40" t="str">
        <x:v>offspring_age_d</x:v>
      </x:c>
      <x:c r="AG1" s="40" t="str">
        <x:v>offspring_age_notes</x:v>
      </x:c>
      <x:c r="AH1" s="40" t="str">
        <x:v>experimental_procedures</x:v>
      </x:c>
      <x:c r="AI1" s="40" t="str">
        <x:v>experimental_procedures_notes</x:v>
      </x:c>
      <x:c r="AJ1" s="40" t="str">
        <x:v>outcome_type</x:v>
      </x:c>
      <x:c r="AK1" s="40" t="str">
        <x:v>assay_type</x:v>
      </x:c>
      <x:c r="AL1" s="40" t="str">
        <x:v>assay_type_notes</x:v>
      </x:c>
      <x:c r="AM1" s="40" t="str">
        <x:v>measurement_variable</x:v>
      </x:c>
      <x:c r="AN1" s="40" t="str">
        <x:v>data_type</x:v>
      </x:c>
      <x:c r="AO1" s="40" t="str">
        <x:v>data_units</x:v>
      </x:c>
      <x:c r="AP1" s="40" t="str">
        <x:v>measurement_timing</x:v>
      </x:c>
      <x:c r="AQ1" s="40" t="str">
        <x:v>data_source</x:v>
      </x:c>
      <x:c r="AR1" s="40" t="str">
        <x:v>data_file</x:v>
      </x:c>
      <x:c r="AS1" s="40" t="str">
        <x:v>c_a_id</x:v>
      </x:c>
      <x:c r="AT1" s="40" t="str">
        <x:v>ex_a_id</x:v>
      </x:c>
      <x:c r="AU1" s="40" t="str">
        <x:v>comparison</x:v>
      </x:c>
      <x:c r="AV1" s="40" t="str">
        <x:v>comparison_structure</x:v>
      </x:c>
      <x:c r="AW1" s="40" t="str">
        <x:v>higher_better</x:v>
      </x:c>
      <x:c r="AX1" s="40" t="str">
        <x:v>higher_better_notes</x:v>
      </x:c>
      <x:c r="AY1" s="40" t="str">
        <x:v>higher_better_notes.1</x:v>
      </x:c>
      <x:c r="AZ1" s="40" t="str">
        <x:v>c_mean</x:v>
      </x:c>
      <x:c r="BA1" s="40" t="str">
        <x:v>c_sd</x:v>
      </x:c>
      <x:c r="BB1" s="40" t="str">
        <x:v>c_n</x:v>
      </x:c>
      <x:c r="BC1" s="40" t="str">
        <x:v>c_se</x:v>
      </x:c>
      <x:c r="BD1" s="40" t="str">
        <x:v>c_ci</x:v>
      </x:c>
      <x:c r="BE1" s="40" t="str">
        <x:v>ex_mean</x:v>
      </x:c>
      <x:c r="BF1" s="40" t="str">
        <x:v>ex_sd</x:v>
      </x:c>
      <x:c r="BG1" s="40" t="str">
        <x:v>ex_n</x:v>
      </x:c>
      <x:c r="BH1" s="40" t="str">
        <x:v>ex_se</x:v>
      </x:c>
      <x:c r="BI1" s="40" t="str">
        <x:v>ex_ci</x:v>
      </x:c>
      <x:c r="BJ1" s="40" t="str">
        <x:v>stat_comment</x:v>
      </x:c>
      <x:c r="BK1" s="40" t="str">
        <x:v>general_comment</x:v>
      </x:c>
      <x:c r="BL1" s="40" t="str">
        <x:v>c_median</x:v>
      </x:c>
      <x:c r="BM1" s="40" t="str">
        <x:v>c_q1</x:v>
      </x:c>
      <x:c r="BN1" s="40" t="str">
        <x:v>c_q3</x:v>
      </x:c>
      <x:c r="BO1" s="40" t="str">
        <x:v>ex_median</x:v>
      </x:c>
      <x:c r="BP1" s="40" t="str">
        <x:v>ex_q1</x:v>
      </x:c>
      <x:c r="BQ1" s="40" t="str">
        <x:v>ex_q3</x:v>
      </x:c>
      <x:c r="BR1" s="40" t="str">
        <x:v>checked_ML</x:v>
      </x:c>
      <x:c r="BS1" s="40" t="str">
        <x:v>checked_ML_comments</x:v>
      </x:c>
      <x:c r="BT1" s="40" t="str">
        <x:v>Unnamed: 70</x:v>
      </x:c>
      <x:c r="BU1" s="40" t="str">
        <x:v>corrections_notes_AL</x:v>
      </x:c>
      <x:c r="BV1" s="40" t="str">
        <x:v>c_se_reported</x:v>
      </x:c>
      <x:c r="BW1" s="40" t="str">
        <x:v>c_se_analysis</x:v>
      </x:c>
      <x:c r="BX1" s="40" t="str">
        <x:v>c_se_derivation</x:v>
      </x:c>
      <x:c r="BY1" s="40" t="str">
        <x:v>c_se_source</x:v>
      </x:c>
      <x:c r="BZ1" s="40" t="str">
        <x:v>ex_se_reported</x:v>
      </x:c>
      <x:c r="CA1" s="40" t="str">
        <x:v>ex_se_analysis</x:v>
      </x:c>
      <x:c r="CB1" s="40" t="str">
        <x:v>ex_se_derivation</x:v>
      </x:c>
      <x:c r="CC1" s="40" t="str">
        <x:v>ex_se_source</x:v>
      </x:c>
      <x:c r="CD1" s="40" t="str">
        <x:v>crosscheck_status</x:v>
      </x:c>
      <x:c r="CE1" s="40" t="str">
        <x:v>crosscheck_package</x:v>
      </x:c>
      <x:c r="CF1" s="40" t="str">
        <x:v>crosscheck_notes</x:v>
      </x:c>
    </x:row>
    <x:row r="2">
      <x:c r="A2" s="42" t="str">
        <x:v>2</x:v>
      </x:c>
      <x:c r="B2" s="42" t="str">
        <x:v>uygur_2010_aphyhun</x:v>
      </x:c>
      <x:c r="C2" s="42" t="str">
        <x:v>ex001</x:v>
      </x:c>
      <x:c r="D2" s="42" t="str">
        <x:v>con001</x:v>
      </x:c>
      <x:c r="E2" s="42" t="str">
        <x:v>out001</x:v>
      </x:c>
      <x:c r="F2" s="42" t="str">
        <x:v>es001</x:v>
      </x:c>
      <x:c r="G2" s="42" t="str">
        <x:v>Yes</x:v>
      </x:c>
      <x:c r="H2" s="42" t="str">
        <x:v>One control and one treatment </x:v>
      </x:c>
      <x:c r="I2" s="42" t="str">
        <x:v>Effects of chronic stress on cognitive functions and anxiety related behaviors in rats</x:v>
      </x:c>
      <x:c r="J2" s="42" t="str">
        <x:v>10.1556/APhysiol.97.2010.3.6</x:v>
      </x:c>
      <x:c r="K2" s="42" t="str">
        <x:v>Acta Physiologica Hungarica</x:v>
      </x:c>
      <x:c r="L2" s="42" t="str">
        <x:v>Only one assay for anxiety</x:v>
      </x:c>
      <x:c r="M2" s="42" t="str">
        <x:v>Rattus norvegicus</x:v>
      </x:c>
      <x:c r="N2" s="42" t="str">
        <x:v>albino rat</x:v>
      </x:c>
      <x:c r="O2" s="42" t="str">
        <x:v>Sprague-Dawley</x:v>
      </x:c>
      <x:c r="P2" s="42" t="str"/>
      <x:c r="Q2" s="42" t="str">
        <x:v>not reported</x:v>
      </x:c>
      <x:c r="R2" s="42" t="str">
        <x:v>late</x:v>
      </x:c>
      <x:c r="S2" s="42" t="str">
        <x:v>day 14-21</x:v>
      </x:c>
      <x:c r="T2" s="42" t="str">
        <x:v>8</x:v>
      </x:c>
      <x:c r="U2" s="42" t="str">
        <x:v>Intermitent</x:v>
      </x:c>
      <x:c r="V2" s="42" t="str">
        <x:v>0.75</x:v>
      </x:c>
      <x:c r="W2" s="42" t="str">
        <x:v>45 min</x:v>
      </x:c>
      <x:c r="X2" s="42" t="str">
        <x:v>White noise</x:v>
      </x:c>
      <x:c r="Y2" s="42" t="str">
        <x:v>Audible</x:v>
      </x:c>
      <x:c r="Z2" s="42" t="str">
        <x:v>100</x:v>
      </x:c>
      <x:c r="AA2" s="42" t="str"/>
      <x:c r="AB2" s="42" t="str">
        <x:v>Unclear</x:v>
      </x:c>
      <x:c r="AC2" s="42" t="str"/>
      <x:c r="AD2" s="42" t="str">
        <x:v>They carried the cages to the other room too, but without any noise exposure</x:v>
      </x:c>
      <x:c r="AE2" s="42" t="str">
        <x:v>male</x:v>
      </x:c>
      <x:c r="AF2" s="42" t="str">
        <x:v>70</x:v>
      </x:c>
      <x:c r="AG2" s="42" t="str">
        <x:v>70 days of age </x:v>
      </x:c>
      <x:c r="AH2" s="42" t="str">
        <x:v>none</x:v>
      </x:c>
      <x:c r="AI2" s="42" t="str"/>
      <x:c r="AJ2" s="42" t="str">
        <x:v>Anxiety</x:v>
      </x:c>
      <x:c r="AK2" s="42" t="str">
        <x:v>Defensive withdrawal test (DWT)</x:v>
      </x:c>
      <x:c r="AL2" s="42" t="str">
        <x:v>Latency to exit the dark box with all four paws for the first time</x:v>
      </x:c>
      <x:c r="AM2" s="42" t="str">
        <x:v>Latency to exit the dark box</x:v>
      </x:c>
      <x:c r="AN2" s="42" t="str">
        <x:v>Time</x:v>
      </x:c>
      <x:c r="AO2" s="42" t="str">
        <x:v>s</x:v>
      </x:c>
      <x:c r="AP2" s="42" t="str">
        <x:v>Light phase</x:v>
      </x:c>
      <x:c r="AQ2" s="42" t="str">
        <x:v>Table II</x:v>
      </x:c>
      <x:c r="AR2" s="42" t="str">
        <x:v>uygur_2010_table2</x:v>
      </x:c>
      <x:c r="AS2" s="42" t="str">
        <x:v>CON_lat</x:v>
      </x:c>
      <x:c r="AT2" s="42" t="str">
        <x:v>PSN_lat</x:v>
      </x:c>
      <x:c r="AU2" s="42" t="str">
        <x:v>con_psn_lat</x:v>
      </x:c>
      <x:c r="AV2" s="42" t="str">
        <x:v>Independent</x:v>
      </x:c>
      <x:c r="AW2" s="42" t="str">
        <x:v>No</x:v>
      </x:c>
      <x:c r="AX2" s="42" t="str">
        <x:v>Positive</x:v>
      </x:c>
      <x:c r="AY2" s="42" t="str">
        <x:v>Not specified</x:v>
      </x:c>
      <x:c r="AZ2" s="42" t="str">
        <x:v>90.9</x:v>
      </x:c>
      <x:c r="BA2" s="42" t="str"/>
      <x:c r="BB2" s="42" t="str">
        <x:v>10</x:v>
      </x:c>
      <x:c r="BC2" s="42" t="str">
        <x:v>58.69</x:v>
      </x:c>
      <x:c r="BD2" s="42" t="str"/>
      <x:c r="BE2" s="42" t="str">
        <x:v>137.0</x:v>
      </x:c>
      <x:c r="BF2" s="42" t="str"/>
      <x:c r="BG2" s="42" t="str">
        <x:v>9</x:v>
      </x:c>
      <x:c r="BH2" s="42" t="str">
        <x:v>66.9</x:v>
      </x:c>
      <x:c r="BI2" s="42" t="str"/>
      <x:c r="BJ2" s="42" t="str"/>
      <x:c r="BK2" s="42" t="str"/>
      <x:c r="BL2" s="42" t="str"/>
      <x:c r="BM2" s="42" t="str"/>
      <x:c r="BN2" s="42" t="str"/>
      <x:c r="BO2" s="42" t="str"/>
      <x:c r="BP2" s="42" t="str"/>
      <x:c r="BQ2" s="42" t="str"/>
      <x:c r="BR2" s="42" t="str">
        <x:v>yes</x:v>
      </x:c>
      <x:c r="BS2" s="42" t="str"/>
      <x:c r="BT2" s="42" t="str"/>
      <x:c r="BU2" s="42" t="str"/>
      <x:c r="BV2" s="42" t="str">
        <x:v>58.69</x:v>
      </x:c>
      <x:c r="BW2" s="42" t="str">
        <x:v>58.69</x:v>
      </x:c>
      <x:c r="BX2" s="42" t="str">
        <x:v>Reported SEM; used unchanged for analysis</x:v>
      </x:c>
      <x:c r="BY2" s="42" t="str">
        <x:v>uygur_2010_table2; Table II</x:v>
      </x:c>
      <x:c r="BZ2" s="42" t="str">
        <x:v>66.9</x:v>
      </x:c>
      <x:c r="CA2" s="42" t="str">
        <x:v>66.9</x:v>
      </x:c>
      <x:c r="CB2" s="42" t="str">
        <x:v>Reported SEM; used unchanged for analysis</x:v>
      </x:c>
      <x:c r="CC2" s="42" t="str">
        <x:v>uygur_2010_table2; Table II</x:v>
      </x:c>
      <x:c r="CD2" s="42" t="str">
        <x:v>Corrected transcription</x:v>
      </x:c>
      <x:c r="CE2" s="42" t="str">
        <x:v>2 – Uygur 2010 exposure and sample sizes</x:v>
      </x:c>
      <x:c r="CF2" s="42" t="str">
        <x:v>The paper reports 45 minutes per day; 45/60 = 0.75 hours. | Table II identifies the control group as CON, n=10. | Table II identifies the prenatal-stress group as PSN, n=9.</x:v>
      </x:c>
    </x:row>
    <x:row r="3">
      <x:c r="A3" s="43" t="str">
        <x:v>3</x:v>
      </x:c>
      <x:c r="B3" s="43" t="str">
        <x:v>uygur_2010_aphyhun</x:v>
      </x:c>
      <x:c r="C3" s="43" t="str">
        <x:v>ex001</x:v>
      </x:c>
      <x:c r="D3" s="43" t="str">
        <x:v>con001</x:v>
      </x:c>
      <x:c r="E3" s="43" t="str">
        <x:v>out002</x:v>
      </x:c>
      <x:c r="F3" s="43" t="str">
        <x:v>es002</x:v>
      </x:c>
      <x:c r="G3" s="43" t="str">
        <x:v>Yes</x:v>
      </x:c>
      <x:c r="H3" s="43" t="str">
        <x:v>One control and one treatment </x:v>
      </x:c>
      <x:c r="I3" s="43" t="str">
        <x:v>Effects of chronic stress on cognitive functions and anxiety related behaviors in rats</x:v>
      </x:c>
      <x:c r="J3" s="43" t="str">
        <x:v>10.1556/APhysiol.97.2010.3.6</x:v>
      </x:c>
      <x:c r="K3" s="43" t="str">
        <x:v>Acta Physiologica Hungarica</x:v>
      </x:c>
      <x:c r="L3" s="43" t="str">
        <x:v>Only one assay for anxiety</x:v>
      </x:c>
      <x:c r="M3" s="43" t="str">
        <x:v>Rattus norvegicus</x:v>
      </x:c>
      <x:c r="N3" s="43" t="str">
        <x:v>albino rat</x:v>
      </x:c>
      <x:c r="O3" s="43" t="str">
        <x:v>Sprague-Dawley</x:v>
      </x:c>
      <x:c r="P3" s="43" t="str"/>
      <x:c r="Q3" s="43" t="str">
        <x:v>not reported</x:v>
      </x:c>
      <x:c r="R3" s="43" t="str">
        <x:v>late</x:v>
      </x:c>
      <x:c r="S3" s="43" t="str">
        <x:v>day 14-21</x:v>
      </x:c>
      <x:c r="T3" s="43" t="str">
        <x:v>8</x:v>
      </x:c>
      <x:c r="U3" s="43" t="str">
        <x:v>Intermitent</x:v>
      </x:c>
      <x:c r="V3" s="43" t="str">
        <x:v>0.75</x:v>
      </x:c>
      <x:c r="W3" s="43" t="str">
        <x:v>45 min</x:v>
      </x:c>
      <x:c r="X3" s="43" t="str">
        <x:v>White noise</x:v>
      </x:c>
      <x:c r="Y3" s="43" t="str">
        <x:v>Audible</x:v>
      </x:c>
      <x:c r="Z3" s="43" t="str">
        <x:v>100</x:v>
      </x:c>
      <x:c r="AA3" s="43" t="str"/>
      <x:c r="AB3" s="43" t="str">
        <x:v>Unclear</x:v>
      </x:c>
      <x:c r="AC3" s="43" t="str"/>
      <x:c r="AD3" s="43" t="str">
        <x:v>They carried the cages to the other room too, but without any noise exposure</x:v>
      </x:c>
      <x:c r="AE3" s="43" t="str">
        <x:v>male</x:v>
      </x:c>
      <x:c r="AF3" s="43" t="str">
        <x:v>70</x:v>
      </x:c>
      <x:c r="AG3" s="43" t="str">
        <x:v>70 days of age </x:v>
      </x:c>
      <x:c r="AH3" s="43" t="str">
        <x:v>none</x:v>
      </x:c>
      <x:c r="AI3" s="43" t="str"/>
      <x:c r="AJ3" s="43" t="str">
        <x:v>Anxiety</x:v>
      </x:c>
      <x:c r="AK3" s="43" t="str">
        <x:v>Defensive withdrawal test (DWT)</x:v>
      </x:c>
      <x:c r="AL3" s="43" t="str"/>
      <x:c r="AM3" s="43" t="str">
        <x:v>Exits from dark box</x:v>
      </x:c>
      <x:c r="AN3" s="43" t="str">
        <x:v>Count</x:v>
      </x:c>
      <x:c r="AO3" s="43" t="str">
        <x:v>Count</x:v>
      </x:c>
      <x:c r="AP3" s="43" t="str">
        <x:v>Light phase</x:v>
      </x:c>
      <x:c r="AQ3" s="43" t="str">
        <x:v>Table II</x:v>
      </x:c>
      <x:c r="AR3" s="43" t="str">
        <x:v>uygur_2010_table2</x:v>
      </x:c>
      <x:c r="AS3" s="43" t="str">
        <x:v>CON_ex</x:v>
      </x:c>
      <x:c r="AT3" s="43" t="str">
        <x:v>PSN_ex</x:v>
      </x:c>
      <x:c r="AU3" s="43" t="str">
        <x:v>con_psn_ex</x:v>
      </x:c>
      <x:c r="AV3" s="43" t="str">
        <x:v>Independent</x:v>
      </x:c>
      <x:c r="AW3" s="43" t="str">
        <x:v>Yes</x:v>
      </x:c>
      <x:c r="AX3" s="43" t="str">
        <x:v>Negative</x:v>
      </x:c>
      <x:c r="AY3" s="43" t="str">
        <x:v>Not specified</x:v>
      </x:c>
      <x:c r="AZ3" s="43" t="str">
        <x:v>4.3</x:v>
      </x:c>
      <x:c r="BA3" s="43" t="str"/>
      <x:c r="BB3" s="43" t="str">
        <x:v>10</x:v>
      </x:c>
      <x:c r="BC3" s="43" t="str">
        <x:v>0.82</x:v>
      </x:c>
      <x:c r="BD3" s="43" t="str"/>
      <x:c r="BE3" s="43" t="str">
        <x:v>3.67</x:v>
      </x:c>
      <x:c r="BF3" s="43" t="str"/>
      <x:c r="BG3" s="43" t="str">
        <x:v>9</x:v>
      </x:c>
      <x:c r="BH3" s="43" t="str">
        <x:v>0.73</x:v>
      </x:c>
      <x:c r="BI3" s="43" t="str"/>
      <x:c r="BJ3" s="43" t="str"/>
      <x:c r="BK3" s="43" t="str"/>
      <x:c r="BL3" s="43" t="str"/>
      <x:c r="BM3" s="43" t="str"/>
      <x:c r="BN3" s="43" t="str"/>
      <x:c r="BO3" s="43" t="str"/>
      <x:c r="BP3" s="43" t="str"/>
      <x:c r="BQ3" s="43" t="str"/>
      <x:c r="BR3" s="43" t="str">
        <x:v>yes</x:v>
      </x:c>
      <x:c r="BS3" s="43" t="str"/>
      <x:c r="BT3" s="43" t="str"/>
      <x:c r="BU3" s="43" t="str"/>
      <x:c r="BV3" s="43" t="str">
        <x:v>0.82</x:v>
      </x:c>
      <x:c r="BW3" s="43" t="str">
        <x:v>0.82</x:v>
      </x:c>
      <x:c r="BX3" s="43" t="str">
        <x:v>Reported SEM; used unchanged for analysis</x:v>
      </x:c>
      <x:c r="BY3" s="43" t="str">
        <x:v>uygur_2010_table2; Table II</x:v>
      </x:c>
      <x:c r="BZ3" s="43" t="str">
        <x:v>0.73</x:v>
      </x:c>
      <x:c r="CA3" s="43" t="str">
        <x:v>0.73</x:v>
      </x:c>
      <x:c r="CB3" s="43" t="str">
        <x:v>Reported SEM; used unchanged for analysis</x:v>
      </x:c>
      <x:c r="CC3" s="43" t="str">
        <x:v>uygur_2010_table2; Table II</x:v>
      </x:c>
      <x:c r="CD3" s="43" t="str">
        <x:v>Corrected transcription</x:v>
      </x:c>
      <x:c r="CE3" s="43" t="str">
        <x:v>2 – Uygur 2010 exposure and sample sizes</x:v>
      </x:c>
      <x:c r="CF3" s="43" t="str">
        <x:v>The paper reports 45 minutes per day; 45/60 = 0.75 hours. | Table II identifies the control group as CON, n=10. | Table II identifies the prenatal-stress group as PSN, n=9.</x:v>
      </x:c>
    </x:row>
    <x:row r="4">
      <x:c r="A4" s="43" t="str">
        <x:v>4</x:v>
      </x:c>
      <x:c r="B4" s="43" t="str">
        <x:v>uygur_2010_aphyhun</x:v>
      </x:c>
      <x:c r="C4" s="43" t="str">
        <x:v>ex001</x:v>
      </x:c>
      <x:c r="D4" s="43" t="str">
        <x:v>con001</x:v>
      </x:c>
      <x:c r="E4" s="43" t="str">
        <x:v>out003</x:v>
      </x:c>
      <x:c r="F4" s="43" t="str">
        <x:v>es003</x:v>
      </x:c>
      <x:c r="G4" s="43" t="str">
        <x:v>Yes</x:v>
      </x:c>
      <x:c r="H4" s="43" t="str">
        <x:v>One control and one treatment </x:v>
      </x:c>
      <x:c r="I4" s="43" t="str">
        <x:v>Effects of chronic stress on cognitive functions and anxiety related behaviors in rats</x:v>
      </x:c>
      <x:c r="J4" s="43" t="str">
        <x:v>10.1556/APhysiol.97.2010.3.6</x:v>
      </x:c>
      <x:c r="K4" s="43" t="str">
        <x:v>Acta Physiologica Hungarica</x:v>
      </x:c>
      <x:c r="L4" s="43" t="str">
        <x:v>Only one assay for anxiety</x:v>
      </x:c>
      <x:c r="M4" s="43" t="str">
        <x:v>Rattus norvegicus</x:v>
      </x:c>
      <x:c r="N4" s="43" t="str">
        <x:v>albino rat</x:v>
      </x:c>
      <x:c r="O4" s="43" t="str">
        <x:v>Sprague-Dawley</x:v>
      </x:c>
      <x:c r="P4" s="43" t="str"/>
      <x:c r="Q4" s="43" t="str">
        <x:v>not reported</x:v>
      </x:c>
      <x:c r="R4" s="43" t="str">
        <x:v>late</x:v>
      </x:c>
      <x:c r="S4" s="43" t="str">
        <x:v>day 14-21</x:v>
      </x:c>
      <x:c r="T4" s="43" t="str">
        <x:v>8</x:v>
      </x:c>
      <x:c r="U4" s="43" t="str">
        <x:v>Intermitent</x:v>
      </x:c>
      <x:c r="V4" s="43" t="str">
        <x:v>0.75</x:v>
      </x:c>
      <x:c r="W4" s="43" t="str">
        <x:v>45 min</x:v>
      </x:c>
      <x:c r="X4" s="43" t="str">
        <x:v>White noise</x:v>
      </x:c>
      <x:c r="Y4" s="43" t="str">
        <x:v>Audible</x:v>
      </x:c>
      <x:c r="Z4" s="43" t="str">
        <x:v>100</x:v>
      </x:c>
      <x:c r="AA4" s="43" t="str"/>
      <x:c r="AB4" s="43" t="str">
        <x:v>Unclear</x:v>
      </x:c>
      <x:c r="AC4" s="43" t="str"/>
      <x:c r="AD4" s="43" t="str">
        <x:v>They carried the cages to the other room too, but without any noise exposure</x:v>
      </x:c>
      <x:c r="AE4" s="43" t="str">
        <x:v>male</x:v>
      </x:c>
      <x:c r="AF4" s="43" t="str">
        <x:v>70</x:v>
      </x:c>
      <x:c r="AG4" s="43" t="str">
        <x:v>70 days of age </x:v>
      </x:c>
      <x:c r="AH4" s="43" t="str">
        <x:v>none</x:v>
      </x:c>
      <x:c r="AI4" s="43" t="str"/>
      <x:c r="AJ4" s="43" t="str">
        <x:v>Anxiety</x:v>
      </x:c>
      <x:c r="AK4" s="43" t="str">
        <x:v>Defensive withdrawal test (DWT)</x:v>
      </x:c>
      <x:c r="AL4" s="43" t="str"/>
      <x:c r="AM4" s="43" t="str">
        <x:v>Time in open field</x:v>
      </x:c>
      <x:c r="AN4" s="43" t="str">
        <x:v>Time</x:v>
      </x:c>
      <x:c r="AO4" s="43" t="str">
        <x:v>s</x:v>
      </x:c>
      <x:c r="AP4" s="43" t="str">
        <x:v>Light phase</x:v>
      </x:c>
      <x:c r="AQ4" s="43" t="str">
        <x:v>Table II</x:v>
      </x:c>
      <x:c r="AR4" s="43" t="str">
        <x:v>uygur_2010_table2</x:v>
      </x:c>
      <x:c r="AS4" s="43" t="str">
        <x:v>CON_oat</x:v>
      </x:c>
      <x:c r="AT4" s="43" t="str">
        <x:v>PSN_oat</x:v>
      </x:c>
      <x:c r="AU4" s="43" t="str">
        <x:v>con_psn_oat</x:v>
      </x:c>
      <x:c r="AV4" s="43" t="str">
        <x:v>Independent</x:v>
      </x:c>
      <x:c r="AW4" s="43" t="str">
        <x:v>Yes</x:v>
      </x:c>
      <x:c r="AX4" s="43" t="str">
        <x:v>Negative</x:v>
      </x:c>
      <x:c r="AY4" s="43" t="str">
        <x:v>Not specified</x:v>
      </x:c>
      <x:c r="AZ4" s="43" t="str">
        <x:v>101.74</x:v>
      </x:c>
      <x:c r="BA4" s="43" t="str"/>
      <x:c r="BB4" s="43" t="str">
        <x:v>10</x:v>
      </x:c>
      <x:c r="BC4" s="43" t="str">
        <x:v>25.25</x:v>
      </x:c>
      <x:c r="BD4" s="43" t="str"/>
      <x:c r="BE4" s="43" t="str">
        <x:v>66.67</x:v>
      </x:c>
      <x:c r="BF4" s="43" t="str"/>
      <x:c r="BG4" s="43" t="str">
        <x:v>9</x:v>
      </x:c>
      <x:c r="BH4" s="43" t="str">
        <x:v>16.87</x:v>
      </x:c>
      <x:c r="BI4" s="43" t="str"/>
      <x:c r="BJ4" s="43" t="str"/>
      <x:c r="BK4" s="43" t="str"/>
      <x:c r="BL4" s="43" t="str"/>
      <x:c r="BM4" s="43" t="str"/>
      <x:c r="BN4" s="43" t="str"/>
      <x:c r="BO4" s="43" t="str"/>
      <x:c r="BP4" s="43" t="str"/>
      <x:c r="BQ4" s="43" t="str"/>
      <x:c r="BR4" s="43" t="str">
        <x:v>yes</x:v>
      </x:c>
      <x:c r="BS4" s="43" t="str"/>
      <x:c r="BT4" s="43" t="str"/>
      <x:c r="BU4" s="43" t="str"/>
      <x:c r="BV4" s="43" t="str">
        <x:v>25.25</x:v>
      </x:c>
      <x:c r="BW4" s="43" t="str">
        <x:v>25.25</x:v>
      </x:c>
      <x:c r="BX4" s="43" t="str">
        <x:v>Reported SEM; used unchanged for analysis</x:v>
      </x:c>
      <x:c r="BY4" s="43" t="str">
        <x:v>uygur_2010_table2; Table II</x:v>
      </x:c>
      <x:c r="BZ4" s="43" t="str">
        <x:v>16.87</x:v>
      </x:c>
      <x:c r="CA4" s="43" t="str">
        <x:v>16.87</x:v>
      </x:c>
      <x:c r="CB4" s="43" t="str">
        <x:v>Reported SEM; used unchanged for analysis</x:v>
      </x:c>
      <x:c r="CC4" s="43" t="str">
        <x:v>uygur_2010_table2; Table II</x:v>
      </x:c>
      <x:c r="CD4" s="43" t="str">
        <x:v>Corrected transcription</x:v>
      </x:c>
      <x:c r="CE4" s="43" t="str">
        <x:v>2 – Uygur 2010 exposure and sample sizes</x:v>
      </x:c>
      <x:c r="CF4" s="43" t="str">
        <x:v>The paper reports 45 minutes per day; 45/60 = 0.75 hours. | Table II identifies the control group as CON, n=10. | Table II identifies the prenatal-stress group as PSN, n=9.</x:v>
      </x:c>
    </x:row>
    <x:row r="5">
      <x:c r="A5" s="43" t="str">
        <x:v>5</x:v>
      </x:c>
      <x:c r="B5" s="43" t="str">
        <x:v>barzegar_2014_hippo</x:v>
      </x:c>
      <x:c r="C5" s="43" t="str">
        <x:v>ex002</x:v>
      </x:c>
      <x:c r="D5" s="43" t="str">
        <x:v>con002</x:v>
      </x:c>
      <x:c r="E5" s="43" t="str">
        <x:v>out004</x:v>
      </x:c>
      <x:c r="F5" s="43" t="str">
        <x:v>es004</x:v>
      </x:c>
      <x:c r="G5" s="43" t="str">
        <x:v>Yes</x:v>
      </x:c>
      <x:c r="H5" s="43" t="str">
        <x:v>They tested 1 h daily exposure duration</x:v>
      </x:c>
      <x:c r="I5" s="43" t="str">
        <x:v>Prenatal Exposure to Noise Stress: Anxiety, Impaired Spatial Memory, and Deteriorated Hippocampal Plasticity in Postnatal Life</x:v>
      </x:c>
      <x:c r="J5" s="43" t="str">
        <x:v>10.1002/hipo.22363</x:v>
      </x:c>
      <x:c r="K5" s="43" t="str">
        <x:v>Hippocampus</x:v>
      </x:c>
      <x:c r="L5" s="43" t="str">
        <x:v>Only one assay for anxiety</x:v>
      </x:c>
      <x:c r="M5" s="43" t="str">
        <x:v>Rattus norvegicus</x:v>
      </x:c>
      <x:c r="N5" s="43" t="str">
        <x:v>brown rat</x:v>
      </x:c>
      <x:c r="O5" s="43" t="str">
        <x:v>Wistar rat</x:v>
      </x:c>
      <x:c r="P5" s="43" t="str"/>
      <x:c r="Q5" s="43" t="str">
        <x:v>not reported</x:v>
      </x:c>
      <x:c r="R5" s="43" t="str">
        <x:v>late</x:v>
      </x:c>
      <x:c r="S5" s="43" t="str">
        <x:v>at the third trimester</x:v>
      </x:c>
      <x:c r="T5" s="43" t="str">
        <x:v>7</x:v>
      </x:c>
      <x:c r="U5" s="43" t="str">
        <x:v>Intermitent</x:v>
      </x:c>
      <x:c r="V5" s="43" t="str">
        <x:v>1.0</x:v>
      </x:c>
      <x:c r="W5" s="43" t="str">
        <x:v>h</x:v>
      </x:c>
      <x:c r="X5" s="43" t="str">
        <x:v>White noise</x:v>
      </x:c>
      <x:c r="Y5" s="43" t="str">
        <x:v>Audible</x:v>
      </x:c>
      <x:c r="Z5" s="43" t="str">
        <x:v>95</x:v>
      </x:c>
      <x:c r="AA5" s="43" t="str"/>
      <x:c r="AB5" s="43" t="str">
        <x:v>Unclear</x:v>
      </x:c>
      <x:c r="AC5" s="43" t="str"/>
      <x:c r="AD5" s="43" t="str">
        <x:v>Control pregnant animals was kept in the noise chamber for the same period of time without noise exposure</x:v>
      </x:c>
      <x:c r="AE5" s="43" t="str">
        <x:v>male</x:v>
      </x:c>
      <x:c r="AF5" s="43" t="str">
        <x:v>46</x:v>
      </x:c>
      <x:c r="AG5" s="43" t="str">
        <x:v>42-50 daysof age </x:v>
      </x:c>
      <x:c r="AH5" s="43" t="str">
        <x:v>none</x:v>
      </x:c>
      <x:c r="AI5" s="43" t="str"/>
      <x:c r="AJ5" s="43" t="str">
        <x:v>Anxiety</x:v>
      </x:c>
      <x:c r="AK5" s="43" t="str">
        <x:v>Elevated Plus Maze (EPM)</x:v>
      </x:c>
      <x:c r="AL5" s="43" t="str">
        <x:v>Evaluated spatial anxiety in rats. As a convention, an entry was defined as having all four paws in the arm.</x:v>
      </x:c>
      <x:c r="AM5" s="43" t="str">
        <x:v>Entries into open arms (OAE)</x:v>
      </x:c>
      <x:c r="AN5" s="43" t="str">
        <x:v>Percentage</x:v>
      </x:c>
      <x:c r="AO5" s="43" t="str">
        <x:v>%</x:v>
      </x:c>
      <x:c r="AP5" s="43" t="str">
        <x:v>Not reported</x:v>
      </x:c>
      <x:c r="AQ5" s="43" t="str">
        <x:v>Figure 2A</x:v>
      </x:c>
      <x:c r="AR5" s="43" t="str">
        <x:v>barzegar_2014_figure2a.png</x:v>
      </x:c>
      <x:c r="AS5" s="43" t="str">
        <x:v>CON_oae</x:v>
      </x:c>
      <x:c r="AT5" s="43" t="str">
        <x:v>N1_oae</x:v>
      </x:c>
      <x:c r="AU5" s="43" t="str">
        <x:v>con_n1_oae</x:v>
      </x:c>
      <x:c r="AV5" s="43" t="str">
        <x:v>Independent</x:v>
      </x:c>
      <x:c r="AW5" s="43" t="str">
        <x:v>Yes</x:v>
      </x:c>
      <x:c r="AX5" s="43" t="str">
        <x:v>Negative</x:v>
      </x:c>
      <x:c r="AY5" s="43" t="str">
        <x:v>Not specified</x:v>
      </x:c>
      <x:c r="AZ5" s="43" t="str">
        <x:v>32.07</x:v>
      </x:c>
      <x:c r="BA5" s="43" t="str">
        <x:v>10.96</x:v>
      </x:c>
      <x:c r="BB5" s="43" t="str">
        <x:v>10</x:v>
      </x:c>
      <x:c r="BC5" s="43" t="str">
        <x:v>3.47</x:v>
      </x:c>
      <x:c r="BD5" s="43" t="str"/>
      <x:c r="BE5" s="43" t="str">
        <x:v>33.93</x:v>
      </x:c>
      <x:c r="BF5" s="43" t="str">
        <x:v>19.61</x:v>
      </x:c>
      <x:c r="BG5" s="43" t="str">
        <x:v>10</x:v>
      </x:c>
      <x:c r="BH5" s="43" t="str">
        <x:v>6.2</x:v>
      </x:c>
      <x:c r="BI5" s="43" t="str"/>
      <x:c r="BJ5" s="43" t="str"/>
      <x:c r="BK5" s="43" t="str"/>
      <x:c r="BL5" s="43" t="str"/>
      <x:c r="BM5" s="43" t="str"/>
      <x:c r="BN5" s="43" t="str"/>
      <x:c r="BO5" s="43" t="str"/>
      <x:c r="BP5" s="43" t="str"/>
      <x:c r="BQ5" s="43" t="str"/>
      <x:c r="BR5" s="43" t="str">
        <x:v>yes</x:v>
      </x:c>
      <x:c r="BS5" s="43" t="str"/>
      <x:c r="BT5" s="43" t="str"/>
      <x:c r="BU5" s="43" t="str"/>
      <x:c r="BV5" s="43" t="str">
        <x:v>3.47</x:v>
      </x:c>
      <x:c r="BW5" s="43" t="str">
        <x:v>3.47</x:v>
      </x:c>
      <x:c r="BX5" s="43" t="str">
        <x:v>Digitised reported SEM; used unchanged for analysis</x:v>
      </x:c>
      <x:c r="BY5" s="43" t="str">
        <x:v>Metadigitise_figs/metaDigitise_output.csv and saved figure image</x:v>
      </x:c>
      <x:c r="BZ5" s="43" t="str">
        <x:v>6.2</x:v>
      </x:c>
      <x:c r="CA5" s="43" t="str">
        <x:v>6.2</x:v>
      </x:c>
      <x:c r="CB5" s="43" t="str">
        <x:v>Digitised reported SEM; used unchanged for analysis</x:v>
      </x:c>
      <x:c r="CC5" s="43" t="str">
        <x:v>Metadigitise_figs/metaDigitise_output.csv and saved figure image</x:v>
      </x:c>
      <x:c r="CD5" s="43" t="str">
        <x:v>Corrected transcription</x:v>
      </x:c>
      <x:c r="CE5" s="43" t="str">
        <x:v>4 – Barzegar 2014 title and SEM</x:v>
      </x:c>
      <x:c r="CF5" s="43" t="str">
        <x:v>Replace the title copied from another study with the Barzegar paper title. | Use the exact saved image filename for reproducibility.</x:v>
      </x:c>
    </x:row>
    <x:row r="6">
      <x:c r="A6" s="43" t="str">
        <x:v>6</x:v>
      </x:c>
      <x:c r="B6" s="43" t="str">
        <x:v>barzegar_2014_hippo</x:v>
      </x:c>
      <x:c r="C6" s="43" t="str">
        <x:v>ex002</x:v>
      </x:c>
      <x:c r="D6" s="43" t="str">
        <x:v>con002</x:v>
      </x:c>
      <x:c r="E6" s="43" t="str">
        <x:v>out005</x:v>
      </x:c>
      <x:c r="F6" s="43" t="str">
        <x:v>es005</x:v>
      </x:c>
      <x:c r="G6" s="43" t="str">
        <x:v>Yes</x:v>
      </x:c>
      <x:c r="H6" s="43" t="str">
        <x:v>They tested 1 h daily exposure duration</x:v>
      </x:c>
      <x:c r="I6" s="43" t="str">
        <x:v>Prenatal Exposure to Noise Stress: Anxiety, Impaired Spatial Memory, and Deteriorated Hippocampal Plasticity in Postnatal Life</x:v>
      </x:c>
      <x:c r="J6" s="43" t="str">
        <x:v>10.1002/hipo.22363</x:v>
      </x:c>
      <x:c r="K6" s="43" t="str">
        <x:v>Hippocampus</x:v>
      </x:c>
      <x:c r="L6" s="43" t="str">
        <x:v>Only one assay for anxiety</x:v>
      </x:c>
      <x:c r="M6" s="43" t="str">
        <x:v>Rattus norvegicus</x:v>
      </x:c>
      <x:c r="N6" s="43" t="str">
        <x:v>brown rat</x:v>
      </x:c>
      <x:c r="O6" s="43" t="str">
        <x:v>Wistar rat</x:v>
      </x:c>
      <x:c r="P6" s="43" t="str"/>
      <x:c r="Q6" s="43" t="str">
        <x:v>not reported</x:v>
      </x:c>
      <x:c r="R6" s="43" t="str">
        <x:v>late</x:v>
      </x:c>
      <x:c r="S6" s="43" t="str">
        <x:v>at the third trimester</x:v>
      </x:c>
      <x:c r="T6" s="43" t="str">
        <x:v>7</x:v>
      </x:c>
      <x:c r="U6" s="43" t="str">
        <x:v>Intermitent</x:v>
      </x:c>
      <x:c r="V6" s="43" t="str">
        <x:v>1.0</x:v>
      </x:c>
      <x:c r="W6" s="43" t="str">
        <x:v>h</x:v>
      </x:c>
      <x:c r="X6" s="43" t="str">
        <x:v>White noise</x:v>
      </x:c>
      <x:c r="Y6" s="43" t="str">
        <x:v>Audible</x:v>
      </x:c>
      <x:c r="Z6" s="43" t="str">
        <x:v>95</x:v>
      </x:c>
      <x:c r="AA6" s="43" t="str"/>
      <x:c r="AB6" s="43" t="str">
        <x:v>Unclear</x:v>
      </x:c>
      <x:c r="AC6" s="43" t="str"/>
      <x:c r="AD6" s="43" t="str">
        <x:v>Control pregnant animals was kept in the noise chamber for the same period of time without noise exposure</x:v>
      </x:c>
      <x:c r="AE6" s="43" t="str">
        <x:v>male</x:v>
      </x:c>
      <x:c r="AF6" s="43" t="str">
        <x:v>46</x:v>
      </x:c>
      <x:c r="AG6" s="43" t="str">
        <x:v>42-50 daysof age </x:v>
      </x:c>
      <x:c r="AH6" s="43" t="str">
        <x:v>none</x:v>
      </x:c>
      <x:c r="AI6" s="43" t="str"/>
      <x:c r="AJ6" s="43" t="str">
        <x:v>Anxiety</x:v>
      </x:c>
      <x:c r="AK6" s="43" t="str">
        <x:v>Elevated Plus Maze (EPM)</x:v>
      </x:c>
      <x:c r="AL6" s="43" t="str">
        <x:v>Evaluated spatial anxiety in rats </x:v>
      </x:c>
      <x:c r="AM6" s="43" t="str">
        <x:v>Time in open arms (OAT)</x:v>
      </x:c>
      <x:c r="AN6" s="43" t="str">
        <x:v>Percentage</x:v>
      </x:c>
      <x:c r="AO6" s="43" t="str">
        <x:v>%</x:v>
      </x:c>
      <x:c r="AP6" s="43" t="str">
        <x:v>Not reported</x:v>
      </x:c>
      <x:c r="AQ6" s="43" t="str">
        <x:v>Figure 2B</x:v>
      </x:c>
      <x:c r="AR6" s="43" t="str">
        <x:v>barzegar_2014_figure2b.png</x:v>
      </x:c>
      <x:c r="AS6" s="43" t="str">
        <x:v>CON_oat</x:v>
      </x:c>
      <x:c r="AT6" s="43" t="str">
        <x:v>N1_oat</x:v>
      </x:c>
      <x:c r="AU6" s="43" t="str">
        <x:v>con_n1_oat</x:v>
      </x:c>
      <x:c r="AV6" s="43" t="str">
        <x:v>Independent</x:v>
      </x:c>
      <x:c r="AW6" s="43" t="str">
        <x:v>Yes</x:v>
      </x:c>
      <x:c r="AX6" s="43" t="str">
        <x:v>Negative</x:v>
      </x:c>
      <x:c r="AY6" s="43" t="str">
        <x:v>Not specified</x:v>
      </x:c>
      <x:c r="AZ6" s="43" t="str">
        <x:v>30.02</x:v>
      </x:c>
      <x:c r="BA6" s="43" t="str">
        <x:v>6.41</x:v>
      </x:c>
      <x:c r="BB6" s="43" t="str">
        <x:v>10</x:v>
      </x:c>
      <x:c r="BC6" s="43" t="str">
        <x:v>2.03</x:v>
      </x:c>
      <x:c r="BD6" s="43" t="str"/>
      <x:c r="BE6" s="43" t="str">
        <x:v>30.78</x:v>
      </x:c>
      <x:c r="BF6" s="43" t="str">
        <x:v>4.33</x:v>
      </x:c>
      <x:c r="BG6" s="43" t="str">
        <x:v>10</x:v>
      </x:c>
      <x:c r="BH6" s="43" t="str">
        <x:v>1.37</x:v>
      </x:c>
      <x:c r="BI6" s="43" t="str"/>
      <x:c r="BJ6" s="43" t="str"/>
      <x:c r="BK6" s="43" t="str"/>
      <x:c r="BL6" s="43" t="str"/>
      <x:c r="BM6" s="43" t="str"/>
      <x:c r="BN6" s="43" t="str"/>
      <x:c r="BO6" s="43" t="str"/>
      <x:c r="BP6" s="43" t="str"/>
      <x:c r="BQ6" s="43" t="str"/>
      <x:c r="BR6" s="43" t="str">
        <x:v>yes</x:v>
      </x:c>
      <x:c r="BS6" s="43" t="str"/>
      <x:c r="BT6" s="43" t="str"/>
      <x:c r="BU6" s="43" t="str"/>
      <x:c r="BV6" s="43" t="str">
        <x:v>2.03</x:v>
      </x:c>
      <x:c r="BW6" s="43" t="str">
        <x:v>2.03</x:v>
      </x:c>
      <x:c r="BX6" s="43" t="str">
        <x:v>Digitised reported SEM; used unchanged for analysis</x:v>
      </x:c>
      <x:c r="BY6" s="43" t="str">
        <x:v>Metadigitise_figs/metaDigitise_output.csv and saved figure image</x:v>
      </x:c>
      <x:c r="BZ6" s="43" t="str">
        <x:v>1.37</x:v>
      </x:c>
      <x:c r="CA6" s="43" t="str">
        <x:v>1.37</x:v>
      </x:c>
      <x:c r="CB6" s="43" t="str">
        <x:v>Digitised reported SEM; used unchanged for analysis</x:v>
      </x:c>
      <x:c r="CC6" s="43" t="str">
        <x:v>Metadigitise_figs/metaDigitise_output.csv and saved figure image</x:v>
      </x:c>
      <x:c r="CD6" s="43" t="str">
        <x:v>Corrected transcription</x:v>
      </x:c>
      <x:c r="CE6" s="43" t="str">
        <x:v>4 – Barzegar 2014 title and SEM</x:v>
      </x:c>
      <x:c r="CF6" s="43" t="str">
        <x:v>Use the exact saved image filename for reproducibility.</x:v>
      </x:c>
    </x:row>
    <x:row r="7">
      <x:c r="A7" s="43" t="str">
        <x:v>7</x:v>
      </x:c>
      <x:c r="B7" s="43" t="str">
        <x:v>barzegar_2014_hippo</x:v>
      </x:c>
      <x:c r="C7" s="43" t="str">
        <x:v>ex003</x:v>
      </x:c>
      <x:c r="D7" s="43" t="str">
        <x:v>con002</x:v>
      </x:c>
      <x:c r="E7" s="43" t="str">
        <x:v>out004</x:v>
      </x:c>
      <x:c r="F7" s="43" t="str">
        <x:v>es006</x:v>
      </x:c>
      <x:c r="G7" s="43" t="str">
        <x:v>Yes</x:v>
      </x:c>
      <x:c r="H7" s="43" t="str">
        <x:v>They tested 2 h daily exposure duration</x:v>
      </x:c>
      <x:c r="I7" s="43" t="str">
        <x:v>Prenatal Exposure to Noise Stress: Anxiety, Impaired Spatial Memory, and Deteriorated Hippocampal Plasticity in Postnatal Life</x:v>
      </x:c>
      <x:c r="J7" s="43" t="str">
        <x:v>10.1002/hipo.22363</x:v>
      </x:c>
      <x:c r="K7" s="43" t="str">
        <x:v>Hippocampus</x:v>
      </x:c>
      <x:c r="L7" s="43" t="str">
        <x:v>Only one assay for anxiety</x:v>
      </x:c>
      <x:c r="M7" s="43" t="str">
        <x:v>Rattus norvegicus</x:v>
      </x:c>
      <x:c r="N7" s="43" t="str">
        <x:v>brown rat</x:v>
      </x:c>
      <x:c r="O7" s="43" t="str">
        <x:v>Wistar rat</x:v>
      </x:c>
      <x:c r="P7" s="43" t="str"/>
      <x:c r="Q7" s="43" t="str">
        <x:v>not reported</x:v>
      </x:c>
      <x:c r="R7" s="43" t="str">
        <x:v>late</x:v>
      </x:c>
      <x:c r="S7" s="43" t="str">
        <x:v>at the third trimester</x:v>
      </x:c>
      <x:c r="T7" s="43" t="str">
        <x:v>7</x:v>
      </x:c>
      <x:c r="U7" s="43" t="str">
        <x:v>Intermitent</x:v>
      </x:c>
      <x:c r="V7" s="43" t="str">
        <x:v>2.0</x:v>
      </x:c>
      <x:c r="W7" s="43" t="str">
        <x:v>h</x:v>
      </x:c>
      <x:c r="X7" s="43" t="str">
        <x:v>White noise</x:v>
      </x:c>
      <x:c r="Y7" s="43" t="str">
        <x:v>Audible</x:v>
      </x:c>
      <x:c r="Z7" s="43" t="str">
        <x:v>95</x:v>
      </x:c>
      <x:c r="AA7" s="43" t="str"/>
      <x:c r="AB7" s="43" t="str">
        <x:v>Unclear</x:v>
      </x:c>
      <x:c r="AC7" s="43" t="str"/>
      <x:c r="AD7" s="43" t="str">
        <x:v>Control pregnant animals was kept in the noise chamber for the same period of time without noise exposure</x:v>
      </x:c>
      <x:c r="AE7" s="43" t="str">
        <x:v>male</x:v>
      </x:c>
      <x:c r="AF7" s="43" t="str">
        <x:v>46</x:v>
      </x:c>
      <x:c r="AG7" s="43" t="str">
        <x:v>42-50 daysof age </x:v>
      </x:c>
      <x:c r="AH7" s="43" t="str">
        <x:v>none</x:v>
      </x:c>
      <x:c r="AI7" s="43" t="str"/>
      <x:c r="AJ7" s="43" t="str">
        <x:v>Anxiety</x:v>
      </x:c>
      <x:c r="AK7" s="43" t="str">
        <x:v>Elevated Plus Maze (EPM)</x:v>
      </x:c>
      <x:c r="AL7" s="43" t="str">
        <x:v>Evaluated spatial anxiety in rats </x:v>
      </x:c>
      <x:c r="AM7" s="43" t="str">
        <x:v>Entries into open arms (OAE)</x:v>
      </x:c>
      <x:c r="AN7" s="43" t="str">
        <x:v>Percentage</x:v>
      </x:c>
      <x:c r="AO7" s="43" t="str">
        <x:v>%</x:v>
      </x:c>
      <x:c r="AP7" s="43" t="str">
        <x:v>Not reported</x:v>
      </x:c>
      <x:c r="AQ7" s="43" t="str">
        <x:v>Figure 2A</x:v>
      </x:c>
      <x:c r="AR7" s="43" t="str">
        <x:v>barzegar_2014_figure2a.png</x:v>
      </x:c>
      <x:c r="AS7" s="43" t="str">
        <x:v>CON_oae</x:v>
      </x:c>
      <x:c r="AT7" s="43" t="str">
        <x:v>N2_oae</x:v>
      </x:c>
      <x:c r="AU7" s="43" t="str">
        <x:v>con_n2_oae</x:v>
      </x:c>
      <x:c r="AV7" s="43" t="str">
        <x:v>Independent</x:v>
      </x:c>
      <x:c r="AW7" s="43" t="str">
        <x:v>Yes</x:v>
      </x:c>
      <x:c r="AX7" s="43" t="str">
        <x:v>Negative</x:v>
      </x:c>
      <x:c r="AY7" s="43" t="str">
        <x:v>Not specified</x:v>
      </x:c>
      <x:c r="AZ7" s="43" t="str">
        <x:v>32.07</x:v>
      </x:c>
      <x:c r="BA7" s="43" t="str">
        <x:v>10.96</x:v>
      </x:c>
      <x:c r="BB7" s="43" t="str">
        <x:v>10</x:v>
      </x:c>
      <x:c r="BC7" s="43" t="str">
        <x:v>3.47</x:v>
      </x:c>
      <x:c r="BD7" s="43" t="str"/>
      <x:c r="BE7" s="43" t="str">
        <x:v>14.27</x:v>
      </x:c>
      <x:c r="BF7" s="43" t="str">
        <x:v>8.43</x:v>
      </x:c>
      <x:c r="BG7" s="43" t="str">
        <x:v>10</x:v>
      </x:c>
      <x:c r="BH7" s="43" t="str">
        <x:v>8.43</x:v>
      </x:c>
      <x:c r="BI7" s="43" t="str"/>
      <x:c r="BJ7" s="43" t="str"/>
      <x:c r="BK7" s="43" t="str"/>
      <x:c r="BL7" s="43" t="str"/>
      <x:c r="BM7" s="43" t="str"/>
      <x:c r="BN7" s="43" t="str"/>
      <x:c r="BO7" s="43" t="str"/>
      <x:c r="BP7" s="43" t="str"/>
      <x:c r="BQ7" s="43" t="str"/>
      <x:c r="BR7" s="43" t="str">
        <x:v>yes</x:v>
      </x:c>
      <x:c r="BS7" s="43" t="str"/>
      <x:c r="BT7" s="43" t="str"/>
      <x:c r="BU7" s="43" t="str"/>
      <x:c r="BV7" s="43" t="str">
        <x:v>3.47</x:v>
      </x:c>
      <x:c r="BW7" s="43" t="str">
        <x:v>3.47</x:v>
      </x:c>
      <x:c r="BX7" s="43" t="str">
        <x:v>Digitised reported SEM; used unchanged for analysis</x:v>
      </x:c>
      <x:c r="BY7" s="43" t="str">
        <x:v>Metadigitise_figs/metaDigitise_output.csv and saved figure image</x:v>
      </x:c>
      <x:c r="BZ7" s="43" t="str">
        <x:v>2.666667</x:v>
      </x:c>
      <x:c r="CA7" s="43" t="str">
        <x:v>2.666667</x:v>
      </x:c>
      <x:c r="CB7" s="43" t="str">
        <x:v>Digitised reported SEM; used unchanged for analysis</x:v>
      </x:c>
      <x:c r="CC7" s="43" t="str">
        <x:v>Metadigitise_figs/metaDigitise_output.csv and saved figure image</x:v>
      </x:c>
      <x:c r="CD7" s="43" t="str">
        <x:v>Corrected transcription</x:v>
      </x:c>
      <x:c r="CE7" s="43" t="str">
        <x:v>4 – Barzegar 2014 title and SEM</x:v>
      </x:c>
      <x:c r="CF7" s="43" t="str">
        <x:v>Use the exact saved image filename for reproducibility. | Correct the N2 experimental SEM transcription while retaining the source-reported figure value separately.</x:v>
      </x:c>
    </x:row>
    <x:row r="8">
      <x:c r="A8" s="43" t="str">
        <x:v>8</x:v>
      </x:c>
      <x:c r="B8" s="43" t="str">
        <x:v>barzegar_2014_hippo</x:v>
      </x:c>
      <x:c r="C8" s="43" t="str">
        <x:v>ex003</x:v>
      </x:c>
      <x:c r="D8" s="43" t="str">
        <x:v>con002</x:v>
      </x:c>
      <x:c r="E8" s="43" t="str">
        <x:v>out005</x:v>
      </x:c>
      <x:c r="F8" s="43" t="str">
        <x:v>es007</x:v>
      </x:c>
      <x:c r="G8" s="43" t="str">
        <x:v>Yes</x:v>
      </x:c>
      <x:c r="H8" s="43" t="str">
        <x:v>They tested 2 h daily exposure duration</x:v>
      </x:c>
      <x:c r="I8" s="43" t="str">
        <x:v>Prenatal Exposure to Noise Stress: Anxiety, Impaired Spatial Memory, and Deteriorated Hippocampal Plasticity in Postnatal Life</x:v>
      </x:c>
      <x:c r="J8" s="43" t="str">
        <x:v>10.1002/hipo.22363</x:v>
      </x:c>
      <x:c r="K8" s="43" t="str">
        <x:v>Hippocampus</x:v>
      </x:c>
      <x:c r="L8" s="43" t="str">
        <x:v>Only one assay for anxiety</x:v>
      </x:c>
      <x:c r="M8" s="43" t="str">
        <x:v>Rattus norvegicus</x:v>
      </x:c>
      <x:c r="N8" s="43" t="str">
        <x:v>brown rat</x:v>
      </x:c>
      <x:c r="O8" s="43" t="str">
        <x:v>Wistar rat</x:v>
      </x:c>
      <x:c r="P8" s="43" t="str"/>
      <x:c r="Q8" s="43" t="str">
        <x:v>not reported</x:v>
      </x:c>
      <x:c r="R8" s="43" t="str">
        <x:v>late</x:v>
      </x:c>
      <x:c r="S8" s="43" t="str">
        <x:v>at the third trimester</x:v>
      </x:c>
      <x:c r="T8" s="43" t="str">
        <x:v>7</x:v>
      </x:c>
      <x:c r="U8" s="43" t="str">
        <x:v>Intermitent</x:v>
      </x:c>
      <x:c r="V8" s="43" t="str">
        <x:v>2.0</x:v>
      </x:c>
      <x:c r="W8" s="43" t="str">
        <x:v>h</x:v>
      </x:c>
      <x:c r="X8" s="43" t="str">
        <x:v>White noise</x:v>
      </x:c>
      <x:c r="Y8" s="43" t="str">
        <x:v>Audible</x:v>
      </x:c>
      <x:c r="Z8" s="43" t="str">
        <x:v>95</x:v>
      </x:c>
      <x:c r="AA8" s="43" t="str"/>
      <x:c r="AB8" s="43" t="str">
        <x:v>Unclear</x:v>
      </x:c>
      <x:c r="AC8" s="43" t="str"/>
      <x:c r="AD8" s="43" t="str">
        <x:v>Control pregnant animals was kept in the noise chamber for the same period of time without noise exposure</x:v>
      </x:c>
      <x:c r="AE8" s="43" t="str">
        <x:v>male</x:v>
      </x:c>
      <x:c r="AF8" s="43" t="str">
        <x:v>46</x:v>
      </x:c>
      <x:c r="AG8" s="43" t="str">
        <x:v>42-50 daysof age </x:v>
      </x:c>
      <x:c r="AH8" s="43" t="str">
        <x:v>none</x:v>
      </x:c>
      <x:c r="AI8" s="43" t="str"/>
      <x:c r="AJ8" s="43" t="str">
        <x:v>Anxiety</x:v>
      </x:c>
      <x:c r="AK8" s="43" t="str">
        <x:v>Elevated Plus Maze (EPM)</x:v>
      </x:c>
      <x:c r="AL8" s="43" t="str">
        <x:v>Evaluated spatial anxiety in rats </x:v>
      </x:c>
      <x:c r="AM8" s="43" t="str">
        <x:v>Time in open arms (OAT)</x:v>
      </x:c>
      <x:c r="AN8" s="43" t="str">
        <x:v>Percentage</x:v>
      </x:c>
      <x:c r="AO8" s="43" t="str">
        <x:v>%</x:v>
      </x:c>
      <x:c r="AP8" s="43" t="str">
        <x:v>Not reported</x:v>
      </x:c>
      <x:c r="AQ8" s="43" t="str">
        <x:v>Figure 2B</x:v>
      </x:c>
      <x:c r="AR8" s="43" t="str">
        <x:v>barzegar_2014_figure2b.png</x:v>
      </x:c>
      <x:c r="AS8" s="43" t="str">
        <x:v>CON_oat</x:v>
      </x:c>
      <x:c r="AT8" s="43" t="str">
        <x:v>N2_oat</x:v>
      </x:c>
      <x:c r="AU8" s="43" t="str">
        <x:v>con_n2_oat</x:v>
      </x:c>
      <x:c r="AV8" s="43" t="str">
        <x:v>Independent</x:v>
      </x:c>
      <x:c r="AW8" s="43" t="str">
        <x:v>Yes</x:v>
      </x:c>
      <x:c r="AX8" s="43" t="str">
        <x:v>Negative</x:v>
      </x:c>
      <x:c r="AY8" s="43" t="str">
        <x:v>Not specified</x:v>
      </x:c>
      <x:c r="AZ8" s="43" t="str">
        <x:v>30.02</x:v>
      </x:c>
      <x:c r="BA8" s="43" t="str">
        <x:v>6.41</x:v>
      </x:c>
      <x:c r="BB8" s="43" t="str">
        <x:v>10</x:v>
      </x:c>
      <x:c r="BC8" s="43" t="str">
        <x:v>2.03</x:v>
      </x:c>
      <x:c r="BD8" s="43" t="str"/>
      <x:c r="BE8" s="43" t="str">
        <x:v>21.53</x:v>
      </x:c>
      <x:c r="BF8" s="43" t="str">
        <x:v>5.72</x:v>
      </x:c>
      <x:c r="BG8" s="43" t="str">
        <x:v>10</x:v>
      </x:c>
      <x:c r="BH8" s="43" t="str">
        <x:v>1.81</x:v>
      </x:c>
      <x:c r="BI8" s="43" t="str"/>
      <x:c r="BJ8" s="43" t="str"/>
      <x:c r="BK8" s="43" t="str"/>
      <x:c r="BL8" s="43" t="str"/>
      <x:c r="BM8" s="43" t="str"/>
      <x:c r="BN8" s="43" t="str"/>
      <x:c r="BO8" s="43" t="str"/>
      <x:c r="BP8" s="43" t="str"/>
      <x:c r="BQ8" s="43" t="str"/>
      <x:c r="BR8" s="43" t="str">
        <x:v>yes</x:v>
      </x:c>
      <x:c r="BS8" s="43" t="str"/>
      <x:c r="BT8" s="43" t="str"/>
      <x:c r="BU8" s="43" t="str"/>
      <x:c r="BV8" s="43" t="str">
        <x:v>2.03</x:v>
      </x:c>
      <x:c r="BW8" s="43" t="str">
        <x:v>2.03</x:v>
      </x:c>
      <x:c r="BX8" s="43" t="str">
        <x:v>Digitised reported SEM; used unchanged for analysis</x:v>
      </x:c>
      <x:c r="BY8" s="43" t="str">
        <x:v>Metadigitise_figs/metaDigitise_output.csv and saved figure image</x:v>
      </x:c>
      <x:c r="BZ8" s="43" t="str">
        <x:v>1.81</x:v>
      </x:c>
      <x:c r="CA8" s="43" t="str">
        <x:v>1.81</x:v>
      </x:c>
      <x:c r="CB8" s="43" t="str">
        <x:v>Digitised reported SEM; used unchanged for analysis</x:v>
      </x:c>
      <x:c r="CC8" s="43" t="str">
        <x:v>Metadigitise_figs/metaDigitise_output.csv and saved figure image</x:v>
      </x:c>
      <x:c r="CD8" s="43" t="str">
        <x:v>Corrected transcription</x:v>
      </x:c>
      <x:c r="CE8" s="43" t="str">
        <x:v>4 – Barzegar 2014 title and SEM</x:v>
      </x:c>
      <x:c r="CF8" s="43" t="str">
        <x:v>Use the exact saved image filename for reproducibility.</x:v>
      </x:c>
    </x:row>
    <x:row r="9">
      <x:c r="A9" s="43" t="str">
        <x:v>9</x:v>
      </x:c>
      <x:c r="B9" s="43" t="str">
        <x:v>barzegar_2014_hippo</x:v>
      </x:c>
      <x:c r="C9" s="43" t="str">
        <x:v>ex004</x:v>
      </x:c>
      <x:c r="D9" s="43" t="str">
        <x:v>con002</x:v>
      </x:c>
      <x:c r="E9" s="43" t="str">
        <x:v>out004</x:v>
      </x:c>
      <x:c r="F9" s="43" t="str">
        <x:v>es008</x:v>
      </x:c>
      <x:c r="G9" s="43" t="str">
        <x:v>Yes</x:v>
      </x:c>
      <x:c r="H9" s="43" t="str">
        <x:v>They tested 4 h daily exposure duration</x:v>
      </x:c>
      <x:c r="I9" s="43" t="str">
        <x:v>Prenatal Exposure to Noise Stress: Anxiety, Impaired Spatial Memory, and Deteriorated Hippocampal Plasticity in Postnatal Life</x:v>
      </x:c>
      <x:c r="J9" s="43" t="str">
        <x:v>10.1002/hipo.22363</x:v>
      </x:c>
      <x:c r="K9" s="43" t="str">
        <x:v>Hippocampus</x:v>
      </x:c>
      <x:c r="L9" s="43" t="str">
        <x:v>Only one assay for anxiety</x:v>
      </x:c>
      <x:c r="M9" s="43" t="str">
        <x:v>Rattus norvegicus</x:v>
      </x:c>
      <x:c r="N9" s="43" t="str">
        <x:v>brown rat</x:v>
      </x:c>
      <x:c r="O9" s="43" t="str">
        <x:v>Wistar rat</x:v>
      </x:c>
      <x:c r="P9" s="43" t="str"/>
      <x:c r="Q9" s="43" t="str">
        <x:v>not reported</x:v>
      </x:c>
      <x:c r="R9" s="43" t="str">
        <x:v>late</x:v>
      </x:c>
      <x:c r="S9" s="43" t="str">
        <x:v>at the third trimester</x:v>
      </x:c>
      <x:c r="T9" s="43" t="str">
        <x:v>7</x:v>
      </x:c>
      <x:c r="U9" s="43" t="str">
        <x:v>Intermitent</x:v>
      </x:c>
      <x:c r="V9" s="43" t="str">
        <x:v>4.0</x:v>
      </x:c>
      <x:c r="W9" s="43" t="str">
        <x:v>h</x:v>
      </x:c>
      <x:c r="X9" s="43" t="str">
        <x:v>White noise</x:v>
      </x:c>
      <x:c r="Y9" s="43" t="str">
        <x:v>Audible</x:v>
      </x:c>
      <x:c r="Z9" s="43" t="str">
        <x:v>95</x:v>
      </x:c>
      <x:c r="AA9" s="43" t="str"/>
      <x:c r="AB9" s="43" t="str">
        <x:v>Unclear</x:v>
      </x:c>
      <x:c r="AC9" s="43" t="str"/>
      <x:c r="AD9" s="43" t="str">
        <x:v>Control pregnant animals was kept in the noise chamber for the same period of time without noise exposure</x:v>
      </x:c>
      <x:c r="AE9" s="43" t="str">
        <x:v>male</x:v>
      </x:c>
      <x:c r="AF9" s="43" t="str">
        <x:v>46</x:v>
      </x:c>
      <x:c r="AG9" s="43" t="str">
        <x:v>42-50 daysof age </x:v>
      </x:c>
      <x:c r="AH9" s="43" t="str">
        <x:v>none</x:v>
      </x:c>
      <x:c r="AI9" s="43" t="str"/>
      <x:c r="AJ9" s="43" t="str">
        <x:v>Anxiety</x:v>
      </x:c>
      <x:c r="AK9" s="43" t="str">
        <x:v>Elevated Plus Maze (EPM)</x:v>
      </x:c>
      <x:c r="AL9" s="43" t="str">
        <x:v>Evaluated spatial anxiety in rats </x:v>
      </x:c>
      <x:c r="AM9" s="43" t="str">
        <x:v>Entries into open arms (OAE)</x:v>
      </x:c>
      <x:c r="AN9" s="43" t="str">
        <x:v>Percentage</x:v>
      </x:c>
      <x:c r="AO9" s="43" t="str">
        <x:v>%</x:v>
      </x:c>
      <x:c r="AP9" s="43" t="str">
        <x:v>Not reported</x:v>
      </x:c>
      <x:c r="AQ9" s="43" t="str">
        <x:v>Figure 2A</x:v>
      </x:c>
      <x:c r="AR9" s="43" t="str">
        <x:v>barzegar_2014_figure2a.png</x:v>
      </x:c>
      <x:c r="AS9" s="43" t="str">
        <x:v>CON_oae</x:v>
      </x:c>
      <x:c r="AT9" s="43" t="str">
        <x:v>N4_oae</x:v>
      </x:c>
      <x:c r="AU9" s="43" t="str">
        <x:v>con_n4_oae</x:v>
      </x:c>
      <x:c r="AV9" s="43" t="str">
        <x:v>Independent</x:v>
      </x:c>
      <x:c r="AW9" s="43" t="str">
        <x:v>Yes</x:v>
      </x:c>
      <x:c r="AX9" s="43" t="str">
        <x:v>Negative</x:v>
      </x:c>
      <x:c r="AY9" s="43" t="str">
        <x:v>Not specified</x:v>
      </x:c>
      <x:c r="AZ9" s="43" t="str">
        <x:v>32.07</x:v>
      </x:c>
      <x:c r="BA9" s="43" t="str">
        <x:v>10.96</x:v>
      </x:c>
      <x:c r="BB9" s="43" t="str">
        <x:v>10</x:v>
      </x:c>
      <x:c r="BC9" s="43" t="str">
        <x:v>3.47</x:v>
      </x:c>
      <x:c r="BD9" s="43" t="str"/>
      <x:c r="BE9" s="43" t="str">
        <x:v>15.33</x:v>
      </x:c>
      <x:c r="BF9" s="43" t="str">
        <x:v>8.85</x:v>
      </x:c>
      <x:c r="BG9" s="43" t="str">
        <x:v>10</x:v>
      </x:c>
      <x:c r="BH9" s="43" t="str">
        <x:v>2.8</x:v>
      </x:c>
      <x:c r="BI9" s="43" t="str"/>
      <x:c r="BJ9" s="43" t="str"/>
      <x:c r="BK9" s="43" t="str"/>
      <x:c r="BL9" s="43" t="str"/>
      <x:c r="BM9" s="43" t="str"/>
      <x:c r="BN9" s="43" t="str"/>
      <x:c r="BO9" s="43" t="str"/>
      <x:c r="BP9" s="43" t="str"/>
      <x:c r="BQ9" s="43" t="str"/>
      <x:c r="BR9" s="43" t="str">
        <x:v>yes</x:v>
      </x:c>
      <x:c r="BS9" s="43" t="str"/>
      <x:c r="BT9" s="43" t="str"/>
      <x:c r="BU9" s="43" t="str"/>
      <x:c r="BV9" s="43" t="str">
        <x:v>3.47</x:v>
      </x:c>
      <x:c r="BW9" s="43" t="str">
        <x:v>3.47</x:v>
      </x:c>
      <x:c r="BX9" s="43" t="str">
        <x:v>Digitised reported SEM; used unchanged for analysis</x:v>
      </x:c>
      <x:c r="BY9" s="43" t="str">
        <x:v>Metadigitise_figs/metaDigitise_output.csv and saved figure image</x:v>
      </x:c>
      <x:c r="BZ9" s="43" t="str">
        <x:v>2.8</x:v>
      </x:c>
      <x:c r="CA9" s="43" t="str">
        <x:v>2.8</x:v>
      </x:c>
      <x:c r="CB9" s="43" t="str">
        <x:v>Digitised reported SEM; used unchanged for analysis</x:v>
      </x:c>
      <x:c r="CC9" s="43" t="str">
        <x:v>Metadigitise_figs/metaDigitise_output.csv and saved figure image</x:v>
      </x:c>
      <x:c r="CD9" s="43" t="str">
        <x:v>Corrected transcription</x:v>
      </x:c>
      <x:c r="CE9" s="43" t="str">
        <x:v>4 – Barzegar 2014 title and SEM</x:v>
      </x:c>
      <x:c r="CF9" s="43" t="str">
        <x:v>Use the exact saved image filename for reproducibility.</x:v>
      </x:c>
    </x:row>
    <x:row r="10">
      <x:c r="A10" s="43" t="str">
        <x:v>10</x:v>
      </x:c>
      <x:c r="B10" s="43" t="str">
        <x:v>barzegar_2014_hippo</x:v>
      </x:c>
      <x:c r="C10" s="43" t="str">
        <x:v>ex004</x:v>
      </x:c>
      <x:c r="D10" s="43" t="str">
        <x:v>con002</x:v>
      </x:c>
      <x:c r="E10" s="43" t="str">
        <x:v>out005</x:v>
      </x:c>
      <x:c r="F10" s="43" t="str">
        <x:v>es009</x:v>
      </x:c>
      <x:c r="G10" s="43" t="str">
        <x:v>Yes</x:v>
      </x:c>
      <x:c r="H10" s="43" t="str">
        <x:v>They tested 4 h daily exposure duration</x:v>
      </x:c>
      <x:c r="I10" s="43" t="str">
        <x:v>Prenatal Exposure to Noise Stress: Anxiety, Impaired Spatial Memory, and Deteriorated Hippocampal Plasticity in Postnatal Life</x:v>
      </x:c>
      <x:c r="J10" s="43" t="str">
        <x:v>10.1002/hipo.22363</x:v>
      </x:c>
      <x:c r="K10" s="43" t="str">
        <x:v>Hippocampus</x:v>
      </x:c>
      <x:c r="L10" s="43" t="str">
        <x:v>Only one assay for anxiety</x:v>
      </x:c>
      <x:c r="M10" s="43" t="str">
        <x:v>Rattus norvegicus</x:v>
      </x:c>
      <x:c r="N10" s="43" t="str">
        <x:v>brown rat</x:v>
      </x:c>
      <x:c r="O10" s="43" t="str">
        <x:v>Wistar rat</x:v>
      </x:c>
      <x:c r="P10" s="43" t="str"/>
      <x:c r="Q10" s="43" t="str">
        <x:v>not reported</x:v>
      </x:c>
      <x:c r="R10" s="43" t="str">
        <x:v>late</x:v>
      </x:c>
      <x:c r="S10" s="43" t="str">
        <x:v>at the third trimester</x:v>
      </x:c>
      <x:c r="T10" s="43" t="str">
        <x:v>7</x:v>
      </x:c>
      <x:c r="U10" s="43" t="str">
        <x:v>Intermitent</x:v>
      </x:c>
      <x:c r="V10" s="43" t="str">
        <x:v>4.0</x:v>
      </x:c>
      <x:c r="W10" s="43" t="str">
        <x:v>h</x:v>
      </x:c>
      <x:c r="X10" s="43" t="str">
        <x:v>White noise</x:v>
      </x:c>
      <x:c r="Y10" s="43" t="str">
        <x:v>Audible</x:v>
      </x:c>
      <x:c r="Z10" s="43" t="str">
        <x:v>95</x:v>
      </x:c>
      <x:c r="AA10" s="43" t="str"/>
      <x:c r="AB10" s="43" t="str">
        <x:v>Unclear</x:v>
      </x:c>
      <x:c r="AC10" s="43" t="str"/>
      <x:c r="AD10" s="43" t="str">
        <x:v>Control pregnant animals was kept in the noise chamber for the same period of time without noise exposure</x:v>
      </x:c>
      <x:c r="AE10" s="43" t="str">
        <x:v>male</x:v>
      </x:c>
      <x:c r="AF10" s="43" t="str">
        <x:v>46</x:v>
      </x:c>
      <x:c r="AG10" s="43" t="str">
        <x:v>42-50 daysof age </x:v>
      </x:c>
      <x:c r="AH10" s="43" t="str">
        <x:v>none</x:v>
      </x:c>
      <x:c r="AI10" s="43" t="str"/>
      <x:c r="AJ10" s="43" t="str">
        <x:v>Anxiety</x:v>
      </x:c>
      <x:c r="AK10" s="43" t="str">
        <x:v>Elevated Plus Maze (EPM)</x:v>
      </x:c>
      <x:c r="AL10" s="43" t="str">
        <x:v>Evaluated spatial anxiety in rats </x:v>
      </x:c>
      <x:c r="AM10" s="43" t="str">
        <x:v>Time in open arms (OAT)</x:v>
      </x:c>
      <x:c r="AN10" s="43" t="str">
        <x:v>Percentage</x:v>
      </x:c>
      <x:c r="AO10" s="43" t="str">
        <x:v>%</x:v>
      </x:c>
      <x:c r="AP10" s="43" t="str">
        <x:v>Not reported</x:v>
      </x:c>
      <x:c r="AQ10" s="43" t="str">
        <x:v>Figure 2B</x:v>
      </x:c>
      <x:c r="AR10" s="43" t="str">
        <x:v>barzegar_2014_figure2b.png</x:v>
      </x:c>
      <x:c r="AS10" s="43" t="str">
        <x:v>CON_oat</x:v>
      </x:c>
      <x:c r="AT10" s="43" t="str">
        <x:v>N4_oat</x:v>
      </x:c>
      <x:c r="AU10" s="43" t="str">
        <x:v>con_n4_oat</x:v>
      </x:c>
      <x:c r="AV10" s="43" t="str">
        <x:v>Independent</x:v>
      </x:c>
      <x:c r="AW10" s="43" t="str">
        <x:v>Yes</x:v>
      </x:c>
      <x:c r="AX10" s="43" t="str">
        <x:v>Negative</x:v>
      </x:c>
      <x:c r="AY10" s="43" t="str">
        <x:v>Not specified</x:v>
      </x:c>
      <x:c r="AZ10" s="43" t="str">
        <x:v>30.02</x:v>
      </x:c>
      <x:c r="BA10" s="43" t="str">
        <x:v>6.41</x:v>
      </x:c>
      <x:c r="BB10" s="43" t="str">
        <x:v>10</x:v>
      </x:c>
      <x:c r="BC10" s="43" t="str">
        <x:v>2.03</x:v>
      </x:c>
      <x:c r="BD10" s="43" t="str"/>
      <x:c r="BE10" s="43" t="str">
        <x:v>16.92</x:v>
      </x:c>
      <x:c r="BF10" s="43" t="str">
        <x:v>8.31</x:v>
      </x:c>
      <x:c r="BG10" s="43" t="str">
        <x:v>10</x:v>
      </x:c>
      <x:c r="BH10" s="43" t="str">
        <x:v>2.63</x:v>
      </x:c>
      <x:c r="BI10" s="43" t="str"/>
      <x:c r="BJ10" s="43" t="str"/>
      <x:c r="BK10" s="43" t="str"/>
      <x:c r="BL10" s="43" t="str"/>
      <x:c r="BM10" s="43" t="str"/>
      <x:c r="BN10" s="43" t="str"/>
      <x:c r="BO10" s="43" t="str"/>
      <x:c r="BP10" s="43" t="str"/>
      <x:c r="BQ10" s="43" t="str"/>
      <x:c r="BR10" s="43" t="str">
        <x:v>yes</x:v>
      </x:c>
      <x:c r="BS10" s="43" t="str"/>
      <x:c r="BT10" s="43" t="str"/>
      <x:c r="BU10" s="43" t="str"/>
      <x:c r="BV10" s="43" t="str">
        <x:v>2.03</x:v>
      </x:c>
      <x:c r="BW10" s="43" t="str">
        <x:v>2.03</x:v>
      </x:c>
      <x:c r="BX10" s="43" t="str">
        <x:v>Digitised reported SEM; used unchanged for analysis</x:v>
      </x:c>
      <x:c r="BY10" s="43" t="str">
        <x:v>Metadigitise_figs/metaDigitise_output.csv and saved figure image</x:v>
      </x:c>
      <x:c r="BZ10" s="43" t="str">
        <x:v>2.63</x:v>
      </x:c>
      <x:c r="CA10" s="43" t="str">
        <x:v>2.63</x:v>
      </x:c>
      <x:c r="CB10" s="43" t="str">
        <x:v>Digitised reported SEM; used unchanged for analysis</x:v>
      </x:c>
      <x:c r="CC10" s="43" t="str">
        <x:v>Metadigitise_figs/metaDigitise_output.csv and saved figure image</x:v>
      </x:c>
      <x:c r="CD10" s="43" t="str">
        <x:v>Corrected transcription</x:v>
      </x:c>
      <x:c r="CE10" s="43" t="str">
        <x:v>4 – Barzegar 2014 title and SEM</x:v>
      </x:c>
      <x:c r="CF10" s="43" t="str">
        <x:v>Use the exact saved image filename for reproducibility.</x:v>
      </x:c>
    </x:row>
    <x:row r="11">
      <x:c r="A11" s="43" t="str">
        <x:v>11</x:v>
      </x:c>
      <x:c r="B11" s="43" t="str">
        <x:v>hassanvand_2012_phyphar</x:v>
      </x:c>
      <x:c r="C11" s="43" t="str">
        <x:v>ex005</x:v>
      </x:c>
      <x:c r="D11" s="43" t="str">
        <x:v>con003</x:v>
      </x:c>
      <x:c r="E11" s="43" t="str">
        <x:v>out006</x:v>
      </x:c>
      <x:c r="F11" s="43" t="str">
        <x:v>es010</x:v>
      </x:c>
      <x:c r="G11" s="43" t="str">
        <x:v>Yes</x:v>
      </x:c>
      <x:c r="H11" s="43" t="str">
        <x:v>Only one experiment</x:v>
      </x:c>
      <x:c r="I11" s="43" t="str">
        <x:v>Alterations in dopamine related behavior of the offspring of pregnant Wistar
rats exposed to noise pollution stress</x:v>
      </x:c>
      <x:c r="J11" s="43" t="str">
        <x:v>http://ppj.phypha.ir/article-1-805-en.html</x:v>
      </x:c>
      <x:c r="K11" s="43" t="str">
        <x:v>Physiology and Pharmacology</x:v>
      </x:c>
      <x:c r="L11" s="43" t="str">
        <x:v>Only one assay </x:v>
      </x:c>
      <x:c r="M11" s="43" t="str">
        <x:v>Rattus norvegicus</x:v>
      </x:c>
      <x:c r="N11" s="43" t="str">
        <x:v>brown rat</x:v>
      </x:c>
      <x:c r="O11" s="43" t="str">
        <x:v>Wistar rat</x:v>
      </x:c>
      <x:c r="P11" s="43" t="str"/>
      <x:c r="Q11" s="43" t="str">
        <x:v>not reported 200g</x:v>
      </x:c>
      <x:c r="R11" s="43" t="str">
        <x:v>early, mid</x:v>
      </x:c>
      <x:c r="S11" s="43" t="str">
        <x:v>day 1-14</x:v>
      </x:c>
      <x:c r="T11" s="43" t="str">
        <x:v>14</x:v>
      </x:c>
      <x:c r="U11" s="43" t="str">
        <x:v>Intermitent</x:v>
      </x:c>
      <x:c r="V11" s="43" t="str">
        <x:v>0.083</x:v>
      </x:c>
      <x:c r="W11" s="43" t="str">
        <x:v>15 min</x:v>
      </x:c>
      <x:c r="X11" s="43" t="str">
        <x:v>Traffic</x:v>
      </x:c>
      <x:c r="Y11" s="43" t="str">
        <x:v>Audible</x:v>
      </x:c>
      <x:c r="Z11" s="43" t="str">
        <x:v>125</x:v>
      </x:c>
      <x:c r="AA11" s="43" t="str"/>
      <x:c r="AB11" s="43" t="str">
        <x:v>Unclear</x:v>
      </x:c>
      <x:c r="AC11" s="43" t="str"/>
      <x:c r="AD11" s="43" t="str">
        <x:v>Environment without noise"محیط بی سر و صدا"</x:v>
      </x:c>
      <x:c r="AE11" s="43" t="str">
        <x:v>male</x:v>
      </x:c>
      <x:c r="AF11" s="43" t="str">
        <x:v>90</x:v>
      </x:c>
      <x:c r="AG11" s="43" t="str">
        <x:v>3 months</x:v>
      </x:c>
      <x:c r="AH11" s="43" t="str">
        <x:v>none</x:v>
      </x:c>
      <x:c r="AI11" s="43" t="str">
        <x:v>They used a car alarm </x:v>
      </x:c>
      <x:c r="AJ11" s="43" t="str">
        <x:v>Anxiety</x:v>
      </x:c>
      <x:c r="AK11" s="43" t="str">
        <x:v>Open Field Test (OFT)</x:v>
      </x:c>
      <x:c r="AL11" s="43" t="str">
        <x:v>Locomotor and exploratory behaviour</x:v>
      </x:c>
      <x:c r="AM11" s="43" t="str">
        <x:v>Sniffing</x:v>
      </x:c>
      <x:c r="AN11" s="43" t="str">
        <x:v>Count</x:v>
      </x:c>
      <x:c r="AO11" s="43" t="str">
        <x:v>Count</x:v>
      </x:c>
      <x:c r="AP11" s="43" t="str">
        <x:v>Not reported</x:v>
      </x:c>
      <x:c r="AQ11" s="43" t="str">
        <x:v>Figure 2</x:v>
      </x:c>
      <x:c r="AR11" s="43" t="str">
        <x:v>hassanvand_2012_phyphar_Figure2</x:v>
      </x:c>
      <x:c r="AS11" s="43" t="str">
        <x:v>Control_sniff</x:v>
      </x:c>
      <x:c r="AT11" s="43" t="str">
        <x:v>Expn_sniff</x:v>
      </x:c>
      <x:c r="AU11" s="43" t="str">
        <x:v>control_exp_sniff</x:v>
      </x:c>
      <x:c r="AV11" s="43" t="str">
        <x:v>Independent</x:v>
      </x:c>
      <x:c r="AW11" s="43" t="str">
        <x:v>Yes</x:v>
      </x:c>
      <x:c r="AX11" s="43" t="str">
        <x:v>Negative</x:v>
      </x:c>
      <x:c r="AY11" s="43" t="str">
        <x:v>Not specified</x:v>
      </x:c>
      <x:c r="AZ11" s="43" t="str">
        <x:v>41.568</x:v>
      </x:c>
      <x:c r="BA11" s="43" t="str">
        <x:v>2.7625</x:v>
      </x:c>
      <x:c r="BB11" s="43" t="str">
        <x:v>6</x:v>
      </x:c>
      <x:c r="BC11" s="43" t="str">
        <x:v>1.1278</x:v>
      </x:c>
      <x:c r="BD11" s="43" t="str"/>
      <x:c r="BE11" s="43" t="str">
        <x:v>35.5825</x:v>
      </x:c>
      <x:c r="BF11" s="43" t="str">
        <x:v>2.916</x:v>
      </x:c>
      <x:c r="BG11" s="43" t="str">
        <x:v>6</x:v>
      </x:c>
      <x:c r="BH11" s="43" t="str">
        <x:v>1.1904</x:v>
      </x:c>
      <x:c r="BI11" s="43" t="str"/>
      <x:c r="BJ11" s="43" t="str"/>
      <x:c r="BK11" s="43" t="str">
        <x:v>non-English language, ask native speaker</x:v>
      </x:c>
      <x:c r="BL11" s="43" t="str"/>
      <x:c r="BM11" s="43" t="str"/>
      <x:c r="BN11" s="43" t="str"/>
      <x:c r="BO11" s="43" t="str"/>
      <x:c r="BP11" s="43" t="str"/>
      <x:c r="BQ11" s="43" t="str"/>
      <x:c r="BR11" s="43" t="str">
        <x:v>yes - recheck!</x:v>
      </x:c>
      <x:c r="BS11" s="43" t="str">
        <x:v>whiskers in the plot extracted as SD values but more likely they are SE values</x:v>
      </x:c>
      <x:c r="BT11" s="43" t="str"/>
      <x:c r="BU11" s="43" t="str">
        <x:v>Done! re-extracted, I swapped the selection in meta-digitise</x:v>
      </x:c>
      <x:c r="BV11" s="43" t="str"/>
      <x:c r="BW11" s="43" t="str">
        <x:v>1.127786</x:v>
      </x:c>
      <x:c r="BX11" s="43" t="str">
        <x:v>SD / sqrt(n); derived for analysis from the extracted SD and sample size</x:v>
      </x:c>
      <x:c r="BY11" s="43" t="str">
        <x:v>hassanvand_2012_phyphar_Figure2; Figure 2</x:v>
      </x:c>
      <x:c r="BZ11" s="43" t="str"/>
      <x:c r="CA11" s="43" t="str">
        <x:v>1.190452</x:v>
      </x:c>
      <x:c r="CB11" s="43" t="str">
        <x:v>SD / sqrt(n); derived for analysis from the extracted SD and sample size</x:v>
      </x:c>
      <x:c r="CC11" s="43" t="str">
        <x:v>hassanvand_2012_phyphar_Figure2; Figure 2</x:v>
      </x:c>
      <x:c r="CD11" s="43" t="str">
        <x:v>Verified – no change</x:v>
      </x:c>
      <x:c r="CE11" s="43" t="str"/>
      <x:c r="CF11" s="43" t="str"/>
    </x:row>
    <x:row r="12">
      <x:c r="A12" s="43" t="str">
        <x:v>12</x:v>
      </x:c>
      <x:c r="B12" s="43" t="str">
        <x:v>hassanvand_2012_phyphar</x:v>
      </x:c>
      <x:c r="C12" s="43" t="str">
        <x:v>ex005</x:v>
      </x:c>
      <x:c r="D12" s="43" t="str">
        <x:v>con003</x:v>
      </x:c>
      <x:c r="E12" s="43" t="str">
        <x:v>out007</x:v>
      </x:c>
      <x:c r="F12" s="43" t="str">
        <x:v>es011</x:v>
      </x:c>
      <x:c r="G12" s="43" t="str">
        <x:v>Yes</x:v>
      </x:c>
      <x:c r="H12" s="43" t="str">
        <x:v>Only one experiment</x:v>
      </x:c>
      <x:c r="I12" s="43" t="str">
        <x:v>Alterations in dopamine related behavior of the offspring of pregnant Wistar
rats exposed to noise pollution stress</x:v>
      </x:c>
      <x:c r="J12" s="43" t="str">
        <x:v>http://ppj.phypha.ir/article-1-805-en.html</x:v>
      </x:c>
      <x:c r="K12" s="43" t="str">
        <x:v>Physiology and Pharmacology</x:v>
      </x:c>
      <x:c r="L12" s="43" t="str">
        <x:v>Only one assay </x:v>
      </x:c>
      <x:c r="M12" s="43" t="str">
        <x:v>Rattus norvegicus</x:v>
      </x:c>
      <x:c r="N12" s="43" t="str">
        <x:v>brown rat</x:v>
      </x:c>
      <x:c r="O12" s="43" t="str">
        <x:v>Wistar rat</x:v>
      </x:c>
      <x:c r="P12" s="43" t="str"/>
      <x:c r="Q12" s="43" t="str">
        <x:v>not reported 200g</x:v>
      </x:c>
      <x:c r="R12" s="43" t="str">
        <x:v>early, mid</x:v>
      </x:c>
      <x:c r="S12" s="43" t="str">
        <x:v>day 1-14</x:v>
      </x:c>
      <x:c r="T12" s="43" t="str">
        <x:v>14</x:v>
      </x:c>
      <x:c r="U12" s="43" t="str">
        <x:v>Intermitent</x:v>
      </x:c>
      <x:c r="V12" s="43" t="str">
        <x:v>0.083</x:v>
      </x:c>
      <x:c r="W12" s="43" t="str">
        <x:v>15 min</x:v>
      </x:c>
      <x:c r="X12" s="43" t="str">
        <x:v>Traffic</x:v>
      </x:c>
      <x:c r="Y12" s="43" t="str">
        <x:v>Audible</x:v>
      </x:c>
      <x:c r="Z12" s="43" t="str">
        <x:v>125</x:v>
      </x:c>
      <x:c r="AA12" s="43" t="str"/>
      <x:c r="AB12" s="43" t="str">
        <x:v>Unclear</x:v>
      </x:c>
      <x:c r="AC12" s="43" t="str"/>
      <x:c r="AD12" s="43" t="str">
        <x:v>Environment without noise"محیط بی سر و صدا"</x:v>
      </x:c>
      <x:c r="AE12" s="43" t="str">
        <x:v>male</x:v>
      </x:c>
      <x:c r="AF12" s="43" t="str">
        <x:v>90</x:v>
      </x:c>
      <x:c r="AG12" s="43" t="str">
        <x:v>3 months</x:v>
      </x:c>
      <x:c r="AH12" s="43" t="str">
        <x:v>none</x:v>
      </x:c>
      <x:c r="AI12" s="43" t="str">
        <x:v>They used a car alarm </x:v>
      </x:c>
      <x:c r="AJ12" s="43" t="str">
        <x:v>Anxiety</x:v>
      </x:c>
      <x:c r="AK12" s="43" t="str">
        <x:v>Open Field Test (OFT)</x:v>
      </x:c>
      <x:c r="AL12" s="43" t="str">
        <x:v>Locomotor and exploratory behaviour</x:v>
      </x:c>
      <x:c r="AM12" s="43" t="str">
        <x:v>Rearing frequency</x:v>
      </x:c>
      <x:c r="AN12" s="43" t="str">
        <x:v>Count</x:v>
      </x:c>
      <x:c r="AO12" s="43" t="str">
        <x:v>Count</x:v>
      </x:c>
      <x:c r="AP12" s="43" t="str">
        <x:v>Not reported</x:v>
      </x:c>
      <x:c r="AQ12" s="43" t="str">
        <x:v>Figure 2</x:v>
      </x:c>
      <x:c r="AR12" s="43" t="str">
        <x:v>hassanvand_2012_phyphar_Figure2</x:v>
      </x:c>
      <x:c r="AS12" s="43" t="str">
        <x:v>Control_rear</x:v>
      </x:c>
      <x:c r="AT12" s="43" t="str">
        <x:v>Exp_rear</x:v>
      </x:c>
      <x:c r="AU12" s="43" t="str">
        <x:v>control_exp_rear</x:v>
      </x:c>
      <x:c r="AV12" s="43" t="str">
        <x:v>Independent</x:v>
      </x:c>
      <x:c r="AW12" s="43" t="str">
        <x:v>Yes</x:v>
      </x:c>
      <x:c r="AX12" s="43" t="str">
        <x:v>Negative</x:v>
      </x:c>
      <x:c r="AY12" s="43" t="str">
        <x:v>Not specified</x:v>
      </x:c>
      <x:c r="AZ12" s="43" t="str">
        <x:v>13.943</x:v>
      </x:c>
      <x:c r="BA12" s="43" t="str">
        <x:v>1.8417</x:v>
      </x:c>
      <x:c r="BB12" s="43" t="str">
        <x:v>6</x:v>
      </x:c>
      <x:c r="BC12" s="43" t="str">
        <x:v>0.7519</x:v>
      </x:c>
      <x:c r="BD12" s="43" t="str"/>
      <x:c r="BE12" s="43" t="str">
        <x:v>20.6957</x:v>
      </x:c>
      <x:c r="BF12" s="43" t="str">
        <x:v>2.4556</x:v>
      </x:c>
      <x:c r="BG12" s="43" t="str">
        <x:v>6</x:v>
      </x:c>
      <x:c r="BH12" s="43" t="str">
        <x:v>1.0025</x:v>
      </x:c>
      <x:c r="BI12" s="43" t="str"/>
      <x:c r="BJ12" s="43" t="str"/>
      <x:c r="BK12" s="43" t="str">
        <x:v>non-English language, ask native speaker</x:v>
      </x:c>
      <x:c r="BL12" s="43" t="str"/>
      <x:c r="BM12" s="43" t="str"/>
      <x:c r="BN12" s="43" t="str"/>
      <x:c r="BO12" s="43" t="str"/>
      <x:c r="BP12" s="43" t="str"/>
      <x:c r="BQ12" s="43" t="str"/>
      <x:c r="BR12" s="43" t="str">
        <x:v>yes - recheck!</x:v>
      </x:c>
      <x:c r="BS12" s="43" t="str">
        <x:v>whiskers in the plot extracted as SD values but more likely they are SE values</x:v>
      </x:c>
      <x:c r="BT12" s="43" t="str"/>
      <x:c r="BU12" s="43" t="str">
        <x:v>Done! re-extracted, I swapped the selection in meta-digitise</x:v>
      </x:c>
      <x:c r="BV12" s="43" t="str"/>
      <x:c r="BW12" s="43" t="str">
        <x:v>0.751871</x:v>
      </x:c>
      <x:c r="BX12" s="43" t="str">
        <x:v>SD / sqrt(n); derived for analysis from the extracted SD and sample size</x:v>
      </x:c>
      <x:c r="BY12" s="43" t="str">
        <x:v>hassanvand_2012_phyphar_Figure2; Figure 2</x:v>
      </x:c>
      <x:c r="BZ12" s="43" t="str"/>
      <x:c r="CA12" s="43" t="str">
        <x:v>1.002495</x:v>
      </x:c>
      <x:c r="CB12" s="43" t="str">
        <x:v>SD / sqrt(n); derived for analysis from the extracted SD and sample size</x:v>
      </x:c>
      <x:c r="CC12" s="43" t="str">
        <x:v>hassanvand_2012_phyphar_Figure2; Figure 2</x:v>
      </x:c>
      <x:c r="CD12" s="43" t="str">
        <x:v>Verified – no change</x:v>
      </x:c>
      <x:c r="CE12" s="43" t="str"/>
      <x:c r="CF12" s="43" t="str"/>
    </x:row>
    <x:row r="13">
      <x:c r="A13" s="43" t="str">
        <x:v>13</x:v>
      </x:c>
      <x:c r="B13" s="43" t="str">
        <x:v>hassanvand_2012_phyphar</x:v>
      </x:c>
      <x:c r="C13" s="43" t="str">
        <x:v>ex005</x:v>
      </x:c>
      <x:c r="D13" s="43" t="str">
        <x:v>con003</x:v>
      </x:c>
      <x:c r="E13" s="43" t="str">
        <x:v>out008</x:v>
      </x:c>
      <x:c r="F13" s="43" t="str">
        <x:v>es012</x:v>
      </x:c>
      <x:c r="G13" s="43" t="str">
        <x:v>Yes</x:v>
      </x:c>
      <x:c r="H13" s="43" t="str">
        <x:v>Only one experiment</x:v>
      </x:c>
      <x:c r="I13" s="43" t="str">
        <x:v>Alterations in dopamine related behavior of the offspring of pregnant Wistar
rats exposed to noise pollution stress</x:v>
      </x:c>
      <x:c r="J13" s="43" t="str">
        <x:v>http://ppj.phypha.ir/article-1-805-en.html</x:v>
      </x:c>
      <x:c r="K13" s="43" t="str">
        <x:v>Physiology and Pharmacology</x:v>
      </x:c>
      <x:c r="L13" s="43" t="str">
        <x:v>Only one assay </x:v>
      </x:c>
      <x:c r="M13" s="43" t="str">
        <x:v>Rattus norvegicus</x:v>
      </x:c>
      <x:c r="N13" s="43" t="str">
        <x:v>brown rat</x:v>
      </x:c>
      <x:c r="O13" s="43" t="str">
        <x:v>Wistar rat</x:v>
      </x:c>
      <x:c r="P13" s="43" t="str"/>
      <x:c r="Q13" s="43" t="str">
        <x:v>not reported 200g</x:v>
      </x:c>
      <x:c r="R13" s="43" t="str">
        <x:v>early, mid</x:v>
      </x:c>
      <x:c r="S13" s="43" t="str">
        <x:v>day 1-14</x:v>
      </x:c>
      <x:c r="T13" s="43" t="str">
        <x:v>14</x:v>
      </x:c>
      <x:c r="U13" s="43" t="str">
        <x:v>Intermitent</x:v>
      </x:c>
      <x:c r="V13" s="43" t="str">
        <x:v>0.083</x:v>
      </x:c>
      <x:c r="W13" s="43" t="str">
        <x:v>15 min</x:v>
      </x:c>
      <x:c r="X13" s="43" t="str">
        <x:v>Traffic</x:v>
      </x:c>
      <x:c r="Y13" s="43" t="str">
        <x:v>Audible</x:v>
      </x:c>
      <x:c r="Z13" s="43" t="str">
        <x:v>125</x:v>
      </x:c>
      <x:c r="AA13" s="43" t="str"/>
      <x:c r="AB13" s="43" t="str">
        <x:v>Unclear</x:v>
      </x:c>
      <x:c r="AC13" s="43" t="str"/>
      <x:c r="AD13" s="43" t="str">
        <x:v>Environment without noise"محیط بی سر و صدا"</x:v>
      </x:c>
      <x:c r="AE13" s="43" t="str">
        <x:v>male</x:v>
      </x:c>
      <x:c r="AF13" s="43" t="str">
        <x:v>90</x:v>
      </x:c>
      <x:c r="AG13" s="43" t="str">
        <x:v>3 months</x:v>
      </x:c>
      <x:c r="AH13" s="43" t="str">
        <x:v>none</x:v>
      </x:c>
      <x:c r="AI13" s="43" t="str">
        <x:v>They used a car alarm </x:v>
      </x:c>
      <x:c r="AJ13" s="43" t="str">
        <x:v>Anxiety</x:v>
      </x:c>
      <x:c r="AK13" s="43" t="str">
        <x:v>Open Field Test (OFT)</x:v>
      </x:c>
      <x:c r="AL13" s="43" t="str">
        <x:v>Locomotor and exploratory behaviour</x:v>
      </x:c>
      <x:c r="AM13" s="43" t="str">
        <x:v>Sections crossed</x:v>
      </x:c>
      <x:c r="AN13" s="43" t="str">
        <x:v>Count</x:v>
      </x:c>
      <x:c r="AO13" s="43" t="str">
        <x:v>Count</x:v>
      </x:c>
      <x:c r="AP13" s="43" t="str">
        <x:v>Not reported</x:v>
      </x:c>
      <x:c r="AQ13" s="43" t="str">
        <x:v>Figure 2</x:v>
      </x:c>
      <x:c r="AR13" s="43" t="str">
        <x:v>hassanvand_2012_phyphar_Figure2</x:v>
      </x:c>
      <x:c r="AS13" s="43" t="str">
        <x:v>Control_loco</x:v>
      </x:c>
      <x:c r="AT13" s="43" t="str">
        <x:v>Exp_loco</x:v>
      </x:c>
      <x:c r="AU13" s="43" t="str">
        <x:v>control_exp_loco</x:v>
      </x:c>
      <x:c r="AV13" s="43" t="str">
        <x:v>Independent</x:v>
      </x:c>
      <x:c r="AW13" s="43" t="str">
        <x:v>Yes</x:v>
      </x:c>
      <x:c r="AX13" s="43" t="str">
        <x:v>Negative</x:v>
      </x:c>
      <x:c r="AY13" s="43" t="str">
        <x:v>Not specified</x:v>
      </x:c>
      <x:c r="AZ13" s="43" t="str">
        <x:v>24.686</x:v>
      </x:c>
      <x:c r="BA13" s="43" t="str">
        <x:v>4.4507</x:v>
      </x:c>
      <x:c r="BB13" s="43" t="str">
        <x:v>6</x:v>
      </x:c>
      <x:c r="BC13" s="43" t="str">
        <x:v>1.817</x:v>
      </x:c>
      <x:c r="BD13" s="43" t="str"/>
      <x:c r="BE13" s="43" t="str">
        <x:v>28.5228</x:v>
      </x:c>
      <x:c r="BF13" s="43" t="str">
        <x:v>2.609</x:v>
      </x:c>
      <x:c r="BG13" s="43" t="str">
        <x:v>6</x:v>
      </x:c>
      <x:c r="BH13" s="43" t="str">
        <x:v>1.0651</x:v>
      </x:c>
      <x:c r="BI13" s="43" t="str"/>
      <x:c r="BJ13" s="43" t="str"/>
      <x:c r="BK13" s="43" t="str">
        <x:v>non-English language, ask native speaker</x:v>
      </x:c>
      <x:c r="BL13" s="43" t="str"/>
      <x:c r="BM13" s="43" t="str"/>
      <x:c r="BN13" s="43" t="str"/>
      <x:c r="BO13" s="43" t="str"/>
      <x:c r="BP13" s="43" t="str"/>
      <x:c r="BQ13" s="43" t="str"/>
      <x:c r="BR13" s="43" t="str">
        <x:v>yes - recheck!</x:v>
      </x:c>
      <x:c r="BS13" s="43" t="str">
        <x:v>whiskers in the plot extracted as SD values but more likely they are SE values</x:v>
      </x:c>
      <x:c r="BT13" s="43" t="str"/>
      <x:c r="BU13" s="43" t="str">
        <x:v>Done! re-extracted, I swapped the selection in meta-digitise</x:v>
      </x:c>
      <x:c r="BV13" s="43" t="str"/>
      <x:c r="BW13" s="43" t="str">
        <x:v>1.816991</x:v>
      </x:c>
      <x:c r="BX13" s="43" t="str">
        <x:v>SD / sqrt(n); derived for analysis from the extracted SD and sample size</x:v>
      </x:c>
      <x:c r="BY13" s="43" t="str">
        <x:v>hassanvand_2012_phyphar_Figure2; Figure 2</x:v>
      </x:c>
      <x:c r="BZ13" s="43" t="str"/>
      <x:c r="CA13" s="43" t="str">
        <x:v>1.06512</x:v>
      </x:c>
      <x:c r="CB13" s="43" t="str">
        <x:v>SD / sqrt(n); derived for analysis from the extracted SD and sample size</x:v>
      </x:c>
      <x:c r="CC13" s="43" t="str">
        <x:v>hassanvand_2012_phyphar_Figure2; Figure 2</x:v>
      </x:c>
      <x:c r="CD13" s="43" t="str">
        <x:v>Verified – no change</x:v>
      </x:c>
      <x:c r="CE13" s="43" t="str"/>
      <x:c r="CF13" s="43" t="str"/>
    </x:row>
    <x:row r="14">
      <x:c r="A14" s="43" t="str">
        <x:v>14</x:v>
      </x:c>
      <x:c r="B14" s="43" t="str">
        <x:v>arjunan_2023_stress</x:v>
      </x:c>
      <x:c r="C14" s="43" t="str">
        <x:v>ex006</x:v>
      </x:c>
      <x:c r="D14" s="43" t="str">
        <x:v>con004</x:v>
      </x:c>
      <x:c r="E14" s="43" t="str">
        <x:v>out009</x:v>
      </x:c>
      <x:c r="F14" s="43" t="str">
        <x:v>es013</x:v>
      </x:c>
      <x:c r="G14" s="43" t="str">
        <x:v>Yes</x:v>
      </x:c>
      <x:c r="H14" s="43" t="str">
        <x:v>3 experimental groups: Early gestational, late gestational and full-term gestational</x:v>
      </x:c>
      <x:c r="I14" s="43" t="str">
        <x:v>Impacts of Maternal Noise Exposure on Risk of Stillbirth
and Oxidative Stress-Induced Neurobehavioral Changes
in Offspring</x:v>
      </x:c>
      <x:c r="J14" s="43" t="str">
        <x:v>10.3390/stresses3030037</x:v>
      </x:c>
      <x:c r="K14" s="43" t="str">
        <x:v>Stresses</x:v>
      </x:c>
      <x:c r="L14" s="43" t="str"/>
      <x:c r="M14" s="43" t="str">
        <x:v>Rattus norvegicus</x:v>
      </x:c>
      <x:c r="N14" s="43" t="str">
        <x:v>albino rat</x:v>
      </x:c>
      <x:c r="O14" s="43" t="str">
        <x:v>Wistar albino rat</x:v>
      </x:c>
      <x:c r="P14" s="43" t="str"/>
      <x:c r="Q14" s="43" t="str">
        <x:v>not reported 160-180g</x:v>
      </x:c>
      <x:c r="R14" s="43" t="str">
        <x:v>early, mid</x:v>
      </x:c>
      <x:c r="S14" s="43" t="str">
        <x:v>day 1-10</x:v>
      </x:c>
      <x:c r="T14" s="43" t="str">
        <x:v>10</x:v>
      </x:c>
      <x:c r="U14" s="43" t="str">
        <x:v>Intermitent</x:v>
      </x:c>
      <x:c r="V14" s="43" t="str">
        <x:v>4.0</x:v>
      </x:c>
      <x:c r="W14" s="43" t="str">
        <x:v>h</x:v>
      </x:c>
      <x:c r="X14" s="43" t="str">
        <x:v>White noise</x:v>
      </x:c>
      <x:c r="Y14" s="43" t="str">
        <x:v>Audible</x:v>
      </x:c>
      <x:c r="Z14" s="43" t="str">
        <x:v>100</x:v>
      </x:c>
      <x:c r="AA14" s="43" t="str">
        <x:v>0-20,000</x:v>
      </x:c>
      <x:c r="AB14" s="43" t="str">
        <x:v>Unclear</x:v>
      </x:c>
      <x:c r="AC14" s="43" t="str"/>
      <x:c r="AD14" s="43" t="str"/>
      <x:c r="AE14" s="43" t="str">
        <x:v>male</x:v>
      </x:c>
      <x:c r="AF14" s="43" t="str">
        <x:v>45</x:v>
      </x:c>
      <x:c r="AG14" s="43" t="str"/>
      <x:c r="AH14" s="43" t="str">
        <x:v>none</x:v>
      </x:c>
      <x:c r="AI14" s="43" t="str"/>
      <x:c r="AJ14" s="43" t="str">
        <x:v>Anxiety</x:v>
      </x:c>
      <x:c r="AK14" s="43" t="str">
        <x:v>Open Field Test (OFT)</x:v>
      </x:c>
      <x:c r="AL14" s="43" t="str">
        <x:v>locomotion and emotional status</x:v>
      </x:c>
      <x:c r="AM14" s="43" t="str">
        <x:v>Time in central square</x:v>
      </x:c>
      <x:c r="AN14" s="43" t="str">
        <x:v>Time</x:v>
      </x:c>
      <x:c r="AO14" s="43" t="str">
        <x:v>s</x:v>
      </x:c>
      <x:c r="AP14" s="43" t="str">
        <x:v>Not reported</x:v>
      </x:c>
      <x:c r="AQ14" s="43" t="str">
        <x:v>Figure 3B</x:v>
      </x:c>
      <x:c r="AR14" s="43" t="str">
        <x:v>arjunan_2023_stress_fig3B_cen</x:v>
      </x:c>
      <x:c r="AS14" s="43" t="str">
        <x:v>Con_cen</x:v>
      </x:c>
      <x:c r="AT14" s="43" t="str">
        <x:v>Egs_cen</x:v>
      </x:c>
      <x:c r="AU14" s="43" t="str">
        <x:v>con_egs_cen</x:v>
      </x:c>
      <x:c r="AV14" s="43" t="str">
        <x:v>Independent</x:v>
      </x:c>
      <x:c r="AW14" s="43" t="str">
        <x:v>Yes</x:v>
      </x:c>
      <x:c r="AX14" s="43" t="str">
        <x:v>Negative</x:v>
      </x:c>
      <x:c r="AY14" s="43" t="str">
        <x:v>reduced time spent in the central square indicated
the fear and anxiety-like behavior</x:v>
      </x:c>
      <x:c r="AZ14" s="43" t="str">
        <x:v>225.39</x:v>
      </x:c>
      <x:c r="BA14" s="43" t="str">
        <x:v>25.92</x:v>
      </x:c>
      <x:c r="BB14" s="43" t="str">
        <x:v>6</x:v>
      </x:c>
      <x:c r="BC14" s="43" t="str">
        <x:v>10.58</x:v>
      </x:c>
      <x:c r="BD14" s="43" t="str"/>
      <x:c r="BE14" s="43" t="str">
        <x:v>160.21</x:v>
      </x:c>
      <x:c r="BF14" s="43" t="str">
        <x:v>18.85</x:v>
      </x:c>
      <x:c r="BG14" s="43" t="str">
        <x:v>6</x:v>
      </x:c>
      <x:c r="BH14" s="43" t="str">
        <x:v>7.69</x:v>
      </x:c>
      <x:c r="BI14" s="43" t="str"/>
      <x:c r="BJ14" s="43" t="str"/>
      <x:c r="BK14" s="43" t="str"/>
      <x:c r="BL14" s="43" t="str"/>
      <x:c r="BM14" s="43" t="str"/>
      <x:c r="BN14" s="43" t="str"/>
      <x:c r="BO14" s="43" t="str"/>
      <x:c r="BP14" s="43" t="str"/>
      <x:c r="BQ14" s="43" t="str"/>
      <x:c r="BR14" s="43" t="str">
        <x:v>yes - recheck!</x:v>
      </x:c>
      <x:c r="BS14" s="43" t="str">
        <x:v>legend says "The data represent the mean ± SD", but the values look like SE</x:v>
      </x:c>
      <x:c r="BT14" s="43" t="str"/>
      <x:c r="BU14" s="43" t="str">
        <x:v>Done! re-extracted, I swapped the selection in meta-digitise</x:v>
      </x:c>
      <x:c r="BV14" s="43" t="str"/>
      <x:c r="BW14" s="43" t="str">
        <x:v>10.581796</x:v>
      </x:c>
      <x:c r="BX14" s="43" t="str">
        <x:v>SD / sqrt(n); derived for analysis from the extracted SD and sample size</x:v>
      </x:c>
      <x:c r="BY14" s="43" t="str">
        <x:v>arjunan_2023_stress_fig3B_cen; Figure 3B</x:v>
      </x:c>
      <x:c r="BZ14" s="43" t="str"/>
      <x:c r="CA14" s="43" t="str">
        <x:v>7.69548</x:v>
      </x:c>
      <x:c r="CB14" s="43" t="str">
        <x:v>SD / sqrt(n); derived for analysis from the extracted SD and sample size</x:v>
      </x:c>
      <x:c r="CC14" s="43" t="str">
        <x:v>arjunan_2023_stress_fig3B_cen; Figure 3B</x:v>
      </x:c>
      <x:c r="CD14" s="43" t="str">
        <x:v>Corrected transcription</x:v>
      </x:c>
      <x:c r="CE14" s="43" t="str">
        <x:v>3 – Arjunan 2023 acoustic exposure</x:v>
      </x:c>
      <x:c r="CF14" s="43" t="str">
        <x:v>The source describes a white-noise generator, not ultrasound. | The stated range is within the audible/broadband band used in this review. | The source states all frequencies from 0 to 20 kHz.</x:v>
      </x:c>
    </x:row>
    <x:row r="15">
      <x:c r="A15" s="43" t="str">
        <x:v>15</x:v>
      </x:c>
      <x:c r="B15" s="43" t="str">
        <x:v>arjunan_2023_stress</x:v>
      </x:c>
      <x:c r="C15" s="43" t="str">
        <x:v>ex006</x:v>
      </x:c>
      <x:c r="D15" s="43" t="str">
        <x:v>con004</x:v>
      </x:c>
      <x:c r="E15" s="43" t="str">
        <x:v>out010</x:v>
      </x:c>
      <x:c r="F15" s="43" t="str">
        <x:v>es014</x:v>
      </x:c>
      <x:c r="G15" s="43" t="str">
        <x:v>Yes</x:v>
      </x:c>
      <x:c r="H15" s="43" t="str">
        <x:v>3 experimental groups: Early gestational, late gestational and full-term gestational</x:v>
      </x:c>
      <x:c r="I15" s="43" t="str">
        <x:v>Impacts of Maternal Noise Exposure on Risk of Stillbirth
and Oxidative Stress-Induced Neurobehavioral Changes
in Offspring</x:v>
      </x:c>
      <x:c r="J15" s="43" t="str">
        <x:v>10.3390/stresses3030037</x:v>
      </x:c>
      <x:c r="K15" s="43" t="str">
        <x:v>Stresses</x:v>
      </x:c>
      <x:c r="L15" s="43" t="str"/>
      <x:c r="M15" s="43" t="str">
        <x:v>Rattus norvegicus</x:v>
      </x:c>
      <x:c r="N15" s="43" t="str">
        <x:v>albino rat</x:v>
      </x:c>
      <x:c r="O15" s="43" t="str">
        <x:v>Wistar albino rat</x:v>
      </x:c>
      <x:c r="P15" s="43" t="str"/>
      <x:c r="Q15" s="43" t="str">
        <x:v>not reported 160-180g</x:v>
      </x:c>
      <x:c r="R15" s="43" t="str">
        <x:v>early, mid</x:v>
      </x:c>
      <x:c r="S15" s="43" t="str">
        <x:v>day 1-10</x:v>
      </x:c>
      <x:c r="T15" s="43" t="str">
        <x:v>10</x:v>
      </x:c>
      <x:c r="U15" s="43" t="str">
        <x:v>Intermitent</x:v>
      </x:c>
      <x:c r="V15" s="43" t="str">
        <x:v>4.0</x:v>
      </x:c>
      <x:c r="W15" s="43" t="str">
        <x:v>h</x:v>
      </x:c>
      <x:c r="X15" s="43" t="str">
        <x:v>White noise</x:v>
      </x:c>
      <x:c r="Y15" s="43" t="str">
        <x:v>Audible</x:v>
      </x:c>
      <x:c r="Z15" s="43" t="str">
        <x:v>100</x:v>
      </x:c>
      <x:c r="AA15" s="43" t="str">
        <x:v>0-20,000</x:v>
      </x:c>
      <x:c r="AB15" s="43" t="str">
        <x:v>Unclear</x:v>
      </x:c>
      <x:c r="AC15" s="43" t="str"/>
      <x:c r="AD15" s="43" t="str"/>
      <x:c r="AE15" s="43" t="str">
        <x:v>male</x:v>
      </x:c>
      <x:c r="AF15" s="43" t="str">
        <x:v>45</x:v>
      </x:c>
      <x:c r="AG15" s="43" t="str"/>
      <x:c r="AH15" s="43" t="str">
        <x:v>none</x:v>
      </x:c>
      <x:c r="AI15" s="43" t="str"/>
      <x:c r="AJ15" s="43" t="str">
        <x:v>Anxiety</x:v>
      </x:c>
      <x:c r="AK15" s="43" t="str">
        <x:v>Open Field Test (OFT)</x:v>
      </x:c>
      <x:c r="AL15" s="43" t="str">
        <x:v>locomotion and emotional status</x:v>
      </x:c>
      <x:c r="AM15" s="43" t="str">
        <x:v>Time in peripheral square</x:v>
      </x:c>
      <x:c r="AN15" s="43" t="str">
        <x:v>Time</x:v>
      </x:c>
      <x:c r="AO15" s="43" t="str">
        <x:v>s</x:v>
      </x:c>
      <x:c r="AP15" s="43" t="str">
        <x:v>Not reported</x:v>
      </x:c>
      <x:c r="AQ15" s="43" t="str">
        <x:v>Figure 3B</x:v>
      </x:c>
      <x:c r="AR15" s="43" t="str">
        <x:v>arjunan_2023_stress_fig3B_peri.png</x:v>
      </x:c>
      <x:c r="AS15" s="43" t="str">
        <x:v>Con_per</x:v>
      </x:c>
      <x:c r="AT15" s="43" t="str">
        <x:v>Egs_per</x:v>
      </x:c>
      <x:c r="AU15" s="43" t="str">
        <x:v>con_egs_per</x:v>
      </x:c>
      <x:c r="AV15" s="43" t="str">
        <x:v>Independent</x:v>
      </x:c>
      <x:c r="AW15" s="43" t="str">
        <x:v>No</x:v>
      </x:c>
      <x:c r="AX15" s="43" t="str">
        <x:v>Positive</x:v>
      </x:c>
      <x:c r="AY15" s="43" t="str">
        <x:v>reduced time spent in the central square indicated
the fear and anxiety-like behavior</x:v>
      </x:c>
      <x:c r="AZ15" s="43" t="str">
        <x:v>71.74</x:v>
      </x:c>
      <x:c r="BA15" s="43" t="str">
        <x:v>28.21</x:v>
      </x:c>
      <x:c r="BB15" s="43" t="str">
        <x:v>6</x:v>
      </x:c>
      <x:c r="BC15" s="43" t="str">
        <x:v>11.52</x:v>
      </x:c>
      <x:c r="BD15" s="43" t="str"/>
      <x:c r="BE15" s="43" t="str">
        <x:v>132.86</x:v>
      </x:c>
      <x:c r="BF15" s="43" t="str">
        <x:v>19.48</x:v>
      </x:c>
      <x:c r="BG15" s="43" t="str">
        <x:v>6</x:v>
      </x:c>
      <x:c r="BH15" s="43" t="str">
        <x:v>7.95</x:v>
      </x:c>
      <x:c r="BI15" s="43" t="str"/>
      <x:c r="BJ15" s="43" t="str"/>
      <x:c r="BK15" s="43" t="str"/>
      <x:c r="BL15" s="43" t="str"/>
      <x:c r="BM15" s="43" t="str"/>
      <x:c r="BN15" s="43" t="str"/>
      <x:c r="BO15" s="43" t="str"/>
      <x:c r="BP15" s="43" t="str"/>
      <x:c r="BQ15" s="43" t="str"/>
      <x:c r="BR15" s="43" t="str">
        <x:v>yes - recheck!</x:v>
      </x:c>
      <x:c r="BS15" s="43" t="str">
        <x:v>legend says "The data represent the mean ± SD", but the values look like SE</x:v>
      </x:c>
      <x:c r="BT15" s="43" t="str"/>
      <x:c r="BU15" s="43" t="str">
        <x:v>Done! re-extracted, I swapped the selection in meta-digitise</x:v>
      </x:c>
      <x:c r="BV15" s="43" t="str"/>
      <x:c r="BW15" s="43" t="str">
        <x:v>11.516684</x:v>
      </x:c>
      <x:c r="BX15" s="43" t="str">
        <x:v>SD / sqrt(n); derived for analysis from the extracted SD and sample size</x:v>
      </x:c>
      <x:c r="BY15" s="43" t="str">
        <x:v>arjunan_2023_stress_fig3B_peri.png; Figure 3B</x:v>
      </x:c>
      <x:c r="BZ15" s="43" t="str"/>
      <x:c r="CA15" s="43" t="str">
        <x:v>7.952677</x:v>
      </x:c>
      <x:c r="CB15" s="43" t="str">
        <x:v>SD / sqrt(n); derived for analysis from the extracted SD and sample size</x:v>
      </x:c>
      <x:c r="CC15" s="43" t="str">
        <x:v>arjunan_2023_stress_fig3B_peri.png; Figure 3B</x:v>
      </x:c>
      <x:c r="CD15" s="43" t="str">
        <x:v>Corrected transcription</x:v>
      </x:c>
      <x:c r="CE15" s="43" t="str">
        <x:v>3 – Arjunan 2023 acoustic exposure</x:v>
      </x:c>
      <x:c r="CF15" s="43" t="str">
        <x:v>The source describes a white-noise generator, not ultrasound. | The stated range is within the audible/broadband band used in this review. | The source states all frequencies from 0 to 20 kHz. | Use the exact saved image filename for reproducibility.</x:v>
      </x:c>
    </x:row>
    <x:row r="16">
      <x:c r="A16" s="43" t="str">
        <x:v>16</x:v>
      </x:c>
      <x:c r="B16" s="43" t="str">
        <x:v>arjunan_2023_stress</x:v>
      </x:c>
      <x:c r="C16" s="43" t="str">
        <x:v>ex007</x:v>
      </x:c>
      <x:c r="D16" s="43" t="str">
        <x:v>con004</x:v>
      </x:c>
      <x:c r="E16" s="43" t="str">
        <x:v>out009</x:v>
      </x:c>
      <x:c r="F16" s="43" t="str">
        <x:v>es015</x:v>
      </x:c>
      <x:c r="G16" s="43" t="str">
        <x:v>Yes</x:v>
      </x:c>
      <x:c r="H16" s="43" t="str">
        <x:v>3 experimental groups: Early gestational, late gestational and full-term gestational</x:v>
      </x:c>
      <x:c r="I16" s="43" t="str">
        <x:v>Impacts of Maternal Noise Exposure on Risk of Stillbirth
and Oxidative Stress-Induced Neurobehavioral Changes
in Offspring</x:v>
      </x:c>
      <x:c r="J16" s="43" t="str">
        <x:v>10.3390/stresses3030037</x:v>
      </x:c>
      <x:c r="K16" s="43" t="str">
        <x:v>Stresses</x:v>
      </x:c>
      <x:c r="L16" s="43" t="str"/>
      <x:c r="M16" s="43" t="str">
        <x:v>Rattus norvegicus</x:v>
      </x:c>
      <x:c r="N16" s="43" t="str">
        <x:v>albino rat</x:v>
      </x:c>
      <x:c r="O16" s="43" t="str">
        <x:v>Wistar albino rat</x:v>
      </x:c>
      <x:c r="P16" s="43" t="str"/>
      <x:c r="Q16" s="43" t="str">
        <x:v>not reported 160-180g</x:v>
      </x:c>
      <x:c r="R16" s="43" t="str">
        <x:v>late</x:v>
      </x:c>
      <x:c r="S16" s="43" t="str">
        <x:v>day 11-21</x:v>
      </x:c>
      <x:c r="T16" s="43" t="str">
        <x:v>11</x:v>
      </x:c>
      <x:c r="U16" s="43" t="str">
        <x:v>Intermitent</x:v>
      </x:c>
      <x:c r="V16" s="43" t="str">
        <x:v>4.0</x:v>
      </x:c>
      <x:c r="W16" s="43" t="str">
        <x:v>h</x:v>
      </x:c>
      <x:c r="X16" s="43" t="str">
        <x:v>White noise</x:v>
      </x:c>
      <x:c r="Y16" s="43" t="str">
        <x:v>Audible</x:v>
      </x:c>
      <x:c r="Z16" s="43" t="str">
        <x:v>100</x:v>
      </x:c>
      <x:c r="AA16" s="43" t="str">
        <x:v>0-20,000</x:v>
      </x:c>
      <x:c r="AB16" s="43" t="str">
        <x:v>Unclear</x:v>
      </x:c>
      <x:c r="AC16" s="43" t="str"/>
      <x:c r="AD16" s="43" t="str"/>
      <x:c r="AE16" s="43" t="str">
        <x:v>male</x:v>
      </x:c>
      <x:c r="AF16" s="43" t="str">
        <x:v>45</x:v>
      </x:c>
      <x:c r="AG16" s="43" t="str"/>
      <x:c r="AH16" s="43" t="str">
        <x:v>none</x:v>
      </x:c>
      <x:c r="AI16" s="43" t="str"/>
      <x:c r="AJ16" s="43" t="str">
        <x:v>Anxiety</x:v>
      </x:c>
      <x:c r="AK16" s="43" t="str">
        <x:v>Open Field Test (OFT)</x:v>
      </x:c>
      <x:c r="AL16" s="43" t="str">
        <x:v>locomotion and emotional status</x:v>
      </x:c>
      <x:c r="AM16" s="43" t="str">
        <x:v>Time in central square</x:v>
      </x:c>
      <x:c r="AN16" s="43" t="str">
        <x:v>Time</x:v>
      </x:c>
      <x:c r="AO16" s="43" t="str">
        <x:v>s</x:v>
      </x:c>
      <x:c r="AP16" s="43" t="str">
        <x:v>Not reported</x:v>
      </x:c>
      <x:c r="AQ16" s="43" t="str">
        <x:v>Figure 3B</x:v>
      </x:c>
      <x:c r="AR16" s="43" t="str">
        <x:v>arjunan_2023_stress_fig3B_cen</x:v>
      </x:c>
      <x:c r="AS16" s="43" t="str">
        <x:v>Con_cen</x:v>
      </x:c>
      <x:c r="AT16" s="43" t="str">
        <x:v>Lgs_cen</x:v>
      </x:c>
      <x:c r="AU16" s="43" t="str">
        <x:v>con_lgs_cen</x:v>
      </x:c>
      <x:c r="AV16" s="43" t="str">
        <x:v>Independent</x:v>
      </x:c>
      <x:c r="AW16" s="43" t="str">
        <x:v>Yes</x:v>
      </x:c>
      <x:c r="AX16" s="43" t="str">
        <x:v>Negative</x:v>
      </x:c>
      <x:c r="AY16" s="43" t="str">
        <x:v>reduced time spent in the central square indicated
the fear and anxiety-like behavior</x:v>
      </x:c>
      <x:c r="AZ16" s="43" t="str">
        <x:v>225.39</x:v>
      </x:c>
      <x:c r="BA16" s="43" t="str">
        <x:v>25.92</x:v>
      </x:c>
      <x:c r="BB16" s="43" t="str">
        <x:v>6</x:v>
      </x:c>
      <x:c r="BC16" s="43" t="str">
        <x:v>10.58</x:v>
      </x:c>
      <x:c r="BD16" s="43" t="str"/>
      <x:c r="BE16" s="43" t="str">
        <x:v>124.08</x:v>
      </x:c>
      <x:c r="BF16" s="43" t="str">
        <x:v>11.78</x:v>
      </x:c>
      <x:c r="BG16" s="43" t="str">
        <x:v>6</x:v>
      </x:c>
      <x:c r="BH16" s="43" t="str">
        <x:v>4.81</x:v>
      </x:c>
      <x:c r="BI16" s="43" t="str"/>
      <x:c r="BJ16" s="43" t="str"/>
      <x:c r="BK16" s="43" t="str"/>
      <x:c r="BL16" s="43" t="str"/>
      <x:c r="BM16" s="43" t="str"/>
      <x:c r="BN16" s="43" t="str"/>
      <x:c r="BO16" s="43" t="str"/>
      <x:c r="BP16" s="43" t="str"/>
      <x:c r="BQ16" s="43" t="str"/>
      <x:c r="BR16" s="43" t="str">
        <x:v>yes - recheck!</x:v>
      </x:c>
      <x:c r="BS16" s="43" t="str">
        <x:v>legend says "The data represent the mean ± SD", but the values look like SE</x:v>
      </x:c>
      <x:c r="BT16" s="43" t="str"/>
      <x:c r="BU16" s="43" t="str">
        <x:v>Done! re-extracted, I swapped the selection in meta-digitise</x:v>
      </x:c>
      <x:c r="BV16" s="43" t="str"/>
      <x:c r="BW16" s="43" t="str">
        <x:v>10.581796</x:v>
      </x:c>
      <x:c r="BX16" s="43" t="str">
        <x:v>SD / sqrt(n); derived for analysis from the extracted SD and sample size</x:v>
      </x:c>
      <x:c r="BY16" s="43" t="str">
        <x:v>arjunan_2023_stress_fig3B_cen; Figure 3B</x:v>
      </x:c>
      <x:c r="BZ16" s="43" t="str"/>
      <x:c r="CA16" s="43" t="str">
        <x:v>4.809165</x:v>
      </x:c>
      <x:c r="CB16" s="43" t="str">
        <x:v>SD / sqrt(n); derived for analysis from the extracted SD and sample size</x:v>
      </x:c>
      <x:c r="CC16" s="43" t="str">
        <x:v>arjunan_2023_stress_fig3B_cen; Figure 3B</x:v>
      </x:c>
      <x:c r="CD16" s="43" t="str">
        <x:v>Corrected transcription</x:v>
      </x:c>
      <x:c r="CE16" s="43" t="str">
        <x:v>3 – Arjunan 2023 acoustic exposure</x:v>
      </x:c>
      <x:c r="CF16" s="43" t="str">
        <x:v>The source describes a white-noise generator, not ultrasound. | The stated range is within the audible/broadband band used in this review. | The source states all frequencies from 0 to 20 kHz.</x:v>
      </x:c>
    </x:row>
    <x:row r="17">
      <x:c r="A17" s="43" t="str">
        <x:v>17</x:v>
      </x:c>
      <x:c r="B17" s="43" t="str">
        <x:v>arjunan_2023_stress</x:v>
      </x:c>
      <x:c r="C17" s="43" t="str">
        <x:v>ex007</x:v>
      </x:c>
      <x:c r="D17" s="43" t="str">
        <x:v>con004</x:v>
      </x:c>
      <x:c r="E17" s="43" t="str">
        <x:v>out010</x:v>
      </x:c>
      <x:c r="F17" s="43" t="str">
        <x:v>es016</x:v>
      </x:c>
      <x:c r="G17" s="43" t="str">
        <x:v>Yes</x:v>
      </x:c>
      <x:c r="H17" s="43" t="str">
        <x:v>3 experimental groups: Early gestational, late gestational and full-term gestational</x:v>
      </x:c>
      <x:c r="I17" s="43" t="str">
        <x:v>Impacts of Maternal Noise Exposure on Risk of Stillbirth
and Oxidative Stress-Induced Neurobehavioral Changes
in Offspring</x:v>
      </x:c>
      <x:c r="J17" s="43" t="str">
        <x:v>10.3390/stresses3030037</x:v>
      </x:c>
      <x:c r="K17" s="43" t="str">
        <x:v>Stresses</x:v>
      </x:c>
      <x:c r="L17" s="43" t="str"/>
      <x:c r="M17" s="43" t="str">
        <x:v>Rattus norvegicus</x:v>
      </x:c>
      <x:c r="N17" s="43" t="str">
        <x:v>albino rat</x:v>
      </x:c>
      <x:c r="O17" s="43" t="str">
        <x:v>Wistar albino rat</x:v>
      </x:c>
      <x:c r="P17" s="43" t="str"/>
      <x:c r="Q17" s="43" t="str">
        <x:v>not reported 160-180g</x:v>
      </x:c>
      <x:c r="R17" s="43" t="str">
        <x:v>late</x:v>
      </x:c>
      <x:c r="S17" s="43" t="str">
        <x:v>day 11-21</x:v>
      </x:c>
      <x:c r="T17" s="43" t="str">
        <x:v>11</x:v>
      </x:c>
      <x:c r="U17" s="43" t="str">
        <x:v>Intermitent</x:v>
      </x:c>
      <x:c r="V17" s="43" t="str">
        <x:v>4.0</x:v>
      </x:c>
      <x:c r="W17" s="43" t="str">
        <x:v>h</x:v>
      </x:c>
      <x:c r="X17" s="43" t="str">
        <x:v>White noise</x:v>
      </x:c>
      <x:c r="Y17" s="43" t="str">
        <x:v>Audible</x:v>
      </x:c>
      <x:c r="Z17" s="43" t="str">
        <x:v>100</x:v>
      </x:c>
      <x:c r="AA17" s="43" t="str">
        <x:v>0-20,000</x:v>
      </x:c>
      <x:c r="AB17" s="43" t="str">
        <x:v>Unclear</x:v>
      </x:c>
      <x:c r="AC17" s="43" t="str"/>
      <x:c r="AD17" s="43" t="str"/>
      <x:c r="AE17" s="43" t="str">
        <x:v>male</x:v>
      </x:c>
      <x:c r="AF17" s="43" t="str">
        <x:v>45</x:v>
      </x:c>
      <x:c r="AG17" s="43" t="str"/>
      <x:c r="AH17" s="43" t="str">
        <x:v>none</x:v>
      </x:c>
      <x:c r="AI17" s="43" t="str"/>
      <x:c r="AJ17" s="43" t="str">
        <x:v>Anxiety</x:v>
      </x:c>
      <x:c r="AK17" s="43" t="str">
        <x:v>Open Field Test (OFT)</x:v>
      </x:c>
      <x:c r="AL17" s="43" t="str">
        <x:v>locomotion and emotional status</x:v>
      </x:c>
      <x:c r="AM17" s="43" t="str">
        <x:v>Time in peripheral square</x:v>
      </x:c>
      <x:c r="AN17" s="43" t="str">
        <x:v>Time</x:v>
      </x:c>
      <x:c r="AO17" s="43" t="str">
        <x:v>s</x:v>
      </x:c>
      <x:c r="AP17" s="43" t="str">
        <x:v>Not reported</x:v>
      </x:c>
      <x:c r="AQ17" s="43" t="str">
        <x:v>Figure 3B</x:v>
      </x:c>
      <x:c r="AR17" s="43" t="str">
        <x:v>arjunan_2023_stress_fig3B_peri.png</x:v>
      </x:c>
      <x:c r="AS17" s="43" t="str">
        <x:v>Con_per</x:v>
      </x:c>
      <x:c r="AT17" s="43" t="str">
        <x:v>Lgs_per</x:v>
      </x:c>
      <x:c r="AU17" s="43" t="str">
        <x:v>con_lgs_per</x:v>
      </x:c>
      <x:c r="AV17" s="43" t="str">
        <x:v>Independent</x:v>
      </x:c>
      <x:c r="AW17" s="43" t="str">
        <x:v>No</x:v>
      </x:c>
      <x:c r="AX17" s="43" t="str">
        <x:v>Positive</x:v>
      </x:c>
      <x:c r="AY17" s="43" t="str">
        <x:v>reduced time spent in the central square indicated
the fear and anxiety-like behavior</x:v>
      </x:c>
      <x:c r="AZ17" s="43" t="str">
        <x:v>71.74</x:v>
      </x:c>
      <x:c r="BA17" s="43" t="str">
        <x:v>28.21</x:v>
      </x:c>
      <x:c r="BB17" s="43" t="str">
        <x:v>6</x:v>
      </x:c>
      <x:c r="BC17" s="43" t="str">
        <x:v>11.52</x:v>
      </x:c>
      <x:c r="BD17" s="43" t="str"/>
      <x:c r="BE17" s="43" t="str">
        <x:v>170.48</x:v>
      </x:c>
      <x:c r="BF17" s="43" t="str">
        <x:v>10.75</x:v>
      </x:c>
      <x:c r="BG17" s="43" t="str">
        <x:v>6</x:v>
      </x:c>
      <x:c r="BH17" s="43" t="str">
        <x:v>4.39</x:v>
      </x:c>
      <x:c r="BI17" s="43" t="str"/>
      <x:c r="BJ17" s="43" t="str"/>
      <x:c r="BK17" s="43" t="str"/>
      <x:c r="BL17" s="43" t="str"/>
      <x:c r="BM17" s="43" t="str"/>
      <x:c r="BN17" s="43" t="str"/>
      <x:c r="BO17" s="43" t="str"/>
      <x:c r="BP17" s="43" t="str"/>
      <x:c r="BQ17" s="43" t="str"/>
      <x:c r="BR17" s="43" t="str">
        <x:v>yes - recheck!</x:v>
      </x:c>
      <x:c r="BS17" s="43" t="str">
        <x:v>legend says "The data represent the mean ± SD", but the values look like SE</x:v>
      </x:c>
      <x:c r="BT17" s="43" t="str"/>
      <x:c r="BU17" s="43" t="str">
        <x:v>Done! re-extracted, I swapped the selection in meta-digitise</x:v>
      </x:c>
      <x:c r="BV17" s="43" t="str"/>
      <x:c r="BW17" s="43" t="str">
        <x:v>11.516684</x:v>
      </x:c>
      <x:c r="BX17" s="43" t="str">
        <x:v>SD / sqrt(n); derived for analysis from the extracted SD and sample size</x:v>
      </x:c>
      <x:c r="BY17" s="43" t="str">
        <x:v>arjunan_2023_stress_fig3B_peri.png; Figure 3B</x:v>
      </x:c>
      <x:c r="BZ17" s="43" t="str"/>
      <x:c r="CA17" s="43" t="str">
        <x:v>4.388669</x:v>
      </x:c>
      <x:c r="CB17" s="43" t="str">
        <x:v>SD / sqrt(n); derived for analysis from the extracted SD and sample size</x:v>
      </x:c>
      <x:c r="CC17" s="43" t="str">
        <x:v>arjunan_2023_stress_fig3B_peri.png; Figure 3B</x:v>
      </x:c>
      <x:c r="CD17" s="43" t="str">
        <x:v>Corrected transcription</x:v>
      </x:c>
      <x:c r="CE17" s="43" t="str">
        <x:v>3 – Arjunan 2023 acoustic exposure</x:v>
      </x:c>
      <x:c r="CF17" s="43" t="str">
        <x:v>The source describes a white-noise generator, not ultrasound. | The stated range is within the audible/broadband band used in this review. | The source states all frequencies from 0 to 20 kHz. | Use the exact saved image filename for reproducibility.</x:v>
      </x:c>
    </x:row>
    <x:row r="18">
      <x:c r="A18" s="43" t="str">
        <x:v>18</x:v>
      </x:c>
      <x:c r="B18" s="43" t="str">
        <x:v>arjunan_2023_stress</x:v>
      </x:c>
      <x:c r="C18" s="43" t="str">
        <x:v>ex008</x:v>
      </x:c>
      <x:c r="D18" s="43" t="str">
        <x:v>con004</x:v>
      </x:c>
      <x:c r="E18" s="43" t="str">
        <x:v>out009</x:v>
      </x:c>
      <x:c r="F18" s="43" t="str">
        <x:v>es017</x:v>
      </x:c>
      <x:c r="G18" s="43" t="str">
        <x:v>Yes</x:v>
      </x:c>
      <x:c r="H18" s="43" t="str">
        <x:v>3 experimental groups: Early gestational, late gestational and full-term gestational</x:v>
      </x:c>
      <x:c r="I18" s="43" t="str">
        <x:v>Impacts of Maternal Noise Exposure on Risk of Stillbirth
and Oxidative Stress-Induced Neurobehavioral Changes
in Offspring</x:v>
      </x:c>
      <x:c r="J18" s="43" t="str">
        <x:v>10.3390/stresses3030037</x:v>
      </x:c>
      <x:c r="K18" s="43" t="str">
        <x:v>Stresses</x:v>
      </x:c>
      <x:c r="L18" s="43" t="str"/>
      <x:c r="M18" s="43" t="str">
        <x:v>Rattus norvegicus</x:v>
      </x:c>
      <x:c r="N18" s="43" t="str">
        <x:v>albino rat</x:v>
      </x:c>
      <x:c r="O18" s="43" t="str">
        <x:v>Wistar albino rat</x:v>
      </x:c>
      <x:c r="P18" s="43" t="str"/>
      <x:c r="Q18" s="43" t="str">
        <x:v>not reported 160-180g</x:v>
      </x:c>
      <x:c r="R18" s="43" t="str">
        <x:v>early, mid, late</x:v>
      </x:c>
      <x:c r="S18" s="43" t="str">
        <x:v>day 1-21</x:v>
      </x:c>
      <x:c r="T18" s="43" t="str">
        <x:v>21</x:v>
      </x:c>
      <x:c r="U18" s="43" t="str">
        <x:v>Intermitent</x:v>
      </x:c>
      <x:c r="V18" s="43" t="str">
        <x:v>4.0</x:v>
      </x:c>
      <x:c r="W18" s="43" t="str">
        <x:v>h</x:v>
      </x:c>
      <x:c r="X18" s="43" t="str">
        <x:v>White noise</x:v>
      </x:c>
      <x:c r="Y18" s="43" t="str">
        <x:v>Audible</x:v>
      </x:c>
      <x:c r="Z18" s="43" t="str">
        <x:v>100</x:v>
      </x:c>
      <x:c r="AA18" s="43" t="str">
        <x:v>0-20,000</x:v>
      </x:c>
      <x:c r="AB18" s="43" t="str">
        <x:v>Unclear</x:v>
      </x:c>
      <x:c r="AC18" s="43" t="str"/>
      <x:c r="AD18" s="43" t="str"/>
      <x:c r="AE18" s="43" t="str">
        <x:v>male</x:v>
      </x:c>
      <x:c r="AF18" s="43" t="str">
        <x:v>45</x:v>
      </x:c>
      <x:c r="AG18" s="43" t="str"/>
      <x:c r="AH18" s="43" t="str">
        <x:v>none</x:v>
      </x:c>
      <x:c r="AI18" s="43" t="str"/>
      <x:c r="AJ18" s="43" t="str">
        <x:v>Anxiety</x:v>
      </x:c>
      <x:c r="AK18" s="43" t="str">
        <x:v>Open Field Test (OFT)</x:v>
      </x:c>
      <x:c r="AL18" s="43" t="str">
        <x:v>locomotion and emotional status</x:v>
      </x:c>
      <x:c r="AM18" s="43" t="str">
        <x:v>Time in central square</x:v>
      </x:c>
      <x:c r="AN18" s="43" t="str">
        <x:v>Time</x:v>
      </x:c>
      <x:c r="AO18" s="43" t="str">
        <x:v>s</x:v>
      </x:c>
      <x:c r="AP18" s="43" t="str">
        <x:v>Not reported</x:v>
      </x:c>
      <x:c r="AQ18" s="43" t="str">
        <x:v>Figure 3B</x:v>
      </x:c>
      <x:c r="AR18" s="43" t="str">
        <x:v>arjunan_2023_stress_fig3B_cen</x:v>
      </x:c>
      <x:c r="AS18" s="43" t="str">
        <x:v>Con_cen</x:v>
      </x:c>
      <x:c r="AT18" s="43" t="str">
        <x:v>Fgs_cen</x:v>
      </x:c>
      <x:c r="AU18" s="43" t="str">
        <x:v>con_fgs_cen</x:v>
      </x:c>
      <x:c r="AV18" s="43" t="str">
        <x:v>Independent</x:v>
      </x:c>
      <x:c r="AW18" s="43" t="str">
        <x:v>Yes</x:v>
      </x:c>
      <x:c r="AX18" s="43" t="str">
        <x:v>Negative</x:v>
      </x:c>
      <x:c r="AY18" s="43" t="str">
        <x:v>reduced time spent in the central square indicated
the fear and anxiety-like behavior</x:v>
      </x:c>
      <x:c r="AZ18" s="43" t="str">
        <x:v>225.39</x:v>
      </x:c>
      <x:c r="BA18" s="43" t="str">
        <x:v>25.92</x:v>
      </x:c>
      <x:c r="BB18" s="43" t="str">
        <x:v>6</x:v>
      </x:c>
      <x:c r="BC18" s="43" t="str">
        <x:v>10.58</x:v>
      </x:c>
      <x:c r="BD18" s="43" t="str"/>
      <x:c r="BE18" s="43" t="str">
        <x:v>93.46</x:v>
      </x:c>
      <x:c r="BF18" s="43" t="str">
        <x:v>11.78</x:v>
      </x:c>
      <x:c r="BG18" s="43" t="str">
        <x:v>6</x:v>
      </x:c>
      <x:c r="BH18" s="43" t="str">
        <x:v>4.81</x:v>
      </x:c>
      <x:c r="BI18" s="43" t="str"/>
      <x:c r="BJ18" s="43" t="str"/>
      <x:c r="BK18" s="43" t="str"/>
      <x:c r="BL18" s="43" t="str"/>
      <x:c r="BM18" s="43" t="str"/>
      <x:c r="BN18" s="43" t="str"/>
      <x:c r="BO18" s="43" t="str"/>
      <x:c r="BP18" s="43" t="str"/>
      <x:c r="BQ18" s="43" t="str"/>
      <x:c r="BR18" s="43" t="str">
        <x:v>yes - recheck!</x:v>
      </x:c>
      <x:c r="BS18" s="43" t="str">
        <x:v>legend says "The data represent the mean ± SD", but the values look like SE</x:v>
      </x:c>
      <x:c r="BT18" s="43" t="str"/>
      <x:c r="BU18" s="43" t="str">
        <x:v>Done! re-extracted, I swapped the selection in meta-digitise</x:v>
      </x:c>
      <x:c r="BV18" s="43" t="str"/>
      <x:c r="BW18" s="43" t="str">
        <x:v>10.581796</x:v>
      </x:c>
      <x:c r="BX18" s="43" t="str">
        <x:v>SD / sqrt(n); derived for analysis from the extracted SD and sample size</x:v>
      </x:c>
      <x:c r="BY18" s="43" t="str">
        <x:v>arjunan_2023_stress_fig3B_cen; Figure 3B</x:v>
      </x:c>
      <x:c r="BZ18" s="43" t="str"/>
      <x:c r="CA18" s="43" t="str">
        <x:v>4.809165</x:v>
      </x:c>
      <x:c r="CB18" s="43" t="str">
        <x:v>SD / sqrt(n); derived for analysis from the extracted SD and sample size</x:v>
      </x:c>
      <x:c r="CC18" s="43" t="str">
        <x:v>arjunan_2023_stress_fig3B_cen; Figure 3B</x:v>
      </x:c>
      <x:c r="CD18" s="43" t="str">
        <x:v>Corrected transcription</x:v>
      </x:c>
      <x:c r="CE18" s="43" t="str">
        <x:v>3 – Arjunan 2023 acoustic exposure</x:v>
      </x:c>
      <x:c r="CF18" s="43" t="str">
        <x:v>The source describes a white-noise generator, not ultrasound. | The stated range is within the audible/broadband band used in this review. | The source states all frequencies from 0 to 20 kHz.</x:v>
      </x:c>
    </x:row>
    <x:row r="19">
      <x:c r="A19" s="43" t="str">
        <x:v>19</x:v>
      </x:c>
      <x:c r="B19" s="43" t="str">
        <x:v>arjunan_2023_stress</x:v>
      </x:c>
      <x:c r="C19" s="43" t="str">
        <x:v>ex008</x:v>
      </x:c>
      <x:c r="D19" s="43" t="str">
        <x:v>con004</x:v>
      </x:c>
      <x:c r="E19" s="43" t="str">
        <x:v>out010</x:v>
      </x:c>
      <x:c r="F19" s="43" t="str">
        <x:v>es018</x:v>
      </x:c>
      <x:c r="G19" s="43" t="str">
        <x:v>Yes</x:v>
      </x:c>
      <x:c r="H19" s="43" t="str">
        <x:v>3 experimental groups: Early gestational, late gestational and full-term gestational</x:v>
      </x:c>
      <x:c r="I19" s="43" t="str">
        <x:v>Impacts of Maternal Noise Exposure on Risk of Stillbirth
and Oxidative Stress-Induced Neurobehavioral Changes
in Offspring</x:v>
      </x:c>
      <x:c r="J19" s="43" t="str">
        <x:v>10.3390/stresses3030037</x:v>
      </x:c>
      <x:c r="K19" s="43" t="str">
        <x:v>Stresses</x:v>
      </x:c>
      <x:c r="L19" s="43" t="str"/>
      <x:c r="M19" s="43" t="str">
        <x:v>Rattus norvegicus</x:v>
      </x:c>
      <x:c r="N19" s="43" t="str">
        <x:v>albino rat</x:v>
      </x:c>
      <x:c r="O19" s="43" t="str">
        <x:v>Wistar albino rat</x:v>
      </x:c>
      <x:c r="P19" s="43" t="str"/>
      <x:c r="Q19" s="43" t="str">
        <x:v>not reported 160-180g</x:v>
      </x:c>
      <x:c r="R19" s="43" t="str">
        <x:v>early, mid, late</x:v>
      </x:c>
      <x:c r="S19" s="43" t="str">
        <x:v>day 1-21</x:v>
      </x:c>
      <x:c r="T19" s="43" t="str">
        <x:v>21</x:v>
      </x:c>
      <x:c r="U19" s="43" t="str">
        <x:v>Intermitent</x:v>
      </x:c>
      <x:c r="V19" s="43" t="str">
        <x:v>4.0</x:v>
      </x:c>
      <x:c r="W19" s="43" t="str">
        <x:v>h</x:v>
      </x:c>
      <x:c r="X19" s="43" t="str">
        <x:v>White noise</x:v>
      </x:c>
      <x:c r="Y19" s="43" t="str">
        <x:v>Audible</x:v>
      </x:c>
      <x:c r="Z19" s="43" t="str">
        <x:v>100</x:v>
      </x:c>
      <x:c r="AA19" s="43" t="str">
        <x:v>0-20,000</x:v>
      </x:c>
      <x:c r="AB19" s="43" t="str">
        <x:v>Unclear</x:v>
      </x:c>
      <x:c r="AC19" s="43" t="str"/>
      <x:c r="AD19" s="43" t="str"/>
      <x:c r="AE19" s="43" t="str">
        <x:v>male</x:v>
      </x:c>
      <x:c r="AF19" s="43" t="str">
        <x:v>45</x:v>
      </x:c>
      <x:c r="AG19" s="43" t="str"/>
      <x:c r="AH19" s="43" t="str">
        <x:v>none</x:v>
      </x:c>
      <x:c r="AI19" s="43" t="str"/>
      <x:c r="AJ19" s="43" t="str">
        <x:v>Anxiety</x:v>
      </x:c>
      <x:c r="AK19" s="43" t="str">
        <x:v>Open Field Test (OFT)</x:v>
      </x:c>
      <x:c r="AL19" s="43" t="str">
        <x:v>locomotion and emotional status</x:v>
      </x:c>
      <x:c r="AM19" s="43" t="str">
        <x:v>Time in peripheral square</x:v>
      </x:c>
      <x:c r="AN19" s="43" t="str">
        <x:v>Time</x:v>
      </x:c>
      <x:c r="AO19" s="43" t="str">
        <x:v>s</x:v>
      </x:c>
      <x:c r="AP19" s="43" t="str">
        <x:v>Not reported</x:v>
      </x:c>
      <x:c r="AQ19" s="43" t="str">
        <x:v>Figure 3B</x:v>
      </x:c>
      <x:c r="AR19" s="43" t="str">
        <x:v>arjunan_2023_stress_fig3B_peri.png</x:v>
      </x:c>
      <x:c r="AS19" s="43" t="str">
        <x:v>Con_per</x:v>
      </x:c>
      <x:c r="AT19" s="43" t="str">
        <x:v>Fgs_per</x:v>
      </x:c>
      <x:c r="AU19" s="43" t="str">
        <x:v>con_fgs_per</x:v>
      </x:c>
      <x:c r="AV19" s="43" t="str">
        <x:v>Independent</x:v>
      </x:c>
      <x:c r="AW19" s="43" t="str">
        <x:v>No</x:v>
      </x:c>
      <x:c r="AX19" s="43" t="str">
        <x:v>Positive</x:v>
      </x:c>
      <x:c r="AY19" s="43" t="str">
        <x:v>reduced time spent in the central square indicated
the fear and anxiety-like behavior</x:v>
      </x:c>
      <x:c r="AZ19" s="43" t="str">
        <x:v>71.74</x:v>
      </x:c>
      <x:c r="BA19" s="43" t="str">
        <x:v>28.21</x:v>
      </x:c>
      <x:c r="BB19" s="43" t="str">
        <x:v>6</x:v>
      </x:c>
      <x:c r="BC19" s="43" t="str">
        <x:v>11.52</x:v>
      </x:c>
      <x:c r="BD19" s="43" t="str"/>
      <x:c r="BE19" s="43" t="str">
        <x:v>202.72</x:v>
      </x:c>
      <x:c r="BF19" s="43" t="str">
        <x:v>12.09</x:v>
      </x:c>
      <x:c r="BG19" s="43" t="str">
        <x:v>6</x:v>
      </x:c>
      <x:c r="BH19" s="43" t="str">
        <x:v>4.94</x:v>
      </x:c>
      <x:c r="BI19" s="43" t="str"/>
      <x:c r="BJ19" s="43" t="str"/>
      <x:c r="BK19" s="43" t="str"/>
      <x:c r="BL19" s="43" t="str"/>
      <x:c r="BM19" s="43" t="str"/>
      <x:c r="BN19" s="43" t="str"/>
      <x:c r="BO19" s="43" t="str"/>
      <x:c r="BP19" s="43" t="str"/>
      <x:c r="BQ19" s="43" t="str"/>
      <x:c r="BR19" s="43" t="str">
        <x:v>yes - recheck!</x:v>
      </x:c>
      <x:c r="BS19" s="43" t="str">
        <x:v>legend says "The data represent the mean ± SD", but the values look like SE</x:v>
      </x:c>
      <x:c r="BT19" s="43" t="str"/>
      <x:c r="BU19" s="43" t="str">
        <x:v>Done! re-extracted, I swapped the selection in meta-digitise</x:v>
      </x:c>
      <x:c r="BV19" s="43" t="str"/>
      <x:c r="BW19" s="43" t="str">
        <x:v>11.516684</x:v>
      </x:c>
      <x:c r="BX19" s="43" t="str">
        <x:v>SD / sqrt(n); derived for analysis from the extracted SD and sample size</x:v>
      </x:c>
      <x:c r="BY19" s="43" t="str">
        <x:v>arjunan_2023_stress_fig3B_peri.png; Figure 3B</x:v>
      </x:c>
      <x:c r="BZ19" s="43" t="str"/>
      <x:c r="CA19" s="43" t="str">
        <x:v>4.935722</x:v>
      </x:c>
      <x:c r="CB19" s="43" t="str">
        <x:v>SD / sqrt(n); derived for analysis from the extracted SD and sample size</x:v>
      </x:c>
      <x:c r="CC19" s="43" t="str">
        <x:v>arjunan_2023_stress_fig3B_peri.png; Figure 3B</x:v>
      </x:c>
      <x:c r="CD19" s="43" t="str">
        <x:v>Corrected transcription</x:v>
      </x:c>
      <x:c r="CE19" s="43" t="str">
        <x:v>3 – Arjunan 2023 acoustic exposure</x:v>
      </x:c>
      <x:c r="CF19" s="43" t="str">
        <x:v>The source describes a white-noise generator, not ultrasound. | The stated range is within the audible/broadband band used in this review. | The source states all frequencies from 0 to 20 kHz. | Use the exact saved image filename for reproducibility.</x:v>
      </x:c>
    </x:row>
    <x:row r="20">
      <x:c r="A20" s="43" t="str">
        <x:v>20</x:v>
      </x:c>
      <x:c r="B20" s="43" t="str">
        <x:v>hadizadeh_2018_irjbamedsci</x:v>
      </x:c>
      <x:c r="C20" s="43" t="str">
        <x:v>ex009</x:v>
      </x:c>
      <x:c r="D20" s="43" t="str">
        <x:v>con005</x:v>
      </x:c>
      <x:c r="E20" s="43" t="str">
        <x:v>out011</x:v>
      </x:c>
      <x:c r="F20" s="43" t="str">
        <x:v>es019</x:v>
      </x:c>
      <x:c r="G20" s="43" t="str">
        <x:v>Yes</x:v>
      </x:c>
      <x:c r="H20" s="43" t="str">
        <x:v>one control, one treatment for females and males</x:v>
      </x:c>
      <x:c r="I20" s="43" t="str">
        <x:v>Probiotic supplementation improves the cognitive function and
the anxiety-like behaviors in the stressed rats</x:v>
      </x:c>
      <x:c r="J20" s="43" t="str">
        <x:v>10.22038/ijbms.2019.33956.8078</x:v>
      </x:c>
      <x:c r="K20" s="43" t="str">
        <x:v>Iranian Journal of Basic Medical Sciences</x:v>
      </x:c>
      <x:c r="L20" s="43" t="str"/>
      <x:c r="M20" s="43" t="str">
        <x:v>Rattus norvegicus</x:v>
      </x:c>
      <x:c r="N20" s="43" t="str">
        <x:v>brown rat</x:v>
      </x:c>
      <x:c r="O20" s="43" t="str">
        <x:v>Wistar rat</x:v>
      </x:c>
      <x:c r="P20" s="43" t="str"/>
      <x:c r="Q20" s="43" t="str">
        <x:v>not reported</x:v>
      </x:c>
      <x:c r="R20" s="43" t="str">
        <x:v>late</x:v>
      </x:c>
      <x:c r="S20" s="43" t="str">
        <x:v>third trimester</x:v>
      </x:c>
      <x:c r="T20" s="43" t="str">
        <x:v>7</x:v>
      </x:c>
      <x:c r="U20" s="43" t="str">
        <x:v>Intermitent</x:v>
      </x:c>
      <x:c r="V20" s="43" t="str">
        <x:v>4.0</x:v>
      </x:c>
      <x:c r="W20" s="43" t="str">
        <x:v>h</x:v>
      </x:c>
      <x:c r="X20" s="43" t="str">
        <x:v>Traffic</x:v>
      </x:c>
      <x:c r="Y20" s="43" t="str">
        <x:v>Audible</x:v>
      </x:c>
      <x:c r="Z20" s="43" t="str">
        <x:v>95</x:v>
      </x:c>
      <x:c r="AA20" s="43" t="str"/>
      <x:c r="AB20" s="43" t="str">
        <x:v>Unclear</x:v>
      </x:c>
      <x:c r="AC20" s="43" t="str"/>
      <x:c r="AD20" s="43" t="str">
        <x:v>The control: kept in the noise chamber for the
same period of time without noise exposure</x:v>
      </x:c>
      <x:c r="AE20" s="43" t="str">
        <x:v>male</x:v>
      </x:c>
      <x:c r="AF20" s="43" t="str">
        <x:v>45</x:v>
      </x:c>
      <x:c r="AG20" s="43" t="str"/>
      <x:c r="AH20" s="43" t="str">
        <x:v>The CON and ST groups received drinking water as vehicle</x:v>
      </x:c>
      <x:c r="AI20" s="43" t="str"/>
      <x:c r="AJ20" s="43" t="str">
        <x:v>Anxiety</x:v>
      </x:c>
      <x:c r="AK20" s="43" t="str">
        <x:v>Elevated Plus Maze (EPM)</x:v>
      </x:c>
      <x:c r="AL20" s="43" t="str"/>
      <x:c r="AM20" s="43" t="str">
        <x:v>Entries into open arms (OAE)</x:v>
      </x:c>
      <x:c r="AN20" s="43" t="str">
        <x:v>Percentage</x:v>
      </x:c>
      <x:c r="AO20" s="43" t="str">
        <x:v>%</x:v>
      </x:c>
      <x:c r="AP20" s="43" t="str">
        <x:v>Not reported</x:v>
      </x:c>
      <x:c r="AQ20" s="43" t="str">
        <x:v>Figure 2A</x:v>
      </x:c>
      <x:c r="AR20" s="43" t="str">
        <x:v>hadizadeh_2018_irjbamedsci_fig2A</x:v>
      </x:c>
      <x:c r="AS20" s="43" t="str">
        <x:v>CON_en</x:v>
      </x:c>
      <x:c r="AT20" s="43" t="str">
        <x:v>ST_en</x:v>
      </x:c>
      <x:c r="AU20" s="43" t="str">
        <x:v>CON_ST_en</x:v>
      </x:c>
      <x:c r="AV20" s="43" t="str">
        <x:v>Independent</x:v>
      </x:c>
      <x:c r="AW20" s="43" t="str">
        <x:v>Yes</x:v>
      </x:c>
      <x:c r="AX20" s="43" t="str">
        <x:v>Negative</x:v>
      </x:c>
      <x:c r="AY20" s="43" t="str">
        <x:v>declined the anxiety-like behavior where the number of open arm entries increased</x:v>
      </x:c>
      <x:c r="AZ20" s="43" t="str">
        <x:v>54.98</x:v>
      </x:c>
      <x:c r="BA20" s="43" t="str">
        <x:v>7.67</x:v>
      </x:c>
      <x:c r="BB20" s="43" t="str">
        <x:v>6</x:v>
      </x:c>
      <x:c r="BC20" s="43" t="str">
        <x:v>3.13</x:v>
      </x:c>
      <x:c r="BD20" s="43" t="str"/>
      <x:c r="BE20" s="43" t="str">
        <x:v>19.51</x:v>
      </x:c>
      <x:c r="BF20" s="43" t="str">
        <x:v>3.07</x:v>
      </x:c>
      <x:c r="BG20" s="43" t="str">
        <x:v>6</x:v>
      </x:c>
      <x:c r="BH20" s="43" t="str">
        <x:v>1.25</x:v>
      </x:c>
      <x:c r="BI20" s="43" t="str"/>
      <x:c r="BJ20" s="43" t="str"/>
      <x:c r="BK20" s="43" t="str"/>
      <x:c r="BL20" s="43" t="str"/>
      <x:c r="BM20" s="43" t="str"/>
      <x:c r="BN20" s="43" t="str"/>
      <x:c r="BO20" s="43" t="str"/>
      <x:c r="BP20" s="43" t="str"/>
      <x:c r="BQ20" s="43" t="str"/>
      <x:c r="BR20" s="43" t="str">
        <x:v>yes - recheck!</x:v>
      </x:c>
      <x:c r="BS20" s="43" t="str">
        <x:v>exp mean values look too low</x:v>
      </x:c>
      <x:c r="BT20" s="43" t="str"/>
      <x:c r="BU20" s="43" t="str">
        <x:v>Done! re-extracted, I swapped the selection in meta-digitise</x:v>
      </x:c>
      <x:c r="BV20" s="43" t="str">
        <x:v>3.13</x:v>
      </x:c>
      <x:c r="BW20" s="43" t="str">
        <x:v>3.13</x:v>
      </x:c>
      <x:c r="BX20" s="43" t="str">
        <x:v>Reported SEM; used unchanged for analysis</x:v>
      </x:c>
      <x:c r="BY20" s="43" t="str">
        <x:v>hadizadeh_2018_irjbamedsci_fig2A; Figure 2A</x:v>
      </x:c>
      <x:c r="BZ20" s="43" t="str">
        <x:v>1.25</x:v>
      </x:c>
      <x:c r="CA20" s="43" t="str">
        <x:v>1.25</x:v>
      </x:c>
      <x:c r="CB20" s="43" t="str">
        <x:v>Reported SEM; used unchanged for analysis</x:v>
      </x:c>
      <x:c r="CC20" s="43" t="str">
        <x:v>hadizadeh_2018_irjbamedsci_fig2A; Figure 2A</x:v>
      </x:c>
      <x:c r="CD20" s="43" t="str">
        <x:v>Verified – no change</x:v>
      </x:c>
      <x:c r="CE20" s="43" t="str"/>
      <x:c r="CF20" s="43" t="str"/>
    </x:row>
    <x:row r="21">
      <x:c r="A21" s="43" t="str">
        <x:v>21</x:v>
      </x:c>
      <x:c r="B21" s="43" t="str">
        <x:v>hadizadeh_2018_irjbamedsci</x:v>
      </x:c>
      <x:c r="C21" s="43" t="str">
        <x:v>ex009</x:v>
      </x:c>
      <x:c r="D21" s="43" t="str">
        <x:v>con005</x:v>
      </x:c>
      <x:c r="E21" s="43" t="str">
        <x:v>out012</x:v>
      </x:c>
      <x:c r="F21" s="43" t="str">
        <x:v>es020</x:v>
      </x:c>
      <x:c r="G21" s="43" t="str">
        <x:v>Yes</x:v>
      </x:c>
      <x:c r="H21" s="43" t="str">
        <x:v>one control, one treatment for females and males</x:v>
      </x:c>
      <x:c r="I21" s="43" t="str">
        <x:v>Probiotic supplementation improves the cognitive function and
the anxiety-like behaviors in the stressed rats</x:v>
      </x:c>
      <x:c r="J21" s="43" t="str">
        <x:v>10.22038/ijbms.2019.33956.8078</x:v>
      </x:c>
      <x:c r="K21" s="43" t="str">
        <x:v>Iranian Journal of Basic Medical Sciences</x:v>
      </x:c>
      <x:c r="L21" s="43" t="str"/>
      <x:c r="M21" s="43" t="str">
        <x:v>Rattus norvegicus</x:v>
      </x:c>
      <x:c r="N21" s="43" t="str">
        <x:v>brown rat</x:v>
      </x:c>
      <x:c r="O21" s="43" t="str">
        <x:v>Wistar rat</x:v>
      </x:c>
      <x:c r="P21" s="43" t="str"/>
      <x:c r="Q21" s="43" t="str">
        <x:v>not reported</x:v>
      </x:c>
      <x:c r="R21" s="43" t="str">
        <x:v>late</x:v>
      </x:c>
      <x:c r="S21" s="43" t="str">
        <x:v>third trimester</x:v>
      </x:c>
      <x:c r="T21" s="43" t="str">
        <x:v>7</x:v>
      </x:c>
      <x:c r="U21" s="43" t="str">
        <x:v>Intermitent</x:v>
      </x:c>
      <x:c r="V21" s="43" t="str">
        <x:v>4.0</x:v>
      </x:c>
      <x:c r="W21" s="43" t="str">
        <x:v>h</x:v>
      </x:c>
      <x:c r="X21" s="43" t="str">
        <x:v>Traffic</x:v>
      </x:c>
      <x:c r="Y21" s="43" t="str">
        <x:v>Audible</x:v>
      </x:c>
      <x:c r="Z21" s="43" t="str">
        <x:v>95</x:v>
      </x:c>
      <x:c r="AA21" s="43" t="str"/>
      <x:c r="AB21" s="43" t="str">
        <x:v>Unclear</x:v>
      </x:c>
      <x:c r="AC21" s="43" t="str"/>
      <x:c r="AD21" s="43" t="str">
        <x:v>The control: kept in the noise chamber for the
same period of time without noise exposure</x:v>
      </x:c>
      <x:c r="AE21" s="43" t="str">
        <x:v>male</x:v>
      </x:c>
      <x:c r="AF21" s="43" t="str">
        <x:v>45</x:v>
      </x:c>
      <x:c r="AG21" s="43" t="str"/>
      <x:c r="AH21" s="43" t="str">
        <x:v>The CON and ST groups received drinking water as vehicle</x:v>
      </x:c>
      <x:c r="AI21" s="43" t="str"/>
      <x:c r="AJ21" s="43" t="str">
        <x:v>Anxiety</x:v>
      </x:c>
      <x:c r="AK21" s="43" t="str">
        <x:v>Elevated Plus Maze (EPM)</x:v>
      </x:c>
      <x:c r="AL21" s="43" t="str"/>
      <x:c r="AM21" s="43" t="str">
        <x:v>Time in open arms (OAT)</x:v>
      </x:c>
      <x:c r="AN21" s="43" t="str">
        <x:v>Percentage</x:v>
      </x:c>
      <x:c r="AO21" s="43" t="str">
        <x:v>%</x:v>
      </x:c>
      <x:c r="AP21" s="43" t="str">
        <x:v>Not reported</x:v>
      </x:c>
      <x:c r="AQ21" s="43" t="str">
        <x:v>Figure 2B</x:v>
      </x:c>
      <x:c r="AR21" s="43" t="str">
        <x:v>hadizadeh_2018_irjbamedsci_fig2B</x:v>
      </x:c>
      <x:c r="AS21" s="43" t="str">
        <x:v>CON_ti</x:v>
      </x:c>
      <x:c r="AT21" s="43" t="str">
        <x:v>ST_ti</x:v>
      </x:c>
      <x:c r="AU21" s="43" t="str">
        <x:v>CON_ST_ti</x:v>
      </x:c>
      <x:c r="AV21" s="43" t="str">
        <x:v>Independent</x:v>
      </x:c>
      <x:c r="AW21" s="43" t="str">
        <x:v>Yes</x:v>
      </x:c>
      <x:c r="AX21" s="43" t="str">
        <x:v>Negative</x:v>
      </x:c>
      <x:c r="AY21" s="43" t="str"/>
      <x:c r="AZ21" s="43" t="str">
        <x:v>41.56</x:v>
      </x:c>
      <x:c r="BA21" s="43" t="str">
        <x:v>2.9</x:v>
      </x:c>
      <x:c r="BB21" s="43" t="str">
        <x:v>6</x:v>
      </x:c>
      <x:c r="BC21" s="43" t="str">
        <x:v>1.18</x:v>
      </x:c>
      <x:c r="BD21" s="43" t="str"/>
      <x:c r="BE21" s="43" t="str">
        <x:v>17.52</x:v>
      </x:c>
      <x:c r="BF21" s="43" t="str">
        <x:v>4.35</x:v>
      </x:c>
      <x:c r="BG21" s="43" t="str">
        <x:v>6</x:v>
      </x:c>
      <x:c r="BH21" s="43" t="str">
        <x:v>1.78</x:v>
      </x:c>
      <x:c r="BI21" s="43" t="str"/>
      <x:c r="BJ21" s="43" t="str"/>
      <x:c r="BK21" s="43" t="str"/>
      <x:c r="BL21" s="43" t="str"/>
      <x:c r="BM21" s="43" t="str"/>
      <x:c r="BN21" s="43" t="str"/>
      <x:c r="BO21" s="43" t="str"/>
      <x:c r="BP21" s="43" t="str"/>
      <x:c r="BQ21" s="43" t="str"/>
      <x:c r="BR21" s="43" t="str">
        <x:v>yes - recheck!</x:v>
      </x:c>
      <x:c r="BS21" s="43" t="str">
        <x:v>exp mean values look too low</x:v>
      </x:c>
      <x:c r="BT21" s="43" t="str"/>
      <x:c r="BU21" s="43" t="str">
        <x:v>Done! re-extracted, I swapped the selection in meta-digitise</x:v>
      </x:c>
      <x:c r="BV21" s="43" t="str">
        <x:v>1.18</x:v>
      </x:c>
      <x:c r="BW21" s="43" t="str">
        <x:v>1.18</x:v>
      </x:c>
      <x:c r="BX21" s="43" t="str">
        <x:v>Reported SEM; used unchanged for analysis</x:v>
      </x:c>
      <x:c r="BY21" s="43" t="str">
        <x:v>hadizadeh_2018_irjbamedsci_fig2B; Figure 2B</x:v>
      </x:c>
      <x:c r="BZ21" s="43" t="str">
        <x:v>1.78</x:v>
      </x:c>
      <x:c r="CA21" s="43" t="str">
        <x:v>1.78</x:v>
      </x:c>
      <x:c r="CB21" s="43" t="str">
        <x:v>Reported SEM; used unchanged for analysis</x:v>
      </x:c>
      <x:c r="CC21" s="43" t="str">
        <x:v>hadizadeh_2018_irjbamedsci_fig2B; Figure 2B</x:v>
      </x:c>
      <x:c r="CD21" s="43" t="str">
        <x:v>Verified – no change</x:v>
      </x:c>
      <x:c r="CE21" s="43" t="str"/>
      <x:c r="CF21" s="43" t="str"/>
    </x:row>
    <x:row r="22">
      <x:c r="A22" s="43" t="str">
        <x:v>22</x:v>
      </x:c>
      <x:c r="B22" s="43" t="str">
        <x:v>abramova_2024_devneur</x:v>
      </x:c>
      <x:c r="C22" s="43" t="str">
        <x:v>ex010</x:v>
      </x:c>
      <x:c r="D22" s="43" t="str">
        <x:v>con006</x:v>
      </x:c>
      <x:c r="E22" s="43" t="str">
        <x:v>out013</x:v>
      </x:c>
      <x:c r="F22" s="43" t="str">
        <x:v>es021</x:v>
      </x:c>
      <x:c r="G22" s="43" t="str">
        <x:v>No</x:v>
      </x:c>
      <x:c r="H22" s="43" t="str">
        <x:v>one control, one treatment for females and males</x:v>
      </x:c>
      <x:c r="I22" s="43" t="str">
        <x:v>Ultrasound-Induced Prenatal Stress: New Possibilities for Modeling Mental Disorders</x:v>
      </x:c>
      <x:c r="J22" s="43" t="str">
        <x:v>10.1159/000534687</x:v>
      </x:c>
      <x:c r="K22" s="43" t="str">
        <x:v>Developmental Neuroscience</x:v>
      </x:c>
      <x:c r="L22" s="43" t="str"/>
      <x:c r="M22" s="43" t="str">
        <x:v>Rattus norvegicus</x:v>
      </x:c>
      <x:c r="N22" s="43" t="str">
        <x:v>brown rat</x:v>
      </x:c>
      <x:c r="O22" s="43" t="str">
        <x:v>Wistar rat</x:v>
      </x:c>
      <x:c r="P22" s="43" t="str">
        <x:v>16</x:v>
      </x:c>
      <x:c r="Q22" s="43" t="str">
        <x:v>3 months</x:v>
      </x:c>
      <x:c r="R22" s="43" t="str">
        <x:v>early, mid, late</x:v>
      </x:c>
      <x:c r="S22" s="43" t="str">
        <x:v>permanently during the
whole period of gestation (21 days)</x:v>
      </x:c>
      <x:c r="T22" s="43" t="str">
        <x:v>21</x:v>
      </x:c>
      <x:c r="U22" s="43" t="str">
        <x:v>Continuous</x:v>
      </x:c>
      <x:c r="V22" s="43" t="str">
        <x:v>24.0</x:v>
      </x:c>
      <x:c r="W22" s="43" t="str">
        <x:v>Expossed to continuous variable frequencies </x:v>
      </x:c>
      <x:c r="X22" s="43" t="str">
        <x:v>Ultrasound</x:v>
      </x:c>
      <x:c r="Y22" s="43" t="str">
        <x:v>Ultrasound</x:v>
      </x:c>
      <x:c r="Z22" s="43" t="str">
        <x:v>50</x:v>
      </x:c>
      <x:c r="AA22" s="43" t="str">
        <x:v>20,000-45,000</x:v>
      </x:c>
      <x:c r="AB22" s="43" t="str">
        <x:v>Ambient sound</x:v>
      </x:c>
      <x:c r="AC22" s="43" t="str"/>
      <x:c r="AD22" s="43" t="str">
        <x:v>No noise, standars housing conditions</x:v>
      </x:c>
      <x:c r="AE22" s="43" t="str">
        <x:v>female</x:v>
      </x:c>
      <x:c r="AF22" s="43" t="str">
        <x:v>70</x:v>
      </x:c>
      <x:c r="AG22" s="43" t="str"/>
      <x:c r="AH22" s="43" t="str">
        <x:v>none</x:v>
      </x:c>
      <x:c r="AI22" s="43" t="str"/>
      <x:c r="AJ22" s="43" t="str">
        <x:v>Anxiety</x:v>
      </x:c>
      <x:c r="AK22" s="43" t="str">
        <x:v>Elevated Plus Maze (EPM)</x:v>
      </x:c>
      <x:c r="AL22" s="43" t="str">
        <x:v>They divided in two groups </x:v>
      </x:c>
      <x:c r="AM22" s="43" t="str">
        <x:v>Time in open arms (OAT)</x:v>
      </x:c>
      <x:c r="AN22" s="43" t="str">
        <x:v>Time</x:v>
      </x:c>
      <x:c r="AO22" s="43" t="str">
        <x:v>s</x:v>
      </x:c>
      <x:c r="AP22" s="43" t="str">
        <x:v>Light phase</x:v>
      </x:c>
      <x:c r="AQ22" s="43" t="str">
        <x:v>Fig. 2. a</x:v>
      </x:c>
      <x:c r="AR22" s="43" t="str">
        <x:v>abramova_2024_devneur_fig2a</x:v>
      </x:c>
      <x:c r="AS22" s="43" t="str">
        <x:v>Con_f_oa</x:v>
      </x:c>
      <x:c r="AT22" s="43" t="str">
        <x:v>PS_f_oa</x:v>
      </x:c>
      <x:c r="AU22" s="43" t="str">
        <x:v>Con_PS_f_oa</x:v>
      </x:c>
      <x:c r="AV22" s="43" t="str">
        <x:v>Independent</x:v>
      </x:c>
      <x:c r="AW22" s="43" t="str">
        <x:v>Yes</x:v>
      </x:c>
      <x:c r="AX22" s="43" t="str">
        <x:v>Negative</x:v>
      </x:c>
      <x:c r="AY22" s="43" t="str"/>
      <x:c r="AZ22" s="43" t="str">
        <x:v>45.56</x:v>
      </x:c>
      <x:c r="BA22" s="43" t="str">
        <x:v>30.7</x:v>
      </x:c>
      <x:c r="BB22" s="43" t="str">
        <x:v>37</x:v>
      </x:c>
      <x:c r="BC22" s="43" t="str">
        <x:v>5.05</x:v>
      </x:c>
      <x:c r="BD22" s="43" t="str"/>
      <x:c r="BE22" s="43" t="str">
        <x:v>27.88</x:v>
      </x:c>
      <x:c r="BF22" s="43" t="str">
        <x:v>17.52</x:v>
      </x:c>
      <x:c r="BG22" s="43" t="str">
        <x:v>49</x:v>
      </x:c>
      <x:c r="BH22" s="43" t="str">
        <x:v>2.5</x:v>
      </x:c>
      <x:c r="BI22" s="43" t="str"/>
      <x:c r="BJ22" s="43" t="str">
        <x:v>results presented as Med (Q1; Q3)</x:v>
      </x:c>
      <x:c r="BK22" s="43" t="str"/>
      <x:c r="BL22" s="43" t="str"/>
      <x:c r="BM22" s="43" t="str"/>
      <x:c r="BN22" s="43" t="str"/>
      <x:c r="BO22" s="43" t="str"/>
      <x:c r="BP22" s="43" t="str"/>
      <x:c r="BQ22" s="43" t="str"/>
      <x:c r="BR22" s="43" t="str">
        <x:v>yes</x:v>
      </x:c>
      <x:c r="BS22" s="43" t="str">
        <x:v>minor edites to extracted text needed</x:v>
      </x:c>
      <x:c r="BT22" s="43" t="str"/>
      <x:c r="BU22" s="43" t="str"/>
      <x:c r="BV22" s="43" t="str"/>
      <x:c r="BW22" s="43" t="str">
        <x:v>5.047049</x:v>
      </x:c>
      <x:c r="BX22" s="43" t="str">
        <x:v>SD / sqrt(n); derived for analysis from the extracted SD and sample size</x:v>
      </x:c>
      <x:c r="BY22" s="43" t="str">
        <x:v>abramova_2024_devneur_fig2a; Fig. 2. a</x:v>
      </x:c>
      <x:c r="BZ22" s="43" t="str"/>
      <x:c r="CA22" s="43" t="str">
        <x:v>2.502857</x:v>
      </x:c>
      <x:c r="CB22" s="43" t="str">
        <x:v>SD / sqrt(n); derived for analysis from the extracted SD and sample size</x:v>
      </x:c>
      <x:c r="CC22" s="43" t="str">
        <x:v>abramova_2024_devneur_fig2a; Fig. 2. a</x:v>
      </x:c>
      <x:c r="CD22" s="43" t="str">
        <x:v>Verified – no change</x:v>
      </x:c>
      <x:c r="CE22" s="43" t="str"/>
      <x:c r="CF22" s="43" t="str"/>
    </x:row>
    <x:row r="23">
      <x:c r="A23" s="43" t="str">
        <x:v>23</x:v>
      </x:c>
      <x:c r="B23" s="43" t="str">
        <x:v>abramova_2024_devneur</x:v>
      </x:c>
      <x:c r="C23" s="43" t="str">
        <x:v>ex011</x:v>
      </x:c>
      <x:c r="D23" s="43" t="str">
        <x:v>con007</x:v>
      </x:c>
      <x:c r="E23" s="43" t="str">
        <x:v>out013</x:v>
      </x:c>
      <x:c r="F23" s="43" t="str">
        <x:v>es022</x:v>
      </x:c>
      <x:c r="G23" s="43" t="str">
        <x:v>No</x:v>
      </x:c>
      <x:c r="H23" s="43" t="str">
        <x:v>one control, one treatment for females and males</x:v>
      </x:c>
      <x:c r="I23" s="43" t="str">
        <x:v>Ultrasound-Induced Prenatal Stress: New Possibilities for Modeling Mental Disorders</x:v>
      </x:c>
      <x:c r="J23" s="43" t="str">
        <x:v>10.1159/000534687</x:v>
      </x:c>
      <x:c r="K23" s="43" t="str">
        <x:v>Developmental Neuroscience</x:v>
      </x:c>
      <x:c r="L23" s="43" t="str"/>
      <x:c r="M23" s="43" t="str">
        <x:v>Rattus norvegicus</x:v>
      </x:c>
      <x:c r="N23" s="43" t="str">
        <x:v>brown rat</x:v>
      </x:c>
      <x:c r="O23" s="43" t="str">
        <x:v>Wistar rat</x:v>
      </x:c>
      <x:c r="P23" s="43" t="str">
        <x:v>16</x:v>
      </x:c>
      <x:c r="Q23" s="43" t="str">
        <x:v>3 months</x:v>
      </x:c>
      <x:c r="R23" s="43" t="str">
        <x:v>early, mid, late</x:v>
      </x:c>
      <x:c r="S23" s="43" t="str">
        <x:v>permanently during the
whole period of gestation (21 days)</x:v>
      </x:c>
      <x:c r="T23" s="43" t="str">
        <x:v>21</x:v>
      </x:c>
      <x:c r="U23" s="43" t="str">
        <x:v>Continuous</x:v>
      </x:c>
      <x:c r="V23" s="43" t="str">
        <x:v>24.0</x:v>
      </x:c>
      <x:c r="W23" s="43" t="str">
        <x:v>Expossed to continuous variable frequencies </x:v>
      </x:c>
      <x:c r="X23" s="43" t="str">
        <x:v>Ultrasound</x:v>
      </x:c>
      <x:c r="Y23" s="43" t="str">
        <x:v>Ultrasound</x:v>
      </x:c>
      <x:c r="Z23" s="43" t="str">
        <x:v>50</x:v>
      </x:c>
      <x:c r="AA23" s="43" t="str">
        <x:v>20,000-45,000</x:v>
      </x:c>
      <x:c r="AB23" s="43" t="str">
        <x:v>Ambient sound</x:v>
      </x:c>
      <x:c r="AC23" s="43" t="str"/>
      <x:c r="AD23" s="43" t="str">
        <x:v>No noise, standars housing conditions</x:v>
      </x:c>
      <x:c r="AE23" s="43" t="str">
        <x:v>male</x:v>
      </x:c>
      <x:c r="AF23" s="43" t="str">
        <x:v>70</x:v>
      </x:c>
      <x:c r="AG23" s="43" t="str"/>
      <x:c r="AH23" s="43" t="str">
        <x:v>none</x:v>
      </x:c>
      <x:c r="AI23" s="43" t="str"/>
      <x:c r="AJ23" s="43" t="str">
        <x:v>Anxiety</x:v>
      </x:c>
      <x:c r="AK23" s="43" t="str">
        <x:v>Elevated Plus Maze (EPM)</x:v>
      </x:c>
      <x:c r="AL23" s="43" t="str">
        <x:v>They divided in two groups </x:v>
      </x:c>
      <x:c r="AM23" s="43" t="str">
        <x:v>Time in open arms (OAT)</x:v>
      </x:c>
      <x:c r="AN23" s="43" t="str">
        <x:v>Time</x:v>
      </x:c>
      <x:c r="AO23" s="43" t="str">
        <x:v>s</x:v>
      </x:c>
      <x:c r="AP23" s="43" t="str">
        <x:v>Light phase</x:v>
      </x:c>
      <x:c r="AQ23" s="43" t="str">
        <x:v>Fig. 2. a</x:v>
      </x:c>
      <x:c r="AR23" s="43" t="str">
        <x:v>abramova_2024_devneur_fig2a</x:v>
      </x:c>
      <x:c r="AS23" s="43" t="str">
        <x:v>Con_m_oa</x:v>
      </x:c>
      <x:c r="AT23" s="43" t="str">
        <x:v>PS_m_oa</x:v>
      </x:c>
      <x:c r="AU23" s="43" t="str">
        <x:v>Con_PS_m_oa</x:v>
      </x:c>
      <x:c r="AV23" s="43" t="str">
        <x:v>Independent</x:v>
      </x:c>
      <x:c r="AW23" s="43" t="str">
        <x:v>Yes</x:v>
      </x:c>
      <x:c r="AX23" s="43" t="str">
        <x:v>Negative</x:v>
      </x:c>
      <x:c r="AY23" s="43" t="str"/>
      <x:c r="AZ23" s="43" t="str">
        <x:v>53.82</x:v>
      </x:c>
      <x:c r="BA23" s="43" t="str">
        <x:v>29.51</x:v>
      </x:c>
      <x:c r="BB23" s="43" t="str">
        <x:v>35</x:v>
      </x:c>
      <x:c r="BC23" s="43" t="str">
        <x:v>4.99</x:v>
      </x:c>
      <x:c r="BD23" s="43" t="str"/>
      <x:c r="BE23" s="43" t="str">
        <x:v>38.35</x:v>
      </x:c>
      <x:c r="BF23" s="43" t="str">
        <x:v>24.99</x:v>
      </x:c>
      <x:c r="BG23" s="43" t="str">
        <x:v>44</x:v>
      </x:c>
      <x:c r="BH23" s="43" t="str">
        <x:v>3.77</x:v>
      </x:c>
      <x:c r="BI23" s="43" t="str"/>
      <x:c r="BJ23" s="43" t="str">
        <x:v>results presented as Med (Q1; Q3)</x:v>
      </x:c>
      <x:c r="BK23" s="43" t="str"/>
      <x:c r="BL23" s="43" t="str"/>
      <x:c r="BM23" s="43" t="str"/>
      <x:c r="BN23" s="43" t="str"/>
      <x:c r="BO23" s="43" t="str"/>
      <x:c r="BP23" s="43" t="str"/>
      <x:c r="BQ23" s="43" t="str"/>
      <x:c r="BR23" s="43" t="str">
        <x:v>yes</x:v>
      </x:c>
      <x:c r="BS23" s="43" t="str">
        <x:v>minor edites to extracted text needed</x:v>
      </x:c>
      <x:c r="BT23" s="43" t="str"/>
      <x:c r="BU23" s="43" t="str"/>
      <x:c r="BV23" s="43" t="str"/>
      <x:c r="BW23" s="43" t="str">
        <x:v>4.9881</x:v>
      </x:c>
      <x:c r="BX23" s="43" t="str">
        <x:v>SD / sqrt(n); derived for analysis from the extracted SD and sample size</x:v>
      </x:c>
      <x:c r="BY23" s="43" t="str">
        <x:v>abramova_2024_devneur_fig2a; Fig. 2. a</x:v>
      </x:c>
      <x:c r="BZ23" s="43" t="str"/>
      <x:c r="CA23" s="43" t="str">
        <x:v>3.767384</x:v>
      </x:c>
      <x:c r="CB23" s="43" t="str">
        <x:v>SD / sqrt(n); derived for analysis from the extracted SD and sample size</x:v>
      </x:c>
      <x:c r="CC23" s="43" t="str">
        <x:v>abramova_2024_devneur_fig2a; Fig. 2. a</x:v>
      </x:c>
      <x:c r="CD23" s="43" t="str">
        <x:v>Verified – no change</x:v>
      </x:c>
      <x:c r="CE23" s="43" t="str"/>
      <x:c r="CF23" s="43" t="str"/>
    </x:row>
    <x:row r="24">
      <x:c r="A24" s="43" t="str">
        <x:v>24</x:v>
      </x:c>
      <x:c r="B24" s="43" t="str">
        <x:v>abramova_2024_devneur</x:v>
      </x:c>
      <x:c r="C24" s="43" t="str">
        <x:v>ex010</x:v>
      </x:c>
      <x:c r="D24" s="43" t="str">
        <x:v>con006</x:v>
      </x:c>
      <x:c r="E24" s="43" t="str">
        <x:v>out014</x:v>
      </x:c>
      <x:c r="F24" s="43" t="str">
        <x:v>es023</x:v>
      </x:c>
      <x:c r="G24" s="43" t="str">
        <x:v>No</x:v>
      </x:c>
      <x:c r="H24" s="43" t="str">
        <x:v>one control, one treatment for females and males</x:v>
      </x:c>
      <x:c r="I24" s="43" t="str">
        <x:v>Ultrasound-Induced Prenatal Stress: New Possibilities for Modeling Mental Disorders</x:v>
      </x:c>
      <x:c r="J24" s="43" t="str">
        <x:v>10.1159/000534687</x:v>
      </x:c>
      <x:c r="K24" s="43" t="str">
        <x:v>Developmental Neuroscience</x:v>
      </x:c>
      <x:c r="L24" s="43" t="str"/>
      <x:c r="M24" s="43" t="str">
        <x:v>Rattus norvegicus</x:v>
      </x:c>
      <x:c r="N24" s="43" t="str">
        <x:v>brown rat</x:v>
      </x:c>
      <x:c r="O24" s="43" t="str">
        <x:v>Wistar rat</x:v>
      </x:c>
      <x:c r="P24" s="43" t="str">
        <x:v>16</x:v>
      </x:c>
      <x:c r="Q24" s="43" t="str">
        <x:v>3 months</x:v>
      </x:c>
      <x:c r="R24" s="43" t="str">
        <x:v>early, mid, late</x:v>
      </x:c>
      <x:c r="S24" s="43" t="str">
        <x:v>permanently during the
whole period of gestation (21 days)</x:v>
      </x:c>
      <x:c r="T24" s="43" t="str">
        <x:v>21</x:v>
      </x:c>
      <x:c r="U24" s="43" t="str">
        <x:v>Continuous</x:v>
      </x:c>
      <x:c r="V24" s="43" t="str">
        <x:v>24.0</x:v>
      </x:c>
      <x:c r="W24" s="43" t="str">
        <x:v>Expossed to continuous variable frequencies </x:v>
      </x:c>
      <x:c r="X24" s="43" t="str">
        <x:v>Ultrasound</x:v>
      </x:c>
      <x:c r="Y24" s="43" t="str">
        <x:v>Ultrasound</x:v>
      </x:c>
      <x:c r="Z24" s="43" t="str">
        <x:v>50</x:v>
      </x:c>
      <x:c r="AA24" s="43" t="str">
        <x:v>20,000-45,000</x:v>
      </x:c>
      <x:c r="AB24" s="43" t="str">
        <x:v>Ambient sound</x:v>
      </x:c>
      <x:c r="AC24" s="43" t="str"/>
      <x:c r="AD24" s="43" t="str">
        <x:v>No noise, standars housing conditions</x:v>
      </x:c>
      <x:c r="AE24" s="43" t="str">
        <x:v>female</x:v>
      </x:c>
      <x:c r="AF24" s="43" t="str">
        <x:v>70</x:v>
      </x:c>
      <x:c r="AG24" s="43" t="str"/>
      <x:c r="AH24" s="43" t="str">
        <x:v>none</x:v>
      </x:c>
      <x:c r="AI24" s="43" t="str"/>
      <x:c r="AJ24" s="43" t="str">
        <x:v>Anxiety</x:v>
      </x:c>
      <x:c r="AK24" s="43" t="str">
        <x:v>Elevated Plus Maze (EPM)</x:v>
      </x:c>
      <x:c r="AL24" s="43" t="str">
        <x:v>They divided in two groups | Head-dipping</x:v>
      </x:c>
      <x:c r="AM24" s="43" t="str">
        <x:v>Head-dipping</x:v>
      </x:c>
      <x:c r="AN24" s="43" t="str">
        <x:v>Count</x:v>
      </x:c>
      <x:c r="AO24" s="43" t="str">
        <x:v>Count</x:v>
      </x:c>
      <x:c r="AP24" s="43" t="str">
        <x:v>Light phase</x:v>
      </x:c>
      <x:c r="AQ24" s="43" t="str">
        <x:v>Fig. 2. b</x:v>
      </x:c>
      <x:c r="AR24" s="43" t="str">
        <x:v>abramova_2024_devneur_fig2b</x:v>
      </x:c>
      <x:c r="AS24" s="43" t="str">
        <x:v>Con_f_hd</x:v>
      </x:c>
      <x:c r="AT24" s="43" t="str">
        <x:v>PS_f_hd</x:v>
      </x:c>
      <x:c r="AU24" s="43" t="str">
        <x:v>Con_PS_f_hd</x:v>
      </x:c>
      <x:c r="AV24" s="43" t="str">
        <x:v>Independent</x:v>
      </x:c>
      <x:c r="AW24" s="43" t="str">
        <x:v>Yes</x:v>
      </x:c>
      <x:c r="AX24" s="43" t="str">
        <x:v>Negative</x:v>
      </x:c>
      <x:c r="AY24" s="43" t="str"/>
      <x:c r="AZ24" s="43" t="str">
        <x:v>10.2</x:v>
      </x:c>
      <x:c r="BA24" s="43" t="str">
        <x:v>5.76</x:v>
      </x:c>
      <x:c r="BB24" s="43" t="str">
        <x:v>37</x:v>
      </x:c>
      <x:c r="BC24" s="43" t="str">
        <x:v>0.95</x:v>
      </x:c>
      <x:c r="BD24" s="43" t="str"/>
      <x:c r="BE24" s="43" t="str">
        <x:v>4.46</x:v>
      </x:c>
      <x:c r="BF24" s="43" t="str">
        <x:v>3.09</x:v>
      </x:c>
      <x:c r="BG24" s="43" t="str">
        <x:v>49</x:v>
      </x:c>
      <x:c r="BH24" s="43" t="str">
        <x:v>0.44</x:v>
      </x:c>
      <x:c r="BI24" s="43" t="str"/>
      <x:c r="BJ24" s="43" t="str">
        <x:v>results presented as Med (Q1; Q3)</x:v>
      </x:c>
      <x:c r="BK24" s="43" t="str"/>
      <x:c r="BL24" s="43" t="str"/>
      <x:c r="BM24" s="43" t="str"/>
      <x:c r="BN24" s="43" t="str"/>
      <x:c r="BO24" s="43" t="str"/>
      <x:c r="BP24" s="43" t="str"/>
      <x:c r="BQ24" s="43" t="str"/>
      <x:c r="BR24" s="43" t="str">
        <x:v>yes</x:v>
      </x:c>
      <x:c r="BS24" s="43" t="str">
        <x:v>minor edites to extracted text needed</x:v>
      </x:c>
      <x:c r="BT24" s="43" t="str"/>
      <x:c r="BU24" s="43" t="str"/>
      <x:c r="BV24" s="43" t="str"/>
      <x:c r="BW24" s="43" t="str">
        <x:v>0.946938</x:v>
      </x:c>
      <x:c r="BX24" s="43" t="str">
        <x:v>SD / sqrt(n); derived for analysis from the extracted SD and sample size</x:v>
      </x:c>
      <x:c r="BY24" s="43" t="str">
        <x:v>abramova_2024_devneur_fig2b; Fig. 2. b</x:v>
      </x:c>
      <x:c r="BZ24" s="43" t="str"/>
      <x:c r="CA24" s="43" t="str">
        <x:v>0.441429</x:v>
      </x:c>
      <x:c r="CB24" s="43" t="str">
        <x:v>SD / sqrt(n); derived for analysis from the extracted SD and sample size</x:v>
      </x:c>
      <x:c r="CC24" s="43" t="str">
        <x:v>abramova_2024_devneur_fig2b; Fig. 2. b</x:v>
      </x:c>
      <x:c r="CD24" s="43" t="str">
        <x:v>Verified – no change</x:v>
      </x:c>
      <x:c r="CE24" s="43" t="str"/>
      <x:c r="CF24" s="43" t="str"/>
    </x:row>
    <x:row r="25">
      <x:c r="A25" s="43" t="str">
        <x:v>25</x:v>
      </x:c>
      <x:c r="B25" s="43" t="str">
        <x:v>abramova_2024_devneur</x:v>
      </x:c>
      <x:c r="C25" s="43" t="str">
        <x:v>ex011</x:v>
      </x:c>
      <x:c r="D25" s="43" t="str">
        <x:v>con007</x:v>
      </x:c>
      <x:c r="E25" s="43" t="str">
        <x:v>out014</x:v>
      </x:c>
      <x:c r="F25" s="43" t="str">
        <x:v>es024</x:v>
      </x:c>
      <x:c r="G25" s="43" t="str">
        <x:v>No</x:v>
      </x:c>
      <x:c r="H25" s="43" t="str">
        <x:v>one control, one treatment for females and males</x:v>
      </x:c>
      <x:c r="I25" s="43" t="str">
        <x:v>Ultrasound-Induced Prenatal Stress: New Possibilities for Modeling Mental Disorders</x:v>
      </x:c>
      <x:c r="J25" s="43" t="str">
        <x:v>10.1159/000534687</x:v>
      </x:c>
      <x:c r="K25" s="43" t="str">
        <x:v>Developmental Neuroscience</x:v>
      </x:c>
      <x:c r="L25" s="43" t="str"/>
      <x:c r="M25" s="43" t="str">
        <x:v>Rattus norvegicus</x:v>
      </x:c>
      <x:c r="N25" s="43" t="str">
        <x:v>brown rat</x:v>
      </x:c>
      <x:c r="O25" s="43" t="str">
        <x:v>Wistar rat</x:v>
      </x:c>
      <x:c r="P25" s="43" t="str">
        <x:v>16</x:v>
      </x:c>
      <x:c r="Q25" s="43" t="str">
        <x:v>3 months</x:v>
      </x:c>
      <x:c r="R25" s="43" t="str">
        <x:v>early, mid, late</x:v>
      </x:c>
      <x:c r="S25" s="43" t="str">
        <x:v>permanently during the
whole period of gestation (21 days)</x:v>
      </x:c>
      <x:c r="T25" s="43" t="str">
        <x:v>21</x:v>
      </x:c>
      <x:c r="U25" s="43" t="str">
        <x:v>Continuous</x:v>
      </x:c>
      <x:c r="V25" s="43" t="str">
        <x:v>24.0</x:v>
      </x:c>
      <x:c r="W25" s="43" t="str">
        <x:v>Expossed to continuous variable frequencies </x:v>
      </x:c>
      <x:c r="X25" s="43" t="str">
        <x:v>Ultrasound</x:v>
      </x:c>
      <x:c r="Y25" s="43" t="str">
        <x:v>Ultrasound</x:v>
      </x:c>
      <x:c r="Z25" s="43" t="str">
        <x:v>50</x:v>
      </x:c>
      <x:c r="AA25" s="43" t="str">
        <x:v>20,000-45,000</x:v>
      </x:c>
      <x:c r="AB25" s="43" t="str">
        <x:v>Ambient sound</x:v>
      </x:c>
      <x:c r="AC25" s="43" t="str"/>
      <x:c r="AD25" s="43" t="str">
        <x:v>No noise, standars housing conditions</x:v>
      </x:c>
      <x:c r="AE25" s="43" t="str">
        <x:v>male</x:v>
      </x:c>
      <x:c r="AF25" s="43" t="str">
        <x:v>70</x:v>
      </x:c>
      <x:c r="AG25" s="43" t="str"/>
      <x:c r="AH25" s="43" t="str">
        <x:v>none</x:v>
      </x:c>
      <x:c r="AI25" s="43" t="str"/>
      <x:c r="AJ25" s="43" t="str">
        <x:v>Anxiety</x:v>
      </x:c>
      <x:c r="AK25" s="43" t="str">
        <x:v>Elevated Plus Maze (EPM)</x:v>
      </x:c>
      <x:c r="AL25" s="43" t="str">
        <x:v>They divided in two groups | Head-dipping</x:v>
      </x:c>
      <x:c r="AM25" s="43" t="str">
        <x:v>Head-dipping</x:v>
      </x:c>
      <x:c r="AN25" s="43" t="str">
        <x:v>Count</x:v>
      </x:c>
      <x:c r="AO25" s="43" t="str">
        <x:v>Count</x:v>
      </x:c>
      <x:c r="AP25" s="43" t="str">
        <x:v>Light phase</x:v>
      </x:c>
      <x:c r="AQ25" s="43" t="str">
        <x:v>Fig. 2. b</x:v>
      </x:c>
      <x:c r="AR25" s="43" t="str">
        <x:v>abramova_2024_devneur_fig2b</x:v>
      </x:c>
      <x:c r="AS25" s="43" t="str">
        <x:v>Con_m_hd</x:v>
      </x:c>
      <x:c r="AT25" s="43" t="str">
        <x:v>PS_m_hd</x:v>
      </x:c>
      <x:c r="AU25" s="43" t="str">
        <x:v>Con_PS_m_hd</x:v>
      </x:c>
      <x:c r="AV25" s="43" t="str">
        <x:v>Independent</x:v>
      </x:c>
      <x:c r="AW25" s="43" t="str">
        <x:v>Yes</x:v>
      </x:c>
      <x:c r="AX25" s="43" t="str">
        <x:v>Negative</x:v>
      </x:c>
      <x:c r="AY25" s="43" t="str"/>
      <x:c r="AZ25" s="43" t="str">
        <x:v>11.55</x:v>
      </x:c>
      <x:c r="BA25" s="43" t="str">
        <x:v>6.92</x:v>
      </x:c>
      <x:c r="BB25" s="43" t="str">
        <x:v>35</x:v>
      </x:c>
      <x:c r="BC25" s="43" t="str">
        <x:v>1.17</x:v>
      </x:c>
      <x:c r="BD25" s="43" t="str"/>
      <x:c r="BE25" s="43" t="str">
        <x:v>8.55</x:v>
      </x:c>
      <x:c r="BF25" s="43" t="str">
        <x:v>5.26</x:v>
      </x:c>
      <x:c r="BG25" s="43" t="str">
        <x:v>44</x:v>
      </x:c>
      <x:c r="BH25" s="43" t="str">
        <x:v>0.79</x:v>
      </x:c>
      <x:c r="BI25" s="43" t="str"/>
      <x:c r="BJ25" s="43" t="str">
        <x:v>results presented as Med (Q1; Q3)</x:v>
      </x:c>
      <x:c r="BK25" s="43" t="str"/>
      <x:c r="BL25" s="43" t="str"/>
      <x:c r="BM25" s="43" t="str"/>
      <x:c r="BN25" s="43" t="str"/>
      <x:c r="BO25" s="43" t="str"/>
      <x:c r="BP25" s="43" t="str"/>
      <x:c r="BQ25" s="43" t="str"/>
      <x:c r="BR25" s="43" t="str">
        <x:v>yes</x:v>
      </x:c>
      <x:c r="BS25" s="43" t="str">
        <x:v>minor edites to extracted text needed</x:v>
      </x:c>
      <x:c r="BT25" s="43" t="str"/>
      <x:c r="BU25" s="43" t="str"/>
      <x:c r="BV25" s="43" t="str"/>
      <x:c r="BW25" s="43" t="str">
        <x:v>1.169693</x:v>
      </x:c>
      <x:c r="BX25" s="43" t="str">
        <x:v>SD / sqrt(n); derived for analysis from the extracted SD and sample size</x:v>
      </x:c>
      <x:c r="BY25" s="43" t="str">
        <x:v>abramova_2024_devneur_fig2b; Fig. 2. b</x:v>
      </x:c>
      <x:c r="BZ25" s="43" t="str"/>
      <x:c r="CA25" s="43" t="str">
        <x:v>0.792975</x:v>
      </x:c>
      <x:c r="CB25" s="43" t="str">
        <x:v>SD / sqrt(n); derived for analysis from the extracted SD and sample size</x:v>
      </x:c>
      <x:c r="CC25" s="43" t="str">
        <x:v>abramova_2024_devneur_fig2b; Fig. 2. b</x:v>
      </x:c>
      <x:c r="CD25" s="43" t="str">
        <x:v>Verified – no change</x:v>
      </x:c>
      <x:c r="CE25" s="43" t="str"/>
      <x:c r="CF25" s="43" t="str"/>
    </x:row>
    <x:row r="26">
      <x:c r="A26" s="43" t="str">
        <x:v>26</x:v>
      </x:c>
      <x:c r="B26" s="43" t="str">
        <x:v>abramova_2024_devneur</x:v>
      </x:c>
      <x:c r="C26" s="43" t="str">
        <x:v>ex010</x:v>
      </x:c>
      <x:c r="D26" s="43" t="str">
        <x:v>con006</x:v>
      </x:c>
      <x:c r="E26" s="43" t="str">
        <x:v>out015</x:v>
      </x:c>
      <x:c r="F26" s="43" t="str">
        <x:v>es025</x:v>
      </x:c>
      <x:c r="G26" s="43" t="str">
        <x:v>No</x:v>
      </x:c>
      <x:c r="H26" s="43" t="str">
        <x:v>one control, one treatment for females and males</x:v>
      </x:c>
      <x:c r="I26" s="43" t="str">
        <x:v>Ultrasound-Induced Prenatal Stress: New Possibilities for Modeling Mental Disorders</x:v>
      </x:c>
      <x:c r="J26" s="43" t="str">
        <x:v>10.1159/000534687</x:v>
      </x:c>
      <x:c r="K26" s="43" t="str">
        <x:v>Developmental Neuroscience</x:v>
      </x:c>
      <x:c r="L26" s="43" t="str"/>
      <x:c r="M26" s="43" t="str">
        <x:v>Rattus norvegicus</x:v>
      </x:c>
      <x:c r="N26" s="43" t="str">
        <x:v>brown rat</x:v>
      </x:c>
      <x:c r="O26" s="43" t="str">
        <x:v>Wistar rat</x:v>
      </x:c>
      <x:c r="P26" s="43" t="str">
        <x:v>16</x:v>
      </x:c>
      <x:c r="Q26" s="43" t="str">
        <x:v>3 months</x:v>
      </x:c>
      <x:c r="R26" s="43" t="str">
        <x:v>early, mid, late</x:v>
      </x:c>
      <x:c r="S26" s="43" t="str">
        <x:v>permanently during the
whole period of gestation (21 days)</x:v>
      </x:c>
      <x:c r="T26" s="43" t="str">
        <x:v>21</x:v>
      </x:c>
      <x:c r="U26" s="43" t="str">
        <x:v>Continuous</x:v>
      </x:c>
      <x:c r="V26" s="43" t="str">
        <x:v>24.0</x:v>
      </x:c>
      <x:c r="W26" s="43" t="str">
        <x:v>Expossed to continuous variable frequencies </x:v>
      </x:c>
      <x:c r="X26" s="43" t="str">
        <x:v>Ultrasound</x:v>
      </x:c>
      <x:c r="Y26" s="43" t="str">
        <x:v>Ultrasound</x:v>
      </x:c>
      <x:c r="Z26" s="43" t="str">
        <x:v>50</x:v>
      </x:c>
      <x:c r="AA26" s="43" t="str">
        <x:v>20,000-45,000</x:v>
      </x:c>
      <x:c r="AB26" s="43" t="str">
        <x:v>Ambient sound</x:v>
      </x:c>
      <x:c r="AC26" s="43" t="str"/>
      <x:c r="AD26" s="43" t="str">
        <x:v>No noise, standars housing conditions</x:v>
      </x:c>
      <x:c r="AE26" s="43" t="str">
        <x:v>female</x:v>
      </x:c>
      <x:c r="AF26" s="43" t="str">
        <x:v>70</x:v>
      </x:c>
      <x:c r="AG26" s="43" t="str"/>
      <x:c r="AH26" s="43" t="str">
        <x:v>none</x:v>
      </x:c>
      <x:c r="AI26" s="43" t="str"/>
      <x:c r="AJ26" s="43" t="str">
        <x:v>Anxiety</x:v>
      </x:c>
      <x:c r="AK26" s="43" t="str">
        <x:v>Elevated Plus Maze (EPM)</x:v>
      </x:c>
      <x:c r="AL26" s="43" t="str">
        <x:v>They divided in two groups </x:v>
      </x:c>
      <x:c r="AM26" s="43" t="str">
        <x:v>Total freezing time</x:v>
      </x:c>
      <x:c r="AN26" s="43" t="str">
        <x:v>Time</x:v>
      </x:c>
      <x:c r="AO26" s="43" t="str">
        <x:v>s</x:v>
      </x:c>
      <x:c r="AP26" s="43" t="str">
        <x:v>Light phase</x:v>
      </x:c>
      <x:c r="AQ26" s="43" t="str">
        <x:v>Fig. 2. c</x:v>
      </x:c>
      <x:c r="AR26" s="43" t="str">
        <x:v>abramova_2024_devneur_fig2c</x:v>
      </x:c>
      <x:c r="AS26" s="43" t="str">
        <x:v>Con_f_fr</x:v>
      </x:c>
      <x:c r="AT26" s="43" t="str">
        <x:v>PS_f_fr</x:v>
      </x:c>
      <x:c r="AU26" s="43" t="str">
        <x:v>Con_PS_f_fr</x:v>
      </x:c>
      <x:c r="AV26" s="43" t="str">
        <x:v>Independent</x:v>
      </x:c>
      <x:c r="AW26" s="43" t="str">
        <x:v>No</x:v>
      </x:c>
      <x:c r="AX26" s="43" t="str">
        <x:v>Positive</x:v>
      </x:c>
      <x:c r="AY26" s="43" t="str"/>
      <x:c r="AZ26" s="43" t="str">
        <x:v>2.59</x:v>
      </x:c>
      <x:c r="BA26" s="43" t="str">
        <x:v>3.45</x:v>
      </x:c>
      <x:c r="BB26" s="43" t="str">
        <x:v>37</x:v>
      </x:c>
      <x:c r="BC26" s="43" t="str">
        <x:v>0.57</x:v>
      </x:c>
      <x:c r="BD26" s="43" t="str"/>
      <x:c r="BE26" s="43" t="str">
        <x:v>20.84</x:v>
      </x:c>
      <x:c r="BF26" s="43" t="str">
        <x:v>19.55</x:v>
      </x:c>
      <x:c r="BG26" s="43" t="str">
        <x:v>49</x:v>
      </x:c>
      <x:c r="BH26" s="43" t="str">
        <x:v>2.79</x:v>
      </x:c>
      <x:c r="BI26" s="43" t="str"/>
      <x:c r="BJ26" s="43" t="str">
        <x:v>results presented as Med (Q1; Q3)</x:v>
      </x:c>
      <x:c r="BK26" s="43" t="str"/>
      <x:c r="BL26" s="43" t="str"/>
      <x:c r="BM26" s="43" t="str"/>
      <x:c r="BN26" s="43" t="str"/>
      <x:c r="BO26" s="43" t="str"/>
      <x:c r="BP26" s="43" t="str"/>
      <x:c r="BQ26" s="43" t="str"/>
      <x:c r="BR26" s="43" t="str">
        <x:v>yes</x:v>
      </x:c>
      <x:c r="BS26" s="43" t="str">
        <x:v>minor edites to extracted text needed</x:v>
      </x:c>
      <x:c r="BT26" s="43" t="str"/>
      <x:c r="BU26" s="43" t="str"/>
      <x:c r="BV26" s="43" t="str"/>
      <x:c r="BW26" s="43" t="str">
        <x:v>0.567177</x:v>
      </x:c>
      <x:c r="BX26" s="43" t="str">
        <x:v>SD / sqrt(n); derived for analysis from the extracted SD and sample size</x:v>
      </x:c>
      <x:c r="BY26" s="43" t="str">
        <x:v>abramova_2024_devneur_fig2c; Fig. 2. c</x:v>
      </x:c>
      <x:c r="BZ26" s="43" t="str"/>
      <x:c r="CA26" s="43" t="str">
        <x:v>2.792857</x:v>
      </x:c>
      <x:c r="CB26" s="43" t="str">
        <x:v>SD / sqrt(n); derived for analysis from the extracted SD and sample size</x:v>
      </x:c>
      <x:c r="CC26" s="43" t="str">
        <x:v>abramova_2024_devneur_fig2c; Fig. 2. c</x:v>
      </x:c>
      <x:c r="CD26" s="43" t="str">
        <x:v>Verified – no change</x:v>
      </x:c>
      <x:c r="CE26" s="43" t="str"/>
      <x:c r="CF26" s="43" t="str"/>
    </x:row>
    <x:row r="27">
      <x:c r="A27" s="43" t="str">
        <x:v>27</x:v>
      </x:c>
      <x:c r="B27" s="43" t="str">
        <x:v>abramova_2024_devneur</x:v>
      </x:c>
      <x:c r="C27" s="43" t="str">
        <x:v>ex011</x:v>
      </x:c>
      <x:c r="D27" s="43" t="str">
        <x:v>con007</x:v>
      </x:c>
      <x:c r="E27" s="43" t="str">
        <x:v>out015</x:v>
      </x:c>
      <x:c r="F27" s="43" t="str">
        <x:v>es026</x:v>
      </x:c>
      <x:c r="G27" s="43" t="str">
        <x:v>No</x:v>
      </x:c>
      <x:c r="H27" s="43" t="str">
        <x:v>one control, one treatment for females and males</x:v>
      </x:c>
      <x:c r="I27" s="43" t="str">
        <x:v>Ultrasound-Induced Prenatal Stress: New Possibilities for Modeling Mental Disorders</x:v>
      </x:c>
      <x:c r="J27" s="43" t="str">
        <x:v>10.1159/000534687</x:v>
      </x:c>
      <x:c r="K27" s="43" t="str">
        <x:v>Developmental Neuroscience</x:v>
      </x:c>
      <x:c r="L27" s="43" t="str"/>
      <x:c r="M27" s="43" t="str">
        <x:v>Rattus norvegicus</x:v>
      </x:c>
      <x:c r="N27" s="43" t="str">
        <x:v>brown rat</x:v>
      </x:c>
      <x:c r="O27" s="43" t="str">
        <x:v>Wistar rat</x:v>
      </x:c>
      <x:c r="P27" s="43" t="str">
        <x:v>16</x:v>
      </x:c>
      <x:c r="Q27" s="43" t="str">
        <x:v>3 months</x:v>
      </x:c>
      <x:c r="R27" s="43" t="str">
        <x:v>early, mid, late</x:v>
      </x:c>
      <x:c r="S27" s="43" t="str">
        <x:v>permanently during the
whole period of gestation (21 days)</x:v>
      </x:c>
      <x:c r="T27" s="43" t="str">
        <x:v>21</x:v>
      </x:c>
      <x:c r="U27" s="43" t="str">
        <x:v>Continuous</x:v>
      </x:c>
      <x:c r="V27" s="43" t="str">
        <x:v>24.0</x:v>
      </x:c>
      <x:c r="W27" s="43" t="str">
        <x:v>Expossed to continuous variable frequencies </x:v>
      </x:c>
      <x:c r="X27" s="43" t="str">
        <x:v>Ultrasound</x:v>
      </x:c>
      <x:c r="Y27" s="43" t="str">
        <x:v>Ultrasound</x:v>
      </x:c>
      <x:c r="Z27" s="43" t="str">
        <x:v>50</x:v>
      </x:c>
      <x:c r="AA27" s="43" t="str">
        <x:v>20,000-45,000</x:v>
      </x:c>
      <x:c r="AB27" s="43" t="str">
        <x:v>Ambient sound</x:v>
      </x:c>
      <x:c r="AC27" s="43" t="str"/>
      <x:c r="AD27" s="43" t="str">
        <x:v>No noise, standars housing conditions</x:v>
      </x:c>
      <x:c r="AE27" s="43" t="str">
        <x:v>male</x:v>
      </x:c>
      <x:c r="AF27" s="43" t="str">
        <x:v>70</x:v>
      </x:c>
      <x:c r="AG27" s="43" t="str"/>
      <x:c r="AH27" s="43" t="str">
        <x:v>none</x:v>
      </x:c>
      <x:c r="AI27" s="43" t="str"/>
      <x:c r="AJ27" s="43" t="str">
        <x:v>Anxiety</x:v>
      </x:c>
      <x:c r="AK27" s="43" t="str">
        <x:v>Elevated Plus Maze (EPM)</x:v>
      </x:c>
      <x:c r="AL27" s="43" t="str">
        <x:v>They divided in two groups </x:v>
      </x:c>
      <x:c r="AM27" s="43" t="str">
        <x:v>Total freezing time</x:v>
      </x:c>
      <x:c r="AN27" s="43" t="str">
        <x:v>Time</x:v>
      </x:c>
      <x:c r="AO27" s="43" t="str">
        <x:v>s</x:v>
      </x:c>
      <x:c r="AP27" s="43" t="str">
        <x:v>Light phase</x:v>
      </x:c>
      <x:c r="AQ27" s="43" t="str">
        <x:v>Fig. 2. c</x:v>
      </x:c>
      <x:c r="AR27" s="43" t="str">
        <x:v>abramova_2024_devneur_fig2c</x:v>
      </x:c>
      <x:c r="AS27" s="43" t="str">
        <x:v>Con_m_fr</x:v>
      </x:c>
      <x:c r="AT27" s="43" t="str">
        <x:v>PS_m_fr</x:v>
      </x:c>
      <x:c r="AU27" s="43" t="str">
        <x:v>Con_PS_m_fr</x:v>
      </x:c>
      <x:c r="AV27" s="43" t="str">
        <x:v>Independent</x:v>
      </x:c>
      <x:c r="AW27" s="43" t="str">
        <x:v>No</x:v>
      </x:c>
      <x:c r="AX27" s="43" t="str">
        <x:v>Positive</x:v>
      </x:c>
      <x:c r="AY27" s="43" t="str"/>
      <x:c r="AZ27" s="43" t="str">
        <x:v>1.23</x:v>
      </x:c>
      <x:c r="BA27" s="43" t="str">
        <x:v>2.02</x:v>
      </x:c>
      <x:c r="BB27" s="43" t="str">
        <x:v>35</x:v>
      </x:c>
      <x:c r="BC27" s="43" t="str">
        <x:v>0.34</x:v>
      </x:c>
      <x:c r="BD27" s="43" t="str"/>
      <x:c r="BE27" s="43" t="str">
        <x:v>3.27</x:v>
      </x:c>
      <x:c r="BF27" s="43" t="str">
        <x:v>3.72</x:v>
      </x:c>
      <x:c r="BG27" s="43" t="str">
        <x:v>44</x:v>
      </x:c>
      <x:c r="BH27" s="43" t="str">
        <x:v>0.56</x:v>
      </x:c>
      <x:c r="BI27" s="43" t="str"/>
      <x:c r="BJ27" s="43" t="str">
        <x:v>results presented as Med (Q1; Q3)</x:v>
      </x:c>
      <x:c r="BK27" s="43" t="str"/>
      <x:c r="BL27" s="43" t="str"/>
      <x:c r="BM27" s="43" t="str"/>
      <x:c r="BN27" s="43" t="str"/>
      <x:c r="BO27" s="43" t="str"/>
      <x:c r="BP27" s="43" t="str"/>
      <x:c r="BQ27" s="43" t="str"/>
      <x:c r="BR27" s="43" t="str">
        <x:v>yes</x:v>
      </x:c>
      <x:c r="BS27" s="43" t="str">
        <x:v>minor edites to extracted text needed</x:v>
      </x:c>
      <x:c r="BT27" s="43" t="str"/>
      <x:c r="BU27" s="43" t="str"/>
      <x:c r="BV27" s="43" t="str"/>
      <x:c r="BW27" s="43" t="str">
        <x:v>0.341442</x:v>
      </x:c>
      <x:c r="BX27" s="43" t="str">
        <x:v>SD / sqrt(n); derived for analysis from the extracted SD and sample size</x:v>
      </x:c>
      <x:c r="BY27" s="43" t="str">
        <x:v>abramova_2024_devneur_fig2c; Fig. 2. c</x:v>
      </x:c>
      <x:c r="BZ27" s="43" t="str"/>
      <x:c r="CA27" s="43" t="str">
        <x:v>0.560811</x:v>
      </x:c>
      <x:c r="CB27" s="43" t="str">
        <x:v>SD / sqrt(n); derived for analysis from the extracted SD and sample size</x:v>
      </x:c>
      <x:c r="CC27" s="43" t="str">
        <x:v>abramova_2024_devneur_fig2c; Fig. 2. c</x:v>
      </x:c>
      <x:c r="CD27" s="43" t="str">
        <x:v>Verified – no change</x:v>
      </x:c>
      <x:c r="CE27" s="43" t="str"/>
      <x:c r="CF27" s="43" t="str"/>
    </x:row>
    <x:row r="28">
      <x:c r="A28" s="43" t="str">
        <x:v>28</x:v>
      </x:c>
      <x:c r="B28" s="43" t="str">
        <x:v>abramova_2024_devneur</x:v>
      </x:c>
      <x:c r="C28" s="43" t="str">
        <x:v>ex010</x:v>
      </x:c>
      <x:c r="D28" s="43" t="str">
        <x:v>con006</x:v>
      </x:c>
      <x:c r="E28" s="43" t="str">
        <x:v>out016</x:v>
      </x:c>
      <x:c r="F28" s="43" t="str">
        <x:v>es027</x:v>
      </x:c>
      <x:c r="G28" s="43" t="str">
        <x:v>No</x:v>
      </x:c>
      <x:c r="H28" s="43" t="str">
        <x:v>one control, one treatment for females and males</x:v>
      </x:c>
      <x:c r="I28" s="43" t="str">
        <x:v>Ultrasound-Induced Prenatal Stress: New Possibilities for Modeling Mental Disorders</x:v>
      </x:c>
      <x:c r="J28" s="43" t="str">
        <x:v>10.1159/000534687</x:v>
      </x:c>
      <x:c r="K28" s="43" t="str">
        <x:v>Developmental Neuroscience</x:v>
      </x:c>
      <x:c r="L28" s="43" t="str"/>
      <x:c r="M28" s="43" t="str">
        <x:v>Rattus norvegicus</x:v>
      </x:c>
      <x:c r="N28" s="43" t="str">
        <x:v>brown rat</x:v>
      </x:c>
      <x:c r="O28" s="43" t="str">
        <x:v>Wistar rat</x:v>
      </x:c>
      <x:c r="P28" s="43" t="str">
        <x:v>16</x:v>
      </x:c>
      <x:c r="Q28" s="43" t="str">
        <x:v>3 months</x:v>
      </x:c>
      <x:c r="R28" s="43" t="str">
        <x:v>early, mid, late</x:v>
      </x:c>
      <x:c r="S28" s="43" t="str">
        <x:v>permanently during the
whole period of gestation (21 days)</x:v>
      </x:c>
      <x:c r="T28" s="43" t="str">
        <x:v>21</x:v>
      </x:c>
      <x:c r="U28" s="43" t="str">
        <x:v>Continuous</x:v>
      </x:c>
      <x:c r="V28" s="43" t="str">
        <x:v>24.0</x:v>
      </x:c>
      <x:c r="W28" s="43" t="str">
        <x:v>Expossed to continuous variable frequencies </x:v>
      </x:c>
      <x:c r="X28" s="43" t="str">
        <x:v>Ultrasound</x:v>
      </x:c>
      <x:c r="Y28" s="43" t="str">
        <x:v>Ultrasound</x:v>
      </x:c>
      <x:c r="Z28" s="43" t="str">
        <x:v>50</x:v>
      </x:c>
      <x:c r="AA28" s="43" t="str">
        <x:v>20,000-45,000</x:v>
      </x:c>
      <x:c r="AB28" s="43" t="str">
        <x:v>Ambient sound</x:v>
      </x:c>
      <x:c r="AC28" s="43" t="str"/>
      <x:c r="AD28" s="43" t="str">
        <x:v>No noise, standars housing conditions</x:v>
      </x:c>
      <x:c r="AE28" s="43" t="str">
        <x:v>female</x:v>
      </x:c>
      <x:c r="AF28" s="43" t="str">
        <x:v>70</x:v>
      </x:c>
      <x:c r="AG28" s="43" t="str"/>
      <x:c r="AH28" s="43" t="str">
        <x:v>none</x:v>
      </x:c>
      <x:c r="AI28" s="43" t="str"/>
      <x:c r="AJ28" s="43" t="str">
        <x:v>Anxiety</x:v>
      </x:c>
      <x:c r="AK28" s="43" t="str">
        <x:v>Elevated Plus Maze (EPM)</x:v>
      </x:c>
      <x:c r="AL28" s="43" t="str">
        <x:v>They divided in two groups </x:v>
      </x:c>
      <x:c r="AM28" s="43" t="str">
        <x:v>Total grooming time</x:v>
      </x:c>
      <x:c r="AN28" s="43" t="str">
        <x:v>Time</x:v>
      </x:c>
      <x:c r="AO28" s="43" t="str">
        <x:v>s</x:v>
      </x:c>
      <x:c r="AP28" s="43" t="str">
        <x:v>Light phase</x:v>
      </x:c>
      <x:c r="AQ28" s="43" t="str">
        <x:v>Fig. 2. d</x:v>
      </x:c>
      <x:c r="AR28" s="43" t="str">
        <x:v>abramova_2024_devneur_fig2d</x:v>
      </x:c>
      <x:c r="AS28" s="43" t="str">
        <x:v>Con_f_gd</x:v>
      </x:c>
      <x:c r="AT28" s="43" t="str">
        <x:v>PS_f_gd</x:v>
      </x:c>
      <x:c r="AU28" s="43" t="str">
        <x:v>Con_PS_f_gd</x:v>
      </x:c>
      <x:c r="AV28" s="43" t="str">
        <x:v>Independent</x:v>
      </x:c>
      <x:c r="AW28" s="43" t="str">
        <x:v>No</x:v>
      </x:c>
      <x:c r="AX28" s="43" t="str">
        <x:v>Positive</x:v>
      </x:c>
      <x:c r="AY28" s="43" t="str"/>
      <x:c r="AZ28" s="43" t="str">
        <x:v>22.57</x:v>
      </x:c>
      <x:c r="BA28" s="43" t="str">
        <x:v>14.12</x:v>
      </x:c>
      <x:c r="BB28" s="43" t="str">
        <x:v>37</x:v>
      </x:c>
      <x:c r="BC28" s="43" t="str">
        <x:v>2.32</x:v>
      </x:c>
      <x:c r="BD28" s="43" t="str"/>
      <x:c r="BE28" s="43" t="str">
        <x:v>30.57</x:v>
      </x:c>
      <x:c r="BF28" s="43" t="str">
        <x:v>22.63</x:v>
      </x:c>
      <x:c r="BG28" s="43" t="str">
        <x:v>49</x:v>
      </x:c>
      <x:c r="BH28" s="43" t="str">
        <x:v>3.23</x:v>
      </x:c>
      <x:c r="BI28" s="43" t="str"/>
      <x:c r="BJ28" s="43" t="str">
        <x:v>results presented as Med (Q1; Q3)</x:v>
      </x:c>
      <x:c r="BK28" s="43" t="str"/>
      <x:c r="BL28" s="43" t="str"/>
      <x:c r="BM28" s="43" t="str"/>
      <x:c r="BN28" s="43" t="str"/>
      <x:c r="BO28" s="43" t="str"/>
      <x:c r="BP28" s="43" t="str"/>
      <x:c r="BQ28" s="43" t="str"/>
      <x:c r="BR28" s="43" t="str">
        <x:v>yes</x:v>
      </x:c>
      <x:c r="BS28" s="43" t="str">
        <x:v>minor edites to extracted text needed</x:v>
      </x:c>
      <x:c r="BT28" s="43" t="str"/>
      <x:c r="BU28" s="43" t="str"/>
      <x:c r="BV28" s="43" t="str"/>
      <x:c r="BW28" s="43" t="str">
        <x:v>2.321314</x:v>
      </x:c>
      <x:c r="BX28" s="43" t="str">
        <x:v>SD / sqrt(n); derived for analysis from the extracted SD and sample size</x:v>
      </x:c>
      <x:c r="BY28" s="43" t="str">
        <x:v>abramova_2024_devneur_fig2d; Fig. 2. d</x:v>
      </x:c>
      <x:c r="BZ28" s="43" t="str"/>
      <x:c r="CA28" s="43" t="str">
        <x:v>3.232857</x:v>
      </x:c>
      <x:c r="CB28" s="43" t="str">
        <x:v>SD / sqrt(n); derived for analysis from the extracted SD and sample size</x:v>
      </x:c>
      <x:c r="CC28" s="43" t="str">
        <x:v>abramova_2024_devneur_fig2d; Fig. 2. d</x:v>
      </x:c>
      <x:c r="CD28" s="43" t="str">
        <x:v>Verified – no change</x:v>
      </x:c>
      <x:c r="CE28" s="43" t="str"/>
      <x:c r="CF28" s="43" t="str"/>
    </x:row>
    <x:row r="29">
      <x:c r="A29" s="43" t="str">
        <x:v>29</x:v>
      </x:c>
      <x:c r="B29" s="43" t="str">
        <x:v>abramova_2024_devneur</x:v>
      </x:c>
      <x:c r="C29" s="43" t="str">
        <x:v>ex011</x:v>
      </x:c>
      <x:c r="D29" s="43" t="str">
        <x:v>con007</x:v>
      </x:c>
      <x:c r="E29" s="43" t="str">
        <x:v>out016</x:v>
      </x:c>
      <x:c r="F29" s="43" t="str">
        <x:v>es028</x:v>
      </x:c>
      <x:c r="G29" s="43" t="str">
        <x:v>No</x:v>
      </x:c>
      <x:c r="H29" s="43" t="str">
        <x:v>one control, one treatment for females and males</x:v>
      </x:c>
      <x:c r="I29" s="43" t="str">
        <x:v>Ultrasound-Induced Prenatal Stress: New Possibilities for Modeling Mental Disorders</x:v>
      </x:c>
      <x:c r="J29" s="43" t="str">
        <x:v>10.1159/000534687</x:v>
      </x:c>
      <x:c r="K29" s="43" t="str">
        <x:v>Developmental Neuroscience</x:v>
      </x:c>
      <x:c r="L29" s="43" t="str"/>
      <x:c r="M29" s="43" t="str">
        <x:v>Rattus norvegicus</x:v>
      </x:c>
      <x:c r="N29" s="43" t="str">
        <x:v>brown rat</x:v>
      </x:c>
      <x:c r="O29" s="43" t="str">
        <x:v>Wistar rat</x:v>
      </x:c>
      <x:c r="P29" s="43" t="str">
        <x:v>16</x:v>
      </x:c>
      <x:c r="Q29" s="43" t="str">
        <x:v>3 months</x:v>
      </x:c>
      <x:c r="R29" s="43" t="str">
        <x:v>early, mid, late</x:v>
      </x:c>
      <x:c r="S29" s="43" t="str">
        <x:v>permanently during the
whole period of gestation (21 days)</x:v>
      </x:c>
      <x:c r="T29" s="43" t="str">
        <x:v>21</x:v>
      </x:c>
      <x:c r="U29" s="43" t="str">
        <x:v>Continuous</x:v>
      </x:c>
      <x:c r="V29" s="43" t="str">
        <x:v>24.0</x:v>
      </x:c>
      <x:c r="W29" s="43" t="str">
        <x:v>Expossed to continuous variable frequencies </x:v>
      </x:c>
      <x:c r="X29" s="43" t="str">
        <x:v>Ultrasound</x:v>
      </x:c>
      <x:c r="Y29" s="43" t="str">
        <x:v>Ultrasound</x:v>
      </x:c>
      <x:c r="Z29" s="43" t="str">
        <x:v>50</x:v>
      </x:c>
      <x:c r="AA29" s="43" t="str">
        <x:v>20,000-45,000</x:v>
      </x:c>
      <x:c r="AB29" s="43" t="str">
        <x:v>Ambient sound</x:v>
      </x:c>
      <x:c r="AC29" s="43" t="str"/>
      <x:c r="AD29" s="43" t="str">
        <x:v>No noise, standars housing conditions</x:v>
      </x:c>
      <x:c r="AE29" s="43" t="str">
        <x:v>male</x:v>
      </x:c>
      <x:c r="AF29" s="43" t="str">
        <x:v>70</x:v>
      </x:c>
      <x:c r="AG29" s="43" t="str"/>
      <x:c r="AH29" s="43" t="str">
        <x:v>none</x:v>
      </x:c>
      <x:c r="AI29" s="43" t="str"/>
      <x:c r="AJ29" s="43" t="str">
        <x:v>Anxiety</x:v>
      </x:c>
      <x:c r="AK29" s="43" t="str">
        <x:v>Elevated Plus Maze (EPM)</x:v>
      </x:c>
      <x:c r="AL29" s="43" t="str">
        <x:v>They divided in two groups </x:v>
      </x:c>
      <x:c r="AM29" s="43" t="str">
        <x:v>Total grooming time</x:v>
      </x:c>
      <x:c r="AN29" s="43" t="str">
        <x:v>Time</x:v>
      </x:c>
      <x:c r="AO29" s="43" t="str">
        <x:v>s</x:v>
      </x:c>
      <x:c r="AP29" s="43" t="str">
        <x:v>Light phase</x:v>
      </x:c>
      <x:c r="AQ29" s="43" t="str">
        <x:v>Fig. 2. d</x:v>
      </x:c>
      <x:c r="AR29" s="43" t="str">
        <x:v>abramova_2024_devneur_fig2d</x:v>
      </x:c>
      <x:c r="AS29" s="43" t="str">
        <x:v>Con_m_gd</x:v>
      </x:c>
      <x:c r="AT29" s="43" t="str">
        <x:v>PS_m_gd</x:v>
      </x:c>
      <x:c r="AU29" s="43" t="str">
        <x:v>Con_PS_m_gd</x:v>
      </x:c>
      <x:c r="AV29" s="43" t="str">
        <x:v>Independent</x:v>
      </x:c>
      <x:c r="AW29" s="43" t="str">
        <x:v>No</x:v>
      </x:c>
      <x:c r="AX29" s="43" t="str">
        <x:v>Positive</x:v>
      </x:c>
      <x:c r="AY29" s="43" t="str"/>
      <x:c r="AZ29" s="43" t="str">
        <x:v>28.31</x:v>
      </x:c>
      <x:c r="BA29" s="43" t="str">
        <x:v>19.54</x:v>
      </x:c>
      <x:c r="BB29" s="43" t="str">
        <x:v>35</x:v>
      </x:c>
      <x:c r="BC29" s="43" t="str">
        <x:v>3.3</x:v>
      </x:c>
      <x:c r="BD29" s="43" t="str"/>
      <x:c r="BE29" s="43" t="str">
        <x:v>48.4</x:v>
      </x:c>
      <x:c r="BF29" s="43" t="str">
        <x:v>27.76</x:v>
      </x:c>
      <x:c r="BG29" s="43" t="str">
        <x:v>44</x:v>
      </x:c>
      <x:c r="BH29" s="43" t="str">
        <x:v>4.19</x:v>
      </x:c>
      <x:c r="BI29" s="43" t="str"/>
      <x:c r="BJ29" s="43" t="str">
        <x:v>results presented as Med (Q1; Q3)</x:v>
      </x:c>
      <x:c r="BK29" s="43" t="str"/>
      <x:c r="BL29" s="43" t="str"/>
      <x:c r="BM29" s="43" t="str"/>
      <x:c r="BN29" s="43" t="str"/>
      <x:c r="BO29" s="43" t="str"/>
      <x:c r="BP29" s="43" t="str"/>
      <x:c r="BQ29" s="43" t="str"/>
      <x:c r="BR29" s="43" t="str">
        <x:v>yes</x:v>
      </x:c>
      <x:c r="BS29" s="43" t="str">
        <x:v>minor edites to extracted text needed</x:v>
      </x:c>
      <x:c r="BT29" s="43" t="str"/>
      <x:c r="BU29" s="43" t="str"/>
      <x:c r="BV29" s="43" t="str"/>
      <x:c r="BW29" s="43" t="str">
        <x:v>3.302863</x:v>
      </x:c>
      <x:c r="BX29" s="43" t="str">
        <x:v>SD / sqrt(n); derived for analysis from the extracted SD and sample size</x:v>
      </x:c>
      <x:c r="BY29" s="43" t="str">
        <x:v>abramova_2024_devneur_fig2d; Fig. 2. d</x:v>
      </x:c>
      <x:c r="BZ29" s="43" t="str"/>
      <x:c r="CA29" s="43" t="str">
        <x:v>4.184977</x:v>
      </x:c>
      <x:c r="CB29" s="43" t="str">
        <x:v>SD / sqrt(n); derived for analysis from the extracted SD and sample size</x:v>
      </x:c>
      <x:c r="CC29" s="43" t="str">
        <x:v>abramova_2024_devneur_fig2d; Fig. 2. d</x:v>
      </x:c>
      <x:c r="CD29" s="43" t="str">
        <x:v>Verified – no change</x:v>
      </x:c>
      <x:c r="CE29" s="43" t="str"/>
      <x:c r="CF29" s="43" t="str"/>
    </x:row>
    <x:row r="30">
      <x:c r="A30" s="43" t="str">
        <x:v>30</x:v>
      </x:c>
      <x:c r="B30" s="43" t="str">
        <x:v>abramova_2024_devneur</x:v>
      </x:c>
      <x:c r="C30" s="43" t="str">
        <x:v>ex010</x:v>
      </x:c>
      <x:c r="D30" s="43" t="str">
        <x:v>con006</x:v>
      </x:c>
      <x:c r="E30" s="43" t="str">
        <x:v>out017</x:v>
      </x:c>
      <x:c r="F30" s="43" t="str">
        <x:v>es029</x:v>
      </x:c>
      <x:c r="G30" s="43" t="str">
        <x:v>No</x:v>
      </x:c>
      <x:c r="H30" s="43" t="str">
        <x:v>one control, one treatment for females and males</x:v>
      </x:c>
      <x:c r="I30" s="43" t="str">
        <x:v>Ultrasound-Induced Prenatal Stress: New Possibilities for Modeling Mental Disorders</x:v>
      </x:c>
      <x:c r="J30" s="43" t="str">
        <x:v>10.1159/000534687</x:v>
      </x:c>
      <x:c r="K30" s="43" t="str">
        <x:v>Developmental Neuroscience</x:v>
      </x:c>
      <x:c r="L30" s="43" t="str"/>
      <x:c r="M30" s="43" t="str">
        <x:v>Rattus norvegicus</x:v>
      </x:c>
      <x:c r="N30" s="43" t="str">
        <x:v>brown rat</x:v>
      </x:c>
      <x:c r="O30" s="43" t="str">
        <x:v>Wistar rat</x:v>
      </x:c>
      <x:c r="P30" s="43" t="str">
        <x:v>16</x:v>
      </x:c>
      <x:c r="Q30" s="43" t="str">
        <x:v>3 months</x:v>
      </x:c>
      <x:c r="R30" s="43" t="str">
        <x:v>early, mid, late</x:v>
      </x:c>
      <x:c r="S30" s="43" t="str">
        <x:v>permanently during the
whole period of gestation (21 days)</x:v>
      </x:c>
      <x:c r="T30" s="43" t="str">
        <x:v>21</x:v>
      </x:c>
      <x:c r="U30" s="43" t="str">
        <x:v>Continuous</x:v>
      </x:c>
      <x:c r="V30" s="43" t="str">
        <x:v>24.0</x:v>
      </x:c>
      <x:c r="W30" s="43" t="str">
        <x:v>Expossed to continuous variable frequencies </x:v>
      </x:c>
      <x:c r="X30" s="43" t="str">
        <x:v>Ultrasound</x:v>
      </x:c>
      <x:c r="Y30" s="43" t="str">
        <x:v>Ultrasound</x:v>
      </x:c>
      <x:c r="Z30" s="43" t="str">
        <x:v>50</x:v>
      </x:c>
      <x:c r="AA30" s="43" t="str">
        <x:v>20,000-45,000</x:v>
      </x:c>
      <x:c r="AB30" s="43" t="str">
        <x:v>Ambient sound</x:v>
      </x:c>
      <x:c r="AC30" s="43" t="str"/>
      <x:c r="AD30" s="43" t="str">
        <x:v>No noise, standars housing conditions</x:v>
      </x:c>
      <x:c r="AE30" s="43" t="str">
        <x:v>female</x:v>
      </x:c>
      <x:c r="AF30" s="43" t="str">
        <x:v>70</x:v>
      </x:c>
      <x:c r="AG30" s="43" t="str"/>
      <x:c r="AH30" s="43" t="str">
        <x:v>none</x:v>
      </x:c>
      <x:c r="AI30" s="43" t="str"/>
      <x:c r="AJ30" s="43" t="str">
        <x:v>Anxiety</x:v>
      </x:c>
      <x:c r="AK30" s="43" t="str">
        <x:v>Elevated Plus Maze (EPM)</x:v>
      </x:c>
      <x:c r="AL30" s="43" t="str">
        <x:v>They divided in two groups </x:v>
      </x:c>
      <x:c r="AM30" s="43" t="str">
        <x:v>Mean grooming duration</x:v>
      </x:c>
      <x:c r="AN30" s="43" t="str">
        <x:v>Time</x:v>
      </x:c>
      <x:c r="AO30" s="43" t="str">
        <x:v>s</x:v>
      </x:c>
      <x:c r="AP30" s="43" t="str">
        <x:v>Light phase</x:v>
      </x:c>
      <x:c r="AQ30" s="43" t="str">
        <x:v>Fig. 2. e</x:v>
      </x:c>
      <x:c r="AR30" s="43" t="str">
        <x:v>abramova_2024_devneur_fig2e</x:v>
      </x:c>
      <x:c r="AS30" s="43" t="str">
        <x:v>Con_f_mg</x:v>
      </x:c>
      <x:c r="AT30" s="43" t="str">
        <x:v>PS_f_mg</x:v>
      </x:c>
      <x:c r="AU30" s="43" t="str">
        <x:v>Con_PS_f_mg</x:v>
      </x:c>
      <x:c r="AV30" s="43" t="str">
        <x:v>Independent</x:v>
      </x:c>
      <x:c r="AW30" s="43" t="str">
        <x:v>No</x:v>
      </x:c>
      <x:c r="AX30" s="43" t="str">
        <x:v>Positive</x:v>
      </x:c>
      <x:c r="AY30" s="43" t="str"/>
      <x:c r="AZ30" s="43" t="str">
        <x:v>6.97</x:v>
      </x:c>
      <x:c r="BA30" s="43" t="str">
        <x:v>3.61</x:v>
      </x:c>
      <x:c r="BB30" s="43" t="str">
        <x:v>37</x:v>
      </x:c>
      <x:c r="BC30" s="43" t="str">
        <x:v>0.59</x:v>
      </x:c>
      <x:c r="BD30" s="43" t="str"/>
      <x:c r="BE30" s="43" t="str">
        <x:v>7.61</x:v>
      </x:c>
      <x:c r="BF30" s="43" t="str">
        <x:v>4.63</x:v>
      </x:c>
      <x:c r="BG30" s="43" t="str">
        <x:v>49</x:v>
      </x:c>
      <x:c r="BH30" s="43" t="str">
        <x:v>0.66</x:v>
      </x:c>
      <x:c r="BI30" s="43" t="str"/>
      <x:c r="BJ30" s="43" t="str">
        <x:v>results presented as Med (Q1; Q3)</x:v>
      </x:c>
      <x:c r="BK30" s="43" t="str"/>
      <x:c r="BL30" s="43" t="str"/>
      <x:c r="BM30" s="43" t="str"/>
      <x:c r="BN30" s="43" t="str"/>
      <x:c r="BO30" s="43" t="str"/>
      <x:c r="BP30" s="43" t="str"/>
      <x:c r="BQ30" s="43" t="str"/>
      <x:c r="BR30" s="43" t="str">
        <x:v>yes</x:v>
      </x:c>
      <x:c r="BS30" s="43" t="str">
        <x:v>minor edites to extracted text needed</x:v>
      </x:c>
      <x:c r="BT30" s="43" t="str"/>
      <x:c r="BU30" s="43" t="str"/>
      <x:c r="BV30" s="43" t="str"/>
      <x:c r="BW30" s="43" t="str">
        <x:v>0.59348</x:v>
      </x:c>
      <x:c r="BX30" s="43" t="str">
        <x:v>SD / sqrt(n); derived for analysis from the extracted SD and sample size</x:v>
      </x:c>
      <x:c r="BY30" s="43" t="str">
        <x:v>abramova_2024_devneur_fig2e; Fig. 2. e</x:v>
      </x:c>
      <x:c r="BZ30" s="43" t="str"/>
      <x:c r="CA30" s="43" t="str">
        <x:v>0.661429</x:v>
      </x:c>
      <x:c r="CB30" s="43" t="str">
        <x:v>SD / sqrt(n); derived for analysis from the extracted SD and sample size</x:v>
      </x:c>
      <x:c r="CC30" s="43" t="str">
        <x:v>abramova_2024_devneur_fig2e; Fig. 2. e</x:v>
      </x:c>
      <x:c r="CD30" s="43" t="str">
        <x:v>Verified – no change</x:v>
      </x:c>
      <x:c r="CE30" s="43" t="str"/>
      <x:c r="CF30" s="43" t="str"/>
    </x:row>
    <x:row r="31">
      <x:c r="A31" s="43" t="str">
        <x:v>31</x:v>
      </x:c>
      <x:c r="B31" s="43" t="str">
        <x:v>abramova_2024_devneur</x:v>
      </x:c>
      <x:c r="C31" s="43" t="str">
        <x:v>ex011</x:v>
      </x:c>
      <x:c r="D31" s="43" t="str">
        <x:v>con007</x:v>
      </x:c>
      <x:c r="E31" s="43" t="str">
        <x:v>out017</x:v>
      </x:c>
      <x:c r="F31" s="43" t="str">
        <x:v>es030</x:v>
      </x:c>
      <x:c r="G31" s="43" t="str">
        <x:v>No</x:v>
      </x:c>
      <x:c r="H31" s="43" t="str">
        <x:v>one control, one treatment for females and males</x:v>
      </x:c>
      <x:c r="I31" s="43" t="str">
        <x:v>Ultrasound-Induced Prenatal Stress: New Possibilities for Modeling Mental Disorders</x:v>
      </x:c>
      <x:c r="J31" s="43" t="str">
        <x:v>10.1159/000534687</x:v>
      </x:c>
      <x:c r="K31" s="43" t="str">
        <x:v>Developmental Neuroscience</x:v>
      </x:c>
      <x:c r="L31" s="43" t="str"/>
      <x:c r="M31" s="43" t="str">
        <x:v>Rattus norvegicus</x:v>
      </x:c>
      <x:c r="N31" s="43" t="str">
        <x:v>brown rat</x:v>
      </x:c>
      <x:c r="O31" s="43" t="str">
        <x:v>Wistar rat</x:v>
      </x:c>
      <x:c r="P31" s="43" t="str">
        <x:v>16</x:v>
      </x:c>
      <x:c r="Q31" s="43" t="str">
        <x:v>3 months</x:v>
      </x:c>
      <x:c r="R31" s="43" t="str">
        <x:v>early, mid, late</x:v>
      </x:c>
      <x:c r="S31" s="43" t="str">
        <x:v>permanently during the
whole period of gestation (21 days)</x:v>
      </x:c>
      <x:c r="T31" s="43" t="str">
        <x:v>21</x:v>
      </x:c>
      <x:c r="U31" s="43" t="str">
        <x:v>Continuous</x:v>
      </x:c>
      <x:c r="V31" s="43" t="str">
        <x:v>24.0</x:v>
      </x:c>
      <x:c r="W31" s="43" t="str">
        <x:v>Expossed to continuous variable frequencies </x:v>
      </x:c>
      <x:c r="X31" s="43" t="str">
        <x:v>Ultrasound</x:v>
      </x:c>
      <x:c r="Y31" s="43" t="str">
        <x:v>Ultrasound</x:v>
      </x:c>
      <x:c r="Z31" s="43" t="str">
        <x:v>50</x:v>
      </x:c>
      <x:c r="AA31" s="43" t="str">
        <x:v>20,000-45,000</x:v>
      </x:c>
      <x:c r="AB31" s="43" t="str">
        <x:v>Ambient sound</x:v>
      </x:c>
      <x:c r="AC31" s="43" t="str"/>
      <x:c r="AD31" s="43" t="str">
        <x:v>No noise, standars housing conditions</x:v>
      </x:c>
      <x:c r="AE31" s="43" t="str">
        <x:v>male</x:v>
      </x:c>
      <x:c r="AF31" s="43" t="str">
        <x:v>70</x:v>
      </x:c>
      <x:c r="AG31" s="43" t="str"/>
      <x:c r="AH31" s="43" t="str">
        <x:v>none</x:v>
      </x:c>
      <x:c r="AI31" s="43" t="str"/>
      <x:c r="AJ31" s="43" t="str">
        <x:v>Anxiety</x:v>
      </x:c>
      <x:c r="AK31" s="43" t="str">
        <x:v>Elevated Plus Maze (EPM)</x:v>
      </x:c>
      <x:c r="AL31" s="43" t="str">
        <x:v>They divided in two groups </x:v>
      </x:c>
      <x:c r="AM31" s="43" t="str">
        <x:v>Mean grooming duration</x:v>
      </x:c>
      <x:c r="AN31" s="43" t="str">
        <x:v>Time</x:v>
      </x:c>
      <x:c r="AO31" s="43" t="str">
        <x:v>s</x:v>
      </x:c>
      <x:c r="AP31" s="43" t="str">
        <x:v>Light phase</x:v>
      </x:c>
      <x:c r="AQ31" s="43" t="str">
        <x:v>Fig. 2. e</x:v>
      </x:c>
      <x:c r="AR31" s="43" t="str">
        <x:v>abramova_2024_devneur_fig2e</x:v>
      </x:c>
      <x:c r="AS31" s="43" t="str">
        <x:v>Con_m_mg</x:v>
      </x:c>
      <x:c r="AT31" s="43" t="str">
        <x:v>PS_m_mg</x:v>
      </x:c>
      <x:c r="AU31" s="43" t="str">
        <x:v>Con_PS_m_mg</x:v>
      </x:c>
      <x:c r="AV31" s="43" t="str">
        <x:v>Independent</x:v>
      </x:c>
      <x:c r="AW31" s="43" t="str">
        <x:v>No</x:v>
      </x:c>
      <x:c r="AX31" s="43" t="str">
        <x:v>Positive</x:v>
      </x:c>
      <x:c r="AY31" s="43" t="str"/>
      <x:c r="AZ31" s="43" t="str">
        <x:v>7.13</x:v>
      </x:c>
      <x:c r="BA31" s="43" t="str">
        <x:v>4.67</x:v>
      </x:c>
      <x:c r="BB31" s="43" t="str">
        <x:v>35</x:v>
      </x:c>
      <x:c r="BC31" s="43" t="str">
        <x:v>0.79</x:v>
      </x:c>
      <x:c r="BD31" s="43" t="str"/>
      <x:c r="BE31" s="43" t="str">
        <x:v>12.15</x:v>
      </x:c>
      <x:c r="BF31" s="43" t="str">
        <x:v>7.17</x:v>
      </x:c>
      <x:c r="BG31" s="43" t="str">
        <x:v>44</x:v>
      </x:c>
      <x:c r="BH31" s="43" t="str">
        <x:v>1.08</x:v>
      </x:c>
      <x:c r="BI31" s="43" t="str"/>
      <x:c r="BJ31" s="43" t="str">
        <x:v>results presented as Med (Q1; Q3)</x:v>
      </x:c>
      <x:c r="BK31" s="43" t="str"/>
      <x:c r="BL31" s="43" t="str"/>
      <x:c r="BM31" s="43" t="str"/>
      <x:c r="BN31" s="43" t="str"/>
      <x:c r="BO31" s="43" t="str"/>
      <x:c r="BP31" s="43" t="str"/>
      <x:c r="BQ31" s="43" t="str"/>
      <x:c r="BR31" s="43" t="str">
        <x:v>yes</x:v>
      </x:c>
      <x:c r="BS31" s="43" t="str">
        <x:v>minor edites to extracted text needed</x:v>
      </x:c>
      <x:c r="BT31" s="43" t="str"/>
      <x:c r="BU31" s="43" t="str"/>
      <x:c r="BV31" s="43" t="str"/>
      <x:c r="BW31" s="43" t="str">
        <x:v>0.789374</x:v>
      </x:c>
      <x:c r="BX31" s="43" t="str">
        <x:v>SD / sqrt(n); derived for analysis from the extracted SD and sample size</x:v>
      </x:c>
      <x:c r="BY31" s="43" t="str">
        <x:v>abramova_2024_devneur_fig2e; Fig. 2. e</x:v>
      </x:c>
      <x:c r="BZ31" s="43" t="str"/>
      <x:c r="CA31" s="43" t="str">
        <x:v>1.080918</x:v>
      </x:c>
      <x:c r="CB31" s="43" t="str">
        <x:v>SD / sqrt(n); derived for analysis from the extracted SD and sample size</x:v>
      </x:c>
      <x:c r="CC31" s="43" t="str">
        <x:v>abramova_2024_devneur_fig2e; Fig. 2. e</x:v>
      </x:c>
      <x:c r="CD31" s="43" t="str">
        <x:v>Verified – no change</x:v>
      </x:c>
      <x:c r="CE31" s="43" t="str"/>
      <x:c r="CF31" s="43" t="str"/>
    </x:row>
    <x:row r="32">
      <x:c r="A32" s="43" t="str">
        <x:v>32</x:v>
      </x:c>
      <x:c r="B32" s="43" t="str">
        <x:v>abramova_2024_devneur</x:v>
      </x:c>
      <x:c r="C32" s="43" t="str">
        <x:v>ex010</x:v>
      </x:c>
      <x:c r="D32" s="43" t="str">
        <x:v>con006</x:v>
      </x:c>
      <x:c r="E32" s="43" t="str">
        <x:v>out018</x:v>
      </x:c>
      <x:c r="F32" s="43" t="str">
        <x:v>es031</x:v>
      </x:c>
      <x:c r="G32" s="43" t="str">
        <x:v>No</x:v>
      </x:c>
      <x:c r="H32" s="43" t="str">
        <x:v>one control, one treatment for females and males</x:v>
      </x:c>
      <x:c r="I32" s="43" t="str">
        <x:v>Ultrasound-Induced Prenatal Stress: New Possibilities for Modeling Mental Disorders</x:v>
      </x:c>
      <x:c r="J32" s="43" t="str">
        <x:v>10.1159/000534687</x:v>
      </x:c>
      <x:c r="K32" s="43" t="str">
        <x:v>Developmental Neuroscience</x:v>
      </x:c>
      <x:c r="L32" s="43" t="str"/>
      <x:c r="M32" s="43" t="str">
        <x:v>Rattus norvegicus</x:v>
      </x:c>
      <x:c r="N32" s="43" t="str">
        <x:v>brown rat</x:v>
      </x:c>
      <x:c r="O32" s="43" t="str">
        <x:v>Wistar rat</x:v>
      </x:c>
      <x:c r="P32" s="43" t="str">
        <x:v>16</x:v>
      </x:c>
      <x:c r="Q32" s="43" t="str">
        <x:v>3 months</x:v>
      </x:c>
      <x:c r="R32" s="43" t="str">
        <x:v>early, mid, late</x:v>
      </x:c>
      <x:c r="S32" s="43" t="str">
        <x:v>permanently during the
whole period of gestation (21 days)</x:v>
      </x:c>
      <x:c r="T32" s="43" t="str">
        <x:v>21</x:v>
      </x:c>
      <x:c r="U32" s="43" t="str">
        <x:v>Continuous</x:v>
      </x:c>
      <x:c r="V32" s="43" t="str">
        <x:v>24.0</x:v>
      </x:c>
      <x:c r="W32" s="43" t="str">
        <x:v>Expossed to continuous variable frequencies </x:v>
      </x:c>
      <x:c r="X32" s="43" t="str">
        <x:v>Ultrasound</x:v>
      </x:c>
      <x:c r="Y32" s="43" t="str">
        <x:v>Ultrasound</x:v>
      </x:c>
      <x:c r="Z32" s="43" t="str">
        <x:v>50</x:v>
      </x:c>
      <x:c r="AA32" s="43" t="str">
        <x:v>20,000-45,000</x:v>
      </x:c>
      <x:c r="AB32" s="43" t="str">
        <x:v>Ambient sound</x:v>
      </x:c>
      <x:c r="AC32" s="43" t="str"/>
      <x:c r="AD32" s="43" t="str">
        <x:v>No noise, standars housing conditions</x:v>
      </x:c>
      <x:c r="AE32" s="43" t="str">
        <x:v>female</x:v>
      </x:c>
      <x:c r="AF32" s="43" t="str">
        <x:v>74</x:v>
      </x:c>
      <x:c r="AG32" s="43" t="str"/>
      <x:c r="AH32" s="43" t="str">
        <x:v>none</x:v>
      </x:c>
      <x:c r="AI32" s="43" t="str"/>
      <x:c r="AJ32" s="43" t="str">
        <x:v>Anxiety</x:v>
      </x:c>
      <x:c r="AK32" s="43" t="str">
        <x:v>Open Field Test (OFT)</x:v>
      </x:c>
      <x:c r="AL32" s="43" t="str">
        <x:v>They divided in two groups </x:v>
      </x:c>
      <x:c r="AM32" s="43" t="str">
        <x:v>Center entries (crossing)</x:v>
      </x:c>
      <x:c r="AN32" s="43" t="str">
        <x:v>Count</x:v>
      </x:c>
      <x:c r="AO32" s="43" t="str">
        <x:v>Count</x:v>
      </x:c>
      <x:c r="AP32" s="43" t="str">
        <x:v>Light phase</x:v>
      </x:c>
      <x:c r="AQ32" s="43" t="str">
        <x:v>Fig. 3. a</x:v>
      </x:c>
      <x:c r="AR32" s="43" t="str">
        <x:v>abramova_2024_devneur_fig3a</x:v>
      </x:c>
      <x:c r="AS32" s="43" t="str">
        <x:v>Con_f_ce</x:v>
      </x:c>
      <x:c r="AT32" s="43" t="str">
        <x:v>PS_f_ce</x:v>
      </x:c>
      <x:c r="AU32" s="43" t="str">
        <x:v>Con_PS_f_ce</x:v>
      </x:c>
      <x:c r="AV32" s="43" t="str">
        <x:v>Independent</x:v>
      </x:c>
      <x:c r="AW32" s="43" t="str">
        <x:v>Yes</x:v>
      </x:c>
      <x:c r="AX32" s="43" t="str">
        <x:v>Negative</x:v>
      </x:c>
      <x:c r="AY32" s="43" t="str"/>
      <x:c r="AZ32" s="43" t="str">
        <x:v>2.46</x:v>
      </x:c>
      <x:c r="BA32" s="43" t="str">
        <x:v>1.21</x:v>
      </x:c>
      <x:c r="BB32" s="43" t="str">
        <x:v>37</x:v>
      </x:c>
      <x:c r="BC32" s="43" t="str">
        <x:v>0.2</x:v>
      </x:c>
      <x:c r="BD32" s="43" t="str"/>
      <x:c r="BE32" s="43" t="str">
        <x:v>2.2</x:v>
      </x:c>
      <x:c r="BF32" s="43" t="str">
        <x:v>1.91</x:v>
      </x:c>
      <x:c r="BG32" s="43" t="str">
        <x:v>49</x:v>
      </x:c>
      <x:c r="BH32" s="43" t="str">
        <x:v>0.27</x:v>
      </x:c>
      <x:c r="BI32" s="43" t="str"/>
      <x:c r="BJ32" s="43" t="str">
        <x:v>results presented as Med (Q1; Q3)</x:v>
      </x:c>
      <x:c r="BK32" s="43" t="str"/>
      <x:c r="BL32" s="43" t="str"/>
      <x:c r="BM32" s="43" t="str"/>
      <x:c r="BN32" s="43" t="str"/>
      <x:c r="BO32" s="43" t="str"/>
      <x:c r="BP32" s="43" t="str"/>
      <x:c r="BQ32" s="43" t="str"/>
      <x:c r="BR32" s="43" t="str">
        <x:v>yes</x:v>
      </x:c>
      <x:c r="BS32" s="43" t="str">
        <x:v>minor edites to extracted text needed</x:v>
      </x:c>
      <x:c r="BT32" s="43" t="str"/>
      <x:c r="BU32" s="43" t="str"/>
      <x:c r="BV32" s="43" t="str"/>
      <x:c r="BW32" s="43" t="str">
        <x:v>0.198923</x:v>
      </x:c>
      <x:c r="BX32" s="43" t="str">
        <x:v>SD / sqrt(n); derived for analysis from the extracted SD and sample size</x:v>
      </x:c>
      <x:c r="BY32" s="43" t="str">
        <x:v>abramova_2024_devneur_fig3a; Fig. 3. a</x:v>
      </x:c>
      <x:c r="BZ32" s="43" t="str"/>
      <x:c r="CA32" s="43" t="str">
        <x:v>0.272857</x:v>
      </x:c>
      <x:c r="CB32" s="43" t="str">
        <x:v>SD / sqrt(n); derived for analysis from the extracted SD and sample size</x:v>
      </x:c>
      <x:c r="CC32" s="43" t="str">
        <x:v>abramova_2024_devneur_fig3a; Fig. 3. a</x:v>
      </x:c>
      <x:c r="CD32" s="43" t="str">
        <x:v>Verified – no change</x:v>
      </x:c>
      <x:c r="CE32" s="43" t="str"/>
      <x:c r="CF32" s="43" t="str"/>
    </x:row>
    <x:row r="33">
      <x:c r="A33" s="43" t="str">
        <x:v>33</x:v>
      </x:c>
      <x:c r="B33" s="43" t="str">
        <x:v>abramova_2024_devneur</x:v>
      </x:c>
      <x:c r="C33" s="43" t="str">
        <x:v>ex011</x:v>
      </x:c>
      <x:c r="D33" s="43" t="str">
        <x:v>con007</x:v>
      </x:c>
      <x:c r="E33" s="43" t="str">
        <x:v>out018</x:v>
      </x:c>
      <x:c r="F33" s="43" t="str">
        <x:v>es032</x:v>
      </x:c>
      <x:c r="G33" s="43" t="str">
        <x:v>No</x:v>
      </x:c>
      <x:c r="H33" s="43" t="str">
        <x:v>one control, one treatment for females and males</x:v>
      </x:c>
      <x:c r="I33" s="43" t="str">
        <x:v>Ultrasound-Induced Prenatal Stress: New Possibilities for Modeling Mental Disorders</x:v>
      </x:c>
      <x:c r="J33" s="43" t="str">
        <x:v>10.1159/000534687</x:v>
      </x:c>
      <x:c r="K33" s="43" t="str">
        <x:v>Developmental Neuroscience</x:v>
      </x:c>
      <x:c r="L33" s="43" t="str"/>
      <x:c r="M33" s="43" t="str">
        <x:v>Rattus norvegicus</x:v>
      </x:c>
      <x:c r="N33" s="43" t="str">
        <x:v>brown rat</x:v>
      </x:c>
      <x:c r="O33" s="43" t="str">
        <x:v>Wistar rat</x:v>
      </x:c>
      <x:c r="P33" s="43" t="str">
        <x:v>16</x:v>
      </x:c>
      <x:c r="Q33" s="43" t="str">
        <x:v>3 months</x:v>
      </x:c>
      <x:c r="R33" s="43" t="str">
        <x:v>early, mid, late</x:v>
      </x:c>
      <x:c r="S33" s="43" t="str">
        <x:v>permanently during the
whole period of gestation (21 days)</x:v>
      </x:c>
      <x:c r="T33" s="43" t="str">
        <x:v>21</x:v>
      </x:c>
      <x:c r="U33" s="43" t="str">
        <x:v>Continuous</x:v>
      </x:c>
      <x:c r="V33" s="43" t="str">
        <x:v>24.0</x:v>
      </x:c>
      <x:c r="W33" s="43" t="str">
        <x:v>Expossed to continuous variable frequencies </x:v>
      </x:c>
      <x:c r="X33" s="43" t="str">
        <x:v>Ultrasound</x:v>
      </x:c>
      <x:c r="Y33" s="43" t="str">
        <x:v>Ultrasound</x:v>
      </x:c>
      <x:c r="Z33" s="43" t="str">
        <x:v>50</x:v>
      </x:c>
      <x:c r="AA33" s="43" t="str">
        <x:v>20,000-45,000</x:v>
      </x:c>
      <x:c r="AB33" s="43" t="str">
        <x:v>Ambient sound</x:v>
      </x:c>
      <x:c r="AC33" s="43" t="str"/>
      <x:c r="AD33" s="43" t="str">
        <x:v>No noise, standars housing conditions</x:v>
      </x:c>
      <x:c r="AE33" s="43" t="str">
        <x:v>male</x:v>
      </x:c>
      <x:c r="AF33" s="43" t="str">
        <x:v>74</x:v>
      </x:c>
      <x:c r="AG33" s="43" t="str"/>
      <x:c r="AH33" s="43" t="str">
        <x:v>none</x:v>
      </x:c>
      <x:c r="AI33" s="43" t="str"/>
      <x:c r="AJ33" s="43" t="str">
        <x:v>Anxiety</x:v>
      </x:c>
      <x:c r="AK33" s="43" t="str">
        <x:v>Open Field Test (OFT)</x:v>
      </x:c>
      <x:c r="AL33" s="43" t="str">
        <x:v>They divided in two groups </x:v>
      </x:c>
      <x:c r="AM33" s="43" t="str">
        <x:v>Center entries (crossing)</x:v>
      </x:c>
      <x:c r="AN33" s="43" t="str">
        <x:v>Count</x:v>
      </x:c>
      <x:c r="AO33" s="43" t="str">
        <x:v>Count</x:v>
      </x:c>
      <x:c r="AP33" s="43" t="str">
        <x:v>Light phase</x:v>
      </x:c>
      <x:c r="AQ33" s="43" t="str">
        <x:v>Fig. 3. a</x:v>
      </x:c>
      <x:c r="AR33" s="43" t="str">
        <x:v>abramova_2024_devneur_fig3a</x:v>
      </x:c>
      <x:c r="AS33" s="43" t="str">
        <x:v>Con_m_ce</x:v>
      </x:c>
      <x:c r="AT33" s="43" t="str">
        <x:v>PS_m_ce</x:v>
      </x:c>
      <x:c r="AU33" s="43" t="str">
        <x:v>Con_PS_m_ce</x:v>
      </x:c>
      <x:c r="AV33" s="43" t="str">
        <x:v>Independent</x:v>
      </x:c>
      <x:c r="AW33" s="43" t="str">
        <x:v>Yes</x:v>
      </x:c>
      <x:c r="AX33" s="43" t="str">
        <x:v>Negative</x:v>
      </x:c>
      <x:c r="AY33" s="43" t="str"/>
      <x:c r="AZ33" s="43" t="str">
        <x:v>2.87</x:v>
      </x:c>
      <x:c r="BA33" s="43" t="str">
        <x:v>1.49</x:v>
      </x:c>
      <x:c r="BB33" s="43" t="str">
        <x:v>35</x:v>
      </x:c>
      <x:c r="BC33" s="43" t="str">
        <x:v>0.25</x:v>
      </x:c>
      <x:c r="BD33" s="43" t="str"/>
      <x:c r="BE33" s="43" t="str">
        <x:v>1.48</x:v>
      </x:c>
      <x:c r="BF33" s="43" t="str">
        <x:v>1.35</x:v>
      </x:c>
      <x:c r="BG33" s="43" t="str">
        <x:v>44</x:v>
      </x:c>
      <x:c r="BH33" s="43" t="str">
        <x:v>0.2</x:v>
      </x:c>
      <x:c r="BI33" s="43" t="str"/>
      <x:c r="BJ33" s="43" t="str">
        <x:v>results presented as Med (Q1; Q3)</x:v>
      </x:c>
      <x:c r="BK33" s="43" t="str"/>
      <x:c r="BL33" s="43" t="str"/>
      <x:c r="BM33" s="43" t="str"/>
      <x:c r="BN33" s="43" t="str"/>
      <x:c r="BO33" s="43" t="str"/>
      <x:c r="BP33" s="43" t="str"/>
      <x:c r="BQ33" s="43" t="str"/>
      <x:c r="BR33" s="43" t="str">
        <x:v>yes</x:v>
      </x:c>
      <x:c r="BS33" s="43" t="str">
        <x:v>minor edites to extracted text needed</x:v>
      </x:c>
      <x:c r="BT33" s="43" t="str"/>
      <x:c r="BU33" s="43" t="str"/>
      <x:c r="BV33" s="43" t="str"/>
      <x:c r="BW33" s="43" t="str">
        <x:v>0.251856</x:v>
      </x:c>
      <x:c r="BX33" s="43" t="str">
        <x:v>SD / sqrt(n); derived for analysis from the extracted SD and sample size</x:v>
      </x:c>
      <x:c r="BY33" s="43" t="str">
        <x:v>abramova_2024_devneur_fig3a; Fig. 3. a</x:v>
      </x:c>
      <x:c r="BZ33" s="43" t="str"/>
      <x:c r="CA33" s="43" t="str">
        <x:v>0.20352</x:v>
      </x:c>
      <x:c r="CB33" s="43" t="str">
        <x:v>SD / sqrt(n); derived for analysis from the extracted SD and sample size</x:v>
      </x:c>
      <x:c r="CC33" s="43" t="str">
        <x:v>abramova_2024_devneur_fig3a; Fig. 3. a</x:v>
      </x:c>
      <x:c r="CD33" s="43" t="str">
        <x:v>Verified – no change</x:v>
      </x:c>
      <x:c r="CE33" s="43" t="str"/>
      <x:c r="CF33" s="43" t="str"/>
    </x:row>
    <x:row r="34">
      <x:c r="A34" s="43" t="str">
        <x:v>34</x:v>
      </x:c>
      <x:c r="B34" s="43" t="str">
        <x:v>abramova_2024_devneur</x:v>
      </x:c>
      <x:c r="C34" s="43" t="str">
        <x:v>ex010</x:v>
      </x:c>
      <x:c r="D34" s="43" t="str">
        <x:v>con006</x:v>
      </x:c>
      <x:c r="E34" s="43" t="str">
        <x:v>out019</x:v>
      </x:c>
      <x:c r="F34" s="43" t="str">
        <x:v>es033</x:v>
      </x:c>
      <x:c r="G34" s="43" t="str">
        <x:v>No</x:v>
      </x:c>
      <x:c r="H34" s="43" t="str">
        <x:v>one control, one treatment for females and males</x:v>
      </x:c>
      <x:c r="I34" s="43" t="str">
        <x:v>Ultrasound-Induced Prenatal Stress: New Possibilities for Modeling Mental Disorders</x:v>
      </x:c>
      <x:c r="J34" s="43" t="str">
        <x:v>10.1159/000534687</x:v>
      </x:c>
      <x:c r="K34" s="43" t="str">
        <x:v>Developmental Neuroscience</x:v>
      </x:c>
      <x:c r="L34" s="43" t="str"/>
      <x:c r="M34" s="43" t="str">
        <x:v>Rattus norvegicus</x:v>
      </x:c>
      <x:c r="N34" s="43" t="str">
        <x:v>brown rat</x:v>
      </x:c>
      <x:c r="O34" s="43" t="str">
        <x:v>Wistar rat</x:v>
      </x:c>
      <x:c r="P34" s="43" t="str">
        <x:v>16</x:v>
      </x:c>
      <x:c r="Q34" s="43" t="str">
        <x:v>3 months</x:v>
      </x:c>
      <x:c r="R34" s="43" t="str">
        <x:v>early, mid, late</x:v>
      </x:c>
      <x:c r="S34" s="43" t="str">
        <x:v>permanently during the
whole period of gestation (21 days)</x:v>
      </x:c>
      <x:c r="T34" s="43" t="str">
        <x:v>21</x:v>
      </x:c>
      <x:c r="U34" s="43" t="str">
        <x:v>Continuous</x:v>
      </x:c>
      <x:c r="V34" s="43" t="str">
        <x:v>24.0</x:v>
      </x:c>
      <x:c r="W34" s="43" t="str">
        <x:v>Expossed to continuous variable frequencies </x:v>
      </x:c>
      <x:c r="X34" s="43" t="str">
        <x:v>Ultrasound</x:v>
      </x:c>
      <x:c r="Y34" s="43" t="str">
        <x:v>Ultrasound</x:v>
      </x:c>
      <x:c r="Z34" s="43" t="str">
        <x:v>50</x:v>
      </x:c>
      <x:c r="AA34" s="43" t="str">
        <x:v>20,000-45,000</x:v>
      </x:c>
      <x:c r="AB34" s="43" t="str">
        <x:v>Ambient sound</x:v>
      </x:c>
      <x:c r="AC34" s="43" t="str"/>
      <x:c r="AD34" s="43" t="str">
        <x:v>No noise, standars housing conditions</x:v>
      </x:c>
      <x:c r="AE34" s="43" t="str">
        <x:v>female</x:v>
      </x:c>
      <x:c r="AF34" s="43" t="str">
        <x:v>74</x:v>
      </x:c>
      <x:c r="AG34" s="43" t="str"/>
      <x:c r="AH34" s="43" t="str">
        <x:v>none</x:v>
      </x:c>
      <x:c r="AI34" s="43" t="str"/>
      <x:c r="AJ34" s="43" t="str">
        <x:v>Anxiety</x:v>
      </x:c>
      <x:c r="AK34" s="43" t="str">
        <x:v>Open Field Test (OFT)</x:v>
      </x:c>
      <x:c r="AL34" s="43" t="str">
        <x:v>They divided in two groups </x:v>
      </x:c>
      <x:c r="AM34" s="43" t="str">
        <x:v>Rearing frequency</x:v>
      </x:c>
      <x:c r="AN34" s="43" t="str">
        <x:v>Count</x:v>
      </x:c>
      <x:c r="AO34" s="43" t="str">
        <x:v>Count</x:v>
      </x:c>
      <x:c r="AP34" s="43" t="str">
        <x:v>Light phase</x:v>
      </x:c>
      <x:c r="AQ34" s="43" t="str">
        <x:v>Fig. 3. c</x:v>
      </x:c>
      <x:c r="AR34" s="43" t="str">
        <x:v>abramova_2024_devneur_fig3b</x:v>
      </x:c>
      <x:c r="AS34" s="43" t="str">
        <x:v>Con_f_re</x:v>
      </x:c>
      <x:c r="AT34" s="43" t="str">
        <x:v>PS_f_re</x:v>
      </x:c>
      <x:c r="AU34" s="43" t="str">
        <x:v>Con_PS_f_re</x:v>
      </x:c>
      <x:c r="AV34" s="43" t="str">
        <x:v>Independent</x:v>
      </x:c>
      <x:c r="AW34" s="43" t="str">
        <x:v>Yes</x:v>
      </x:c>
      <x:c r="AX34" s="43" t="str">
        <x:v>Negative</x:v>
      </x:c>
      <x:c r="AY34" s="43" t="str"/>
      <x:c r="AZ34" s="43" t="str">
        <x:v>21.48</x:v>
      </x:c>
      <x:c r="BA34" s="43" t="str">
        <x:v>5.57</x:v>
      </x:c>
      <x:c r="BB34" s="43" t="str">
        <x:v>37</x:v>
      </x:c>
      <x:c r="BC34" s="43" t="str">
        <x:v>0.92</x:v>
      </x:c>
      <x:c r="BD34" s="43" t="str"/>
      <x:c r="BE34" s="43" t="str">
        <x:v>23.44</x:v>
      </x:c>
      <x:c r="BF34" s="43" t="str">
        <x:v>10.99</x:v>
      </x:c>
      <x:c r="BG34" s="43" t="str">
        <x:v>49</x:v>
      </x:c>
      <x:c r="BH34" s="43" t="str">
        <x:v>1.57</x:v>
      </x:c>
      <x:c r="BI34" s="43" t="str"/>
      <x:c r="BJ34" s="43" t="str">
        <x:v>results presented as Med (Q1; Q3)</x:v>
      </x:c>
      <x:c r="BK34" s="43" t="str"/>
      <x:c r="BL34" s="43" t="str"/>
      <x:c r="BM34" s="43" t="str"/>
      <x:c r="BN34" s="43" t="str"/>
      <x:c r="BO34" s="43" t="str"/>
      <x:c r="BP34" s="43" t="str"/>
      <x:c r="BQ34" s="43" t="str"/>
      <x:c r="BR34" s="43" t="str">
        <x:v>yes</x:v>
      </x:c>
      <x:c r="BS34" s="43" t="str">
        <x:v>minor edites to extracted text needed</x:v>
      </x:c>
      <x:c r="BT34" s="43" t="str"/>
      <x:c r="BU34" s="43" t="str"/>
      <x:c r="BV34" s="43" t="str"/>
      <x:c r="BW34" s="43" t="str">
        <x:v>0.915702</x:v>
      </x:c>
      <x:c r="BX34" s="43" t="str">
        <x:v>SD / sqrt(n); derived for analysis from the extracted SD and sample size</x:v>
      </x:c>
      <x:c r="BY34" s="43" t="str">
        <x:v>abramova_2024_devneur_fig3b; Fig. 3. c</x:v>
      </x:c>
      <x:c r="BZ34" s="43" t="str"/>
      <x:c r="CA34" s="43" t="str">
        <x:v>1.57</x:v>
      </x:c>
      <x:c r="CB34" s="43" t="str">
        <x:v>SD / sqrt(n); derived for analysis from the extracted SD and sample size</x:v>
      </x:c>
      <x:c r="CC34" s="43" t="str">
        <x:v>abramova_2024_devneur_fig3b; Fig. 3. c</x:v>
      </x:c>
      <x:c r="CD34" s="43" t="str">
        <x:v>Verified – no change</x:v>
      </x:c>
      <x:c r="CE34" s="43" t="str"/>
      <x:c r="CF34" s="43" t="str"/>
    </x:row>
    <x:row r="35">
      <x:c r="A35" s="43" t="str">
        <x:v>35</x:v>
      </x:c>
      <x:c r="B35" s="43" t="str">
        <x:v>abramova_2024_devneur</x:v>
      </x:c>
      <x:c r="C35" s="43" t="str">
        <x:v>ex011</x:v>
      </x:c>
      <x:c r="D35" s="43" t="str">
        <x:v>con007</x:v>
      </x:c>
      <x:c r="E35" s="43" t="str">
        <x:v>out019</x:v>
      </x:c>
      <x:c r="F35" s="43" t="str">
        <x:v>es034</x:v>
      </x:c>
      <x:c r="G35" s="43" t="str">
        <x:v>No</x:v>
      </x:c>
      <x:c r="H35" s="43" t="str">
        <x:v>one control, one treatment for females and males</x:v>
      </x:c>
      <x:c r="I35" s="43" t="str">
        <x:v>Ultrasound-Induced Prenatal Stress: New Possibilities for Modeling Mental Disorders</x:v>
      </x:c>
      <x:c r="J35" s="43" t="str">
        <x:v>10.1159/000534687</x:v>
      </x:c>
      <x:c r="K35" s="43" t="str">
        <x:v>Developmental Neuroscience</x:v>
      </x:c>
      <x:c r="L35" s="43" t="str"/>
      <x:c r="M35" s="43" t="str">
        <x:v>Rattus norvegicus</x:v>
      </x:c>
      <x:c r="N35" s="43" t="str">
        <x:v>brown rat</x:v>
      </x:c>
      <x:c r="O35" s="43" t="str">
        <x:v>Wistar rat</x:v>
      </x:c>
      <x:c r="P35" s="43" t="str">
        <x:v>16</x:v>
      </x:c>
      <x:c r="Q35" s="43" t="str">
        <x:v>3 months</x:v>
      </x:c>
      <x:c r="R35" s="43" t="str">
        <x:v>early, mid, late</x:v>
      </x:c>
      <x:c r="S35" s="43" t="str">
        <x:v>permanently during the
whole period of gestation (21 days)</x:v>
      </x:c>
      <x:c r="T35" s="43" t="str">
        <x:v>21</x:v>
      </x:c>
      <x:c r="U35" s="43" t="str">
        <x:v>Continuous</x:v>
      </x:c>
      <x:c r="V35" s="43" t="str">
        <x:v>24.0</x:v>
      </x:c>
      <x:c r="W35" s="43" t="str">
        <x:v>Expossed to continuous variable frequencies </x:v>
      </x:c>
      <x:c r="X35" s="43" t="str">
        <x:v>Ultrasound</x:v>
      </x:c>
      <x:c r="Y35" s="43" t="str">
        <x:v>Ultrasound</x:v>
      </x:c>
      <x:c r="Z35" s="43" t="str">
        <x:v>50</x:v>
      </x:c>
      <x:c r="AA35" s="43" t="str">
        <x:v>20,000-45,000</x:v>
      </x:c>
      <x:c r="AB35" s="43" t="str">
        <x:v>Ambient sound</x:v>
      </x:c>
      <x:c r="AC35" s="43" t="str"/>
      <x:c r="AD35" s="43" t="str">
        <x:v>No noise, standars housing conditions</x:v>
      </x:c>
      <x:c r="AE35" s="43" t="str">
        <x:v>male</x:v>
      </x:c>
      <x:c r="AF35" s="43" t="str">
        <x:v>74</x:v>
      </x:c>
      <x:c r="AG35" s="43" t="str"/>
      <x:c r="AH35" s="43" t="str">
        <x:v>none</x:v>
      </x:c>
      <x:c r="AI35" s="43" t="str"/>
      <x:c r="AJ35" s="43" t="str">
        <x:v>Anxiety</x:v>
      </x:c>
      <x:c r="AK35" s="43" t="str">
        <x:v>Open Field Test (OFT)</x:v>
      </x:c>
      <x:c r="AL35" s="43" t="str">
        <x:v>They divided in two groups </x:v>
      </x:c>
      <x:c r="AM35" s="43" t="str">
        <x:v>Rearing frequency</x:v>
      </x:c>
      <x:c r="AN35" s="43" t="str">
        <x:v>Count</x:v>
      </x:c>
      <x:c r="AO35" s="43" t="str">
        <x:v>Count</x:v>
      </x:c>
      <x:c r="AP35" s="43" t="str">
        <x:v>Light phase</x:v>
      </x:c>
      <x:c r="AQ35" s="43" t="str">
        <x:v>Fig. 3. c</x:v>
      </x:c>
      <x:c r="AR35" s="43" t="str">
        <x:v>abramova_2024_devneur_fig3b</x:v>
      </x:c>
      <x:c r="AS35" s="43" t="str">
        <x:v>Con_m_re</x:v>
      </x:c>
      <x:c r="AT35" s="43" t="str">
        <x:v>PS_m_re</x:v>
      </x:c>
      <x:c r="AU35" s="43" t="str">
        <x:v>Con_PS_m_re</x:v>
      </x:c>
      <x:c r="AV35" s="43" t="str">
        <x:v>Independent</x:v>
      </x:c>
      <x:c r="AW35" s="43" t="str">
        <x:v>Yes</x:v>
      </x:c>
      <x:c r="AX35" s="43" t="str">
        <x:v>Negative</x:v>
      </x:c>
      <x:c r="AY35" s="43" t="str"/>
      <x:c r="AZ35" s="43" t="str">
        <x:v>21.46</x:v>
      </x:c>
      <x:c r="BA35" s="43" t="str">
        <x:v>9.73</x:v>
      </x:c>
      <x:c r="BB35" s="43" t="str">
        <x:v>35</x:v>
      </x:c>
      <x:c r="BC35" s="43" t="str">
        <x:v>1.64</x:v>
      </x:c>
      <x:c r="BD35" s="43" t="str"/>
      <x:c r="BE35" s="43" t="str">
        <x:v>15.37</x:v>
      </x:c>
      <x:c r="BF35" s="43" t="str">
        <x:v>8.01</x:v>
      </x:c>
      <x:c r="BG35" s="43" t="str">
        <x:v>44</x:v>
      </x:c>
      <x:c r="BH35" s="43" t="str">
        <x:v>1.21</x:v>
      </x:c>
      <x:c r="BI35" s="43" t="str"/>
      <x:c r="BJ35" s="43" t="str">
        <x:v>results presented as Med (Q1; Q3)</x:v>
      </x:c>
      <x:c r="BK35" s="43" t="str"/>
      <x:c r="BL35" s="43" t="str"/>
      <x:c r="BM35" s="43" t="str"/>
      <x:c r="BN35" s="43" t="str"/>
      <x:c r="BO35" s="43" t="str"/>
      <x:c r="BP35" s="43" t="str"/>
      <x:c r="BQ35" s="43" t="str"/>
      <x:c r="BR35" s="43" t="str">
        <x:v>yes</x:v>
      </x:c>
      <x:c r="BS35" s="43" t="str">
        <x:v>minor edites to extracted text needed</x:v>
      </x:c>
      <x:c r="BT35" s="43" t="str"/>
      <x:c r="BU35" s="43" t="str"/>
      <x:c r="BV35" s="43" t="str"/>
      <x:c r="BW35" s="43" t="str">
        <x:v>1.64467</x:v>
      </x:c>
      <x:c r="BX35" s="43" t="str">
        <x:v>SD / sqrt(n); derived for analysis from the extracted SD and sample size</x:v>
      </x:c>
      <x:c r="BY35" s="43" t="str">
        <x:v>abramova_2024_devneur_fig3b; Fig. 3. c</x:v>
      </x:c>
      <x:c r="BZ35" s="43" t="str"/>
      <x:c r="CA35" s="43" t="str">
        <x:v>1.207553</x:v>
      </x:c>
      <x:c r="CB35" s="43" t="str">
        <x:v>SD / sqrt(n); derived for analysis from the extracted SD and sample size</x:v>
      </x:c>
      <x:c r="CC35" s="43" t="str">
        <x:v>abramova_2024_devneur_fig3b; Fig. 3. c</x:v>
      </x:c>
      <x:c r="CD35" s="43" t="str">
        <x:v>Verified – no change</x:v>
      </x:c>
      <x:c r="CE35" s="43" t="str"/>
      <x:c r="CF35" s="43" t="str"/>
    </x:row>
    <x:row r="36">
      <x:c r="A36" s="43" t="str">
        <x:v>36</x:v>
      </x:c>
      <x:c r="B36" s="43" t="str">
        <x:v>abramova_2024_devneur</x:v>
      </x:c>
      <x:c r="C36" s="43" t="str">
        <x:v>ex010</x:v>
      </x:c>
      <x:c r="D36" s="43" t="str">
        <x:v>con006</x:v>
      </x:c>
      <x:c r="E36" s="43" t="str">
        <x:v>out020</x:v>
      </x:c>
      <x:c r="F36" s="43" t="str">
        <x:v>es035</x:v>
      </x:c>
      <x:c r="G36" s="43" t="str">
        <x:v>No</x:v>
      </x:c>
      <x:c r="H36" s="43" t="str">
        <x:v>one control, one treatment for females and males</x:v>
      </x:c>
      <x:c r="I36" s="43" t="str">
        <x:v>Ultrasound-Induced Prenatal Stress: New Possibilities for Modeling Mental Disorders</x:v>
      </x:c>
      <x:c r="J36" s="43" t="str">
        <x:v>10.1159/000534687</x:v>
      </x:c>
      <x:c r="K36" s="43" t="str">
        <x:v>Developmental Neuroscience</x:v>
      </x:c>
      <x:c r="L36" s="43" t="str"/>
      <x:c r="M36" s="43" t="str">
        <x:v>Rattus norvegicus</x:v>
      </x:c>
      <x:c r="N36" s="43" t="str">
        <x:v>brown rat</x:v>
      </x:c>
      <x:c r="O36" s="43" t="str">
        <x:v>Wistar rat</x:v>
      </x:c>
      <x:c r="P36" s="43" t="str">
        <x:v>16</x:v>
      </x:c>
      <x:c r="Q36" s="43" t="str">
        <x:v>3 months</x:v>
      </x:c>
      <x:c r="R36" s="43" t="str">
        <x:v>early, mid, late</x:v>
      </x:c>
      <x:c r="S36" s="43" t="str">
        <x:v>permanently during the
whole period of gestation (21 days)</x:v>
      </x:c>
      <x:c r="T36" s="43" t="str">
        <x:v>21</x:v>
      </x:c>
      <x:c r="U36" s="43" t="str">
        <x:v>Continuous</x:v>
      </x:c>
      <x:c r="V36" s="43" t="str">
        <x:v>24.0</x:v>
      </x:c>
      <x:c r="W36" s="43" t="str">
        <x:v>Expossed to continuous variable frequencies </x:v>
      </x:c>
      <x:c r="X36" s="43" t="str">
        <x:v>Ultrasound</x:v>
      </x:c>
      <x:c r="Y36" s="43" t="str">
        <x:v>Ultrasound</x:v>
      </x:c>
      <x:c r="Z36" s="43" t="str">
        <x:v>50</x:v>
      </x:c>
      <x:c r="AA36" s="43" t="str">
        <x:v>20,000-45,000</x:v>
      </x:c>
      <x:c r="AB36" s="43" t="str">
        <x:v>Ambient sound</x:v>
      </x:c>
      <x:c r="AC36" s="43" t="str"/>
      <x:c r="AD36" s="43" t="str">
        <x:v>No noise, standars housing conditions</x:v>
      </x:c>
      <x:c r="AE36" s="43" t="str">
        <x:v>female</x:v>
      </x:c>
      <x:c r="AF36" s="43" t="str">
        <x:v>74</x:v>
      </x:c>
      <x:c r="AG36" s="43" t="str"/>
      <x:c r="AH36" s="43" t="str">
        <x:v>none</x:v>
      </x:c>
      <x:c r="AI36" s="43" t="str"/>
      <x:c r="AJ36" s="43" t="str">
        <x:v>Anxiety</x:v>
      </x:c>
      <x:c r="AK36" s="43" t="str">
        <x:v>Open Field Test (OFT)</x:v>
      </x:c>
      <x:c r="AL36" s="43" t="str">
        <x:v>They divided in two groups </x:v>
      </x:c>
      <x:c r="AM36" s="43" t="str">
        <x:v>Sections crossed</x:v>
      </x:c>
      <x:c r="AN36" s="43" t="str">
        <x:v>Count</x:v>
      </x:c>
      <x:c r="AO36" s="43" t="str">
        <x:v>Count</x:v>
      </x:c>
      <x:c r="AP36" s="43" t="str">
        <x:v>Light phase</x:v>
      </x:c>
      <x:c r="AQ36" s="43" t="str">
        <x:v>Fig. 3. b</x:v>
      </x:c>
      <x:c r="AR36" s="43" t="str">
        <x:v>abramova_2024_devneur_fig3c</x:v>
      </x:c>
      <x:c r="AS36" s="43" t="str">
        <x:v>Con_f_cs</x:v>
      </x:c>
      <x:c r="AT36" s="43" t="str">
        <x:v>PS_f_cs</x:v>
      </x:c>
      <x:c r="AU36" s="43" t="str">
        <x:v>Con_PS_f_cs</x:v>
      </x:c>
      <x:c r="AV36" s="43" t="str">
        <x:v>Independent</x:v>
      </x:c>
      <x:c r="AW36" s="43" t="str">
        <x:v>Yes</x:v>
      </x:c>
      <x:c r="AX36" s="43" t="str">
        <x:v>Negative</x:v>
      </x:c>
      <x:c r="AY36" s="43" t="str"/>
      <x:c r="AZ36" s="43" t="str">
        <x:v>50.7</x:v>
      </x:c>
      <x:c r="BA36" s="43" t="str">
        <x:v>14.38</x:v>
      </x:c>
      <x:c r="BB36" s="43" t="str">
        <x:v>37</x:v>
      </x:c>
      <x:c r="BC36" s="43" t="str">
        <x:v>2.36</x:v>
      </x:c>
      <x:c r="BD36" s="43" t="str"/>
      <x:c r="BE36" s="43" t="str">
        <x:v>44.22</x:v>
      </x:c>
      <x:c r="BF36" s="43" t="str">
        <x:v>17.61</x:v>
      </x:c>
      <x:c r="BG36" s="43" t="str">
        <x:v>49</x:v>
      </x:c>
      <x:c r="BH36" s="43" t="str">
        <x:v>2.52</x:v>
      </x:c>
      <x:c r="BI36" s="43" t="str"/>
      <x:c r="BJ36" s="43" t="str">
        <x:v>results presented as Med (Q1; Q3)</x:v>
      </x:c>
      <x:c r="BK36" s="43" t="str"/>
      <x:c r="BL36" s="43" t="str"/>
      <x:c r="BM36" s="43" t="str"/>
      <x:c r="BN36" s="43" t="str"/>
      <x:c r="BO36" s="43" t="str"/>
      <x:c r="BP36" s="43" t="str"/>
      <x:c r="BQ36" s="43" t="str"/>
      <x:c r="BR36" s="43" t="str">
        <x:v>yes</x:v>
      </x:c>
      <x:c r="BS36" s="43" t="str">
        <x:v>minor edites to extracted text needed</x:v>
      </x:c>
      <x:c r="BT36" s="43" t="str"/>
      <x:c r="BU36" s="43" t="str"/>
      <x:c r="BV36" s="43" t="str"/>
      <x:c r="BW36" s="43" t="str">
        <x:v>2.364057</x:v>
      </x:c>
      <x:c r="BX36" s="43" t="str">
        <x:v>SD / sqrt(n); derived for analysis from the extracted SD and sample size</x:v>
      </x:c>
      <x:c r="BY36" s="43" t="str">
        <x:v>abramova_2024_devneur_fig3c; Fig. 3. b</x:v>
      </x:c>
      <x:c r="BZ36" s="43" t="str"/>
      <x:c r="CA36" s="43" t="str">
        <x:v>2.515714</x:v>
      </x:c>
      <x:c r="CB36" s="43" t="str">
        <x:v>SD / sqrt(n); derived for analysis from the extracted SD and sample size</x:v>
      </x:c>
      <x:c r="CC36" s="43" t="str">
        <x:v>abramova_2024_devneur_fig3c; Fig. 3. b</x:v>
      </x:c>
      <x:c r="CD36" s="43" t="str">
        <x:v>Verified – no change</x:v>
      </x:c>
      <x:c r="CE36" s="43" t="str"/>
      <x:c r="CF36" s="43" t="str"/>
    </x:row>
    <x:row r="37">
      <x:c r="A37" s="43" t="str">
        <x:v>37</x:v>
      </x:c>
      <x:c r="B37" s="43" t="str">
        <x:v>abramova_2024_devneur</x:v>
      </x:c>
      <x:c r="C37" s="43" t="str">
        <x:v>ex011</x:v>
      </x:c>
      <x:c r="D37" s="43" t="str">
        <x:v>con007</x:v>
      </x:c>
      <x:c r="E37" s="43" t="str">
        <x:v>out020</x:v>
      </x:c>
      <x:c r="F37" s="43" t="str">
        <x:v>es036</x:v>
      </x:c>
      <x:c r="G37" s="43" t="str">
        <x:v>No</x:v>
      </x:c>
      <x:c r="H37" s="43" t="str">
        <x:v>one control, one treatment for females and males</x:v>
      </x:c>
      <x:c r="I37" s="43" t="str">
        <x:v>Ultrasound-Induced Prenatal Stress: New Possibilities for Modeling Mental Disorders</x:v>
      </x:c>
      <x:c r="J37" s="43" t="str">
        <x:v>10.1159/000534687</x:v>
      </x:c>
      <x:c r="K37" s="43" t="str">
        <x:v>Developmental Neuroscience</x:v>
      </x:c>
      <x:c r="L37" s="43" t="str"/>
      <x:c r="M37" s="43" t="str">
        <x:v>Rattus norvegicus</x:v>
      </x:c>
      <x:c r="N37" s="43" t="str">
        <x:v>brown rat</x:v>
      </x:c>
      <x:c r="O37" s="43" t="str">
        <x:v>Wistar rat</x:v>
      </x:c>
      <x:c r="P37" s="43" t="str">
        <x:v>16</x:v>
      </x:c>
      <x:c r="Q37" s="43" t="str">
        <x:v>3 months</x:v>
      </x:c>
      <x:c r="R37" s="43" t="str">
        <x:v>early, mid, late</x:v>
      </x:c>
      <x:c r="S37" s="43" t="str">
        <x:v>permanently during the
whole period of gestation (21 days)</x:v>
      </x:c>
      <x:c r="T37" s="43" t="str">
        <x:v>21</x:v>
      </x:c>
      <x:c r="U37" s="43" t="str">
        <x:v>Continuous</x:v>
      </x:c>
      <x:c r="V37" s="43" t="str">
        <x:v>24.0</x:v>
      </x:c>
      <x:c r="W37" s="43" t="str">
        <x:v>Expossed to continuous variable frequencies </x:v>
      </x:c>
      <x:c r="X37" s="43" t="str">
        <x:v>Ultrasound</x:v>
      </x:c>
      <x:c r="Y37" s="43" t="str">
        <x:v>Ultrasound</x:v>
      </x:c>
      <x:c r="Z37" s="43" t="str">
        <x:v>50</x:v>
      </x:c>
      <x:c r="AA37" s="43" t="str">
        <x:v>20,000-45,000</x:v>
      </x:c>
      <x:c r="AB37" s="43" t="str">
        <x:v>Ambient sound</x:v>
      </x:c>
      <x:c r="AC37" s="43" t="str"/>
      <x:c r="AD37" s="43" t="str">
        <x:v>No noise, standars housing conditions</x:v>
      </x:c>
      <x:c r="AE37" s="43" t="str">
        <x:v>male</x:v>
      </x:c>
      <x:c r="AF37" s="43" t="str">
        <x:v>74</x:v>
      </x:c>
      <x:c r="AG37" s="43" t="str"/>
      <x:c r="AH37" s="43" t="str">
        <x:v>none</x:v>
      </x:c>
      <x:c r="AI37" s="43" t="str"/>
      <x:c r="AJ37" s="43" t="str">
        <x:v>Anxiety</x:v>
      </x:c>
      <x:c r="AK37" s="43" t="str">
        <x:v>Open Field Test (OFT)</x:v>
      </x:c>
      <x:c r="AL37" s="43" t="str">
        <x:v>They divided in two groups </x:v>
      </x:c>
      <x:c r="AM37" s="43" t="str">
        <x:v>Sections crossed</x:v>
      </x:c>
      <x:c r="AN37" s="43" t="str">
        <x:v>Count</x:v>
      </x:c>
      <x:c r="AO37" s="43" t="str">
        <x:v>Count</x:v>
      </x:c>
      <x:c r="AP37" s="43" t="str">
        <x:v>Light phase</x:v>
      </x:c>
      <x:c r="AQ37" s="43" t="str">
        <x:v>Fig. 3. b</x:v>
      </x:c>
      <x:c r="AR37" s="43" t="str">
        <x:v>abramova_2024_devneur_fig3c</x:v>
      </x:c>
      <x:c r="AS37" s="43" t="str">
        <x:v>Con_m_cs</x:v>
      </x:c>
      <x:c r="AT37" s="43" t="str">
        <x:v>PS_m_cs</x:v>
      </x:c>
      <x:c r="AU37" s="43" t="str">
        <x:v>Con_PS_m_cs</x:v>
      </x:c>
      <x:c r="AV37" s="43" t="str">
        <x:v>Independent</x:v>
      </x:c>
      <x:c r="AW37" s="43" t="str">
        <x:v>Yes</x:v>
      </x:c>
      <x:c r="AX37" s="43" t="str">
        <x:v>Negative</x:v>
      </x:c>
      <x:c r="AY37" s="43" t="str"/>
      <x:c r="AZ37" s="43" t="str">
        <x:v>45.52</x:v>
      </x:c>
      <x:c r="BA37" s="43" t="str">
        <x:v>13.15</x:v>
      </x:c>
      <x:c r="BB37" s="43" t="str">
        <x:v>35</x:v>
      </x:c>
      <x:c r="BC37" s="43" t="str">
        <x:v>2.22</x:v>
      </x:c>
      <x:c r="BD37" s="43" t="str"/>
      <x:c r="BE37" s="43" t="str">
        <x:v>32.55</x:v>
      </x:c>
      <x:c r="BF37" s="43" t="str">
        <x:v>13.67</x:v>
      </x:c>
      <x:c r="BG37" s="43" t="str">
        <x:v>44</x:v>
      </x:c>
      <x:c r="BH37" s="43" t="str">
        <x:v>2.06</x:v>
      </x:c>
      <x:c r="BI37" s="43" t="str"/>
      <x:c r="BJ37" s="43" t="str">
        <x:v>results presented as Med (Q1; Q3)</x:v>
      </x:c>
      <x:c r="BK37" s="43" t="str"/>
      <x:c r="BL37" s="43" t="str"/>
      <x:c r="BM37" s="43" t="str"/>
      <x:c r="BN37" s="43" t="str"/>
      <x:c r="BO37" s="43" t="str"/>
      <x:c r="BP37" s="43" t="str"/>
      <x:c r="BQ37" s="43" t="str"/>
      <x:c r="BR37" s="43" t="str">
        <x:v>yes</x:v>
      </x:c>
      <x:c r="BS37" s="43" t="str">
        <x:v>minor edites to extracted text needed</x:v>
      </x:c>
      <x:c r="BT37" s="43" t="str"/>
      <x:c r="BU37" s="43" t="str"/>
      <x:c r="BV37" s="43" t="str"/>
      <x:c r="BW37" s="43" t="str">
        <x:v>2.222756</x:v>
      </x:c>
      <x:c r="BX37" s="43" t="str">
        <x:v>SD / sqrt(n); derived for analysis from the extracted SD and sample size</x:v>
      </x:c>
      <x:c r="BY37" s="43" t="str">
        <x:v>abramova_2024_devneur_fig3c; Fig. 3. b</x:v>
      </x:c>
      <x:c r="BZ37" s="43" t="str"/>
      <x:c r="CA37" s="43" t="str">
        <x:v>2.06083</x:v>
      </x:c>
      <x:c r="CB37" s="43" t="str">
        <x:v>SD / sqrt(n); derived for analysis from the extracted SD and sample size</x:v>
      </x:c>
      <x:c r="CC37" s="43" t="str">
        <x:v>abramova_2024_devneur_fig3c; Fig. 3. b</x:v>
      </x:c>
      <x:c r="CD37" s="43" t="str">
        <x:v>Verified – no change</x:v>
      </x:c>
      <x:c r="CE37" s="43" t="str"/>
      <x:c r="CF37" s="43" t="str"/>
    </x:row>
    <x:row r="38">
      <x:c r="A38" s="43" t="str">
        <x:v>38</x:v>
      </x:c>
      <x:c r="B38" s="43" t="str">
        <x:v>abramova_2024_devneur</x:v>
      </x:c>
      <x:c r="C38" s="43" t="str">
        <x:v>ex010</x:v>
      </x:c>
      <x:c r="D38" s="43" t="str">
        <x:v>con006</x:v>
      </x:c>
      <x:c r="E38" s="43" t="str">
        <x:v>out021</x:v>
      </x:c>
      <x:c r="F38" s="43" t="str">
        <x:v>es037</x:v>
      </x:c>
      <x:c r="G38" s="43" t="str">
        <x:v>No</x:v>
      </x:c>
      <x:c r="H38" s="43" t="str">
        <x:v>one control, one treatment for females and males</x:v>
      </x:c>
      <x:c r="I38" s="43" t="str">
        <x:v>Ultrasound-Induced Prenatal Stress: New Possibilities for Modeling Mental Disorders</x:v>
      </x:c>
      <x:c r="J38" s="43" t="str">
        <x:v>10.1159/000534687</x:v>
      </x:c>
      <x:c r="K38" s="43" t="str">
        <x:v>Developmental Neuroscience</x:v>
      </x:c>
      <x:c r="L38" s="43" t="str"/>
      <x:c r="M38" s="43" t="str">
        <x:v>Rattus norvegicus</x:v>
      </x:c>
      <x:c r="N38" s="43" t="str">
        <x:v>brown rat</x:v>
      </x:c>
      <x:c r="O38" s="43" t="str">
        <x:v>Wistar rat</x:v>
      </x:c>
      <x:c r="P38" s="43" t="str">
        <x:v>16</x:v>
      </x:c>
      <x:c r="Q38" s="43" t="str">
        <x:v>3 months</x:v>
      </x:c>
      <x:c r="R38" s="43" t="str">
        <x:v>early, mid, late</x:v>
      </x:c>
      <x:c r="S38" s="43" t="str">
        <x:v>permanently during the
whole period of gestation (21 days)</x:v>
      </x:c>
      <x:c r="T38" s="43" t="str">
        <x:v>21</x:v>
      </x:c>
      <x:c r="U38" s="43" t="str">
        <x:v>Continuous</x:v>
      </x:c>
      <x:c r="V38" s="43" t="str">
        <x:v>24.0</x:v>
      </x:c>
      <x:c r="W38" s="43" t="str">
        <x:v>Expossed to continuous variable frequencies </x:v>
      </x:c>
      <x:c r="X38" s="43" t="str">
        <x:v>Ultrasound</x:v>
      </x:c>
      <x:c r="Y38" s="43" t="str">
        <x:v>Ultrasound</x:v>
      </x:c>
      <x:c r="Z38" s="43" t="str">
        <x:v>50</x:v>
      </x:c>
      <x:c r="AA38" s="43" t="str">
        <x:v>20,000-45,000</x:v>
      </x:c>
      <x:c r="AB38" s="43" t="str">
        <x:v>Ambient sound</x:v>
      </x:c>
      <x:c r="AC38" s="43" t="str"/>
      <x:c r="AD38" s="43" t="str">
        <x:v>No noise, standars housing conditions</x:v>
      </x:c>
      <x:c r="AE38" s="43" t="str">
        <x:v>female</x:v>
      </x:c>
      <x:c r="AF38" s="43" t="str">
        <x:v>74</x:v>
      </x:c>
      <x:c r="AG38" s="43" t="str"/>
      <x:c r="AH38" s="43" t="str">
        <x:v>none</x:v>
      </x:c>
      <x:c r="AI38" s="43" t="str"/>
      <x:c r="AJ38" s="43" t="str">
        <x:v>Anxiety</x:v>
      </x:c>
      <x:c r="AK38" s="43" t="str">
        <x:v>Open Field Test (OFT)</x:v>
      </x:c>
      <x:c r="AL38" s="43" t="str">
        <x:v>They divided in two groups </x:v>
      </x:c>
      <x:c r="AM38" s="43" t="str">
        <x:v>Total freezing time</x:v>
      </x:c>
      <x:c r="AN38" s="43" t="str">
        <x:v>Time</x:v>
      </x:c>
      <x:c r="AO38" s="43" t="str">
        <x:v>s</x:v>
      </x:c>
      <x:c r="AP38" s="43" t="str">
        <x:v>Light phase</x:v>
      </x:c>
      <x:c r="AQ38" s="43" t="str">
        <x:v>Fig. 3. d</x:v>
      </x:c>
      <x:c r="AR38" s="43" t="str">
        <x:v>abramova_2024_devneur_fig3d</x:v>
      </x:c>
      <x:c r="AS38" s="43" t="str">
        <x:v>Con_f_fr</x:v>
      </x:c>
      <x:c r="AT38" s="43" t="str">
        <x:v>PS_f_fr</x:v>
      </x:c>
      <x:c r="AU38" s="43" t="str">
        <x:v>Con_PS_f_fr</x:v>
      </x:c>
      <x:c r="AV38" s="43" t="str">
        <x:v>Independent</x:v>
      </x:c>
      <x:c r="AW38" s="43" t="str">
        <x:v>No</x:v>
      </x:c>
      <x:c r="AX38" s="43" t="str">
        <x:v>Positive</x:v>
      </x:c>
      <x:c r="AY38" s="43" t="str"/>
      <x:c r="AZ38" s="43" t="str">
        <x:v>10.51</x:v>
      </x:c>
      <x:c r="BA38" s="43" t="str">
        <x:v>10.74</x:v>
      </x:c>
      <x:c r="BB38" s="43" t="str">
        <x:v>37</x:v>
      </x:c>
      <x:c r="BC38" s="43" t="str">
        <x:v>1.76</x:v>
      </x:c>
      <x:c r="BD38" s="43" t="str"/>
      <x:c r="BE38" s="43" t="str">
        <x:v>31.13</x:v>
      </x:c>
      <x:c r="BF38" s="43" t="str">
        <x:v>30.81</x:v>
      </x:c>
      <x:c r="BG38" s="43" t="str">
        <x:v>49</x:v>
      </x:c>
      <x:c r="BH38" s="43" t="str">
        <x:v>4.4</x:v>
      </x:c>
      <x:c r="BI38" s="43" t="str"/>
      <x:c r="BJ38" s="43" t="str">
        <x:v>results presented as Med (Q1; Q3)</x:v>
      </x:c>
      <x:c r="BK38" s="43" t="str"/>
      <x:c r="BL38" s="43" t="str"/>
      <x:c r="BM38" s="43" t="str"/>
      <x:c r="BN38" s="43" t="str"/>
      <x:c r="BO38" s="43" t="str"/>
      <x:c r="BP38" s="43" t="str"/>
      <x:c r="BQ38" s="43" t="str"/>
      <x:c r="BR38" s="43" t="str">
        <x:v>yes</x:v>
      </x:c>
      <x:c r="BS38" s="43" t="str">
        <x:v>minor edites to extracted text needed</x:v>
      </x:c>
      <x:c r="BT38" s="43" t="str"/>
      <x:c r="BU38" s="43" t="str"/>
      <x:c r="BV38" s="43" t="str"/>
      <x:c r="BW38" s="43" t="str">
        <x:v>1.765645</x:v>
      </x:c>
      <x:c r="BX38" s="43" t="str">
        <x:v>SD / sqrt(n); derived for analysis from the extracted SD and sample size</x:v>
      </x:c>
      <x:c r="BY38" s="43" t="str">
        <x:v>abramova_2024_devneur_fig3d; Fig. 3. d</x:v>
      </x:c>
      <x:c r="BZ38" s="43" t="str"/>
      <x:c r="CA38" s="43" t="str">
        <x:v>4.401429</x:v>
      </x:c>
      <x:c r="CB38" s="43" t="str">
        <x:v>SD / sqrt(n); derived for analysis from the extracted SD and sample size</x:v>
      </x:c>
      <x:c r="CC38" s="43" t="str">
        <x:v>abramova_2024_devneur_fig3d; Fig. 3. d</x:v>
      </x:c>
      <x:c r="CD38" s="43" t="str">
        <x:v>Verified – no change</x:v>
      </x:c>
      <x:c r="CE38" s="43" t="str"/>
      <x:c r="CF38" s="43" t="str"/>
    </x:row>
    <x:row r="39">
      <x:c r="A39" s="43" t="str">
        <x:v>39</x:v>
      </x:c>
      <x:c r="B39" s="43" t="str">
        <x:v>abramova_2024_devneur</x:v>
      </x:c>
      <x:c r="C39" s="43" t="str">
        <x:v>ex011</x:v>
      </x:c>
      <x:c r="D39" s="43" t="str">
        <x:v>con007</x:v>
      </x:c>
      <x:c r="E39" s="43" t="str">
        <x:v>out021</x:v>
      </x:c>
      <x:c r="F39" s="43" t="str">
        <x:v>es038</x:v>
      </x:c>
      <x:c r="G39" s="43" t="str">
        <x:v>No</x:v>
      </x:c>
      <x:c r="H39" s="43" t="str">
        <x:v>one control, one treatment for females and males</x:v>
      </x:c>
      <x:c r="I39" s="43" t="str">
        <x:v>Ultrasound-Induced Prenatal Stress: New Possibilities for Modeling Mental Disorders</x:v>
      </x:c>
      <x:c r="J39" s="43" t="str">
        <x:v>10.1159/000534687</x:v>
      </x:c>
      <x:c r="K39" s="43" t="str">
        <x:v>Developmental Neuroscience</x:v>
      </x:c>
      <x:c r="L39" s="43" t="str"/>
      <x:c r="M39" s="43" t="str">
        <x:v>Rattus norvegicus</x:v>
      </x:c>
      <x:c r="N39" s="43" t="str">
        <x:v>brown rat</x:v>
      </x:c>
      <x:c r="O39" s="43" t="str">
        <x:v>Wistar rat</x:v>
      </x:c>
      <x:c r="P39" s="43" t="str">
        <x:v>16</x:v>
      </x:c>
      <x:c r="Q39" s="43" t="str">
        <x:v>3 months</x:v>
      </x:c>
      <x:c r="R39" s="43" t="str">
        <x:v>early, mid, late</x:v>
      </x:c>
      <x:c r="S39" s="43" t="str">
        <x:v>permanently during the
whole period of gestation (21 days)</x:v>
      </x:c>
      <x:c r="T39" s="43" t="str">
        <x:v>21</x:v>
      </x:c>
      <x:c r="U39" s="43" t="str">
        <x:v>Continuous</x:v>
      </x:c>
      <x:c r="V39" s="43" t="str">
        <x:v>24.0</x:v>
      </x:c>
      <x:c r="W39" s="43" t="str">
        <x:v>Expossed to continuous variable frequencies </x:v>
      </x:c>
      <x:c r="X39" s="43" t="str">
        <x:v>Ultrasound</x:v>
      </x:c>
      <x:c r="Y39" s="43" t="str">
        <x:v>Ultrasound</x:v>
      </x:c>
      <x:c r="Z39" s="43" t="str">
        <x:v>50</x:v>
      </x:c>
      <x:c r="AA39" s="43" t="str">
        <x:v>20,000-45,000</x:v>
      </x:c>
      <x:c r="AB39" s="43" t="str">
        <x:v>Ambient sound</x:v>
      </x:c>
      <x:c r="AC39" s="43" t="str"/>
      <x:c r="AD39" s="43" t="str">
        <x:v>No noise, standars housing conditions</x:v>
      </x:c>
      <x:c r="AE39" s="43" t="str">
        <x:v>male</x:v>
      </x:c>
      <x:c r="AF39" s="43" t="str">
        <x:v>74</x:v>
      </x:c>
      <x:c r="AG39" s="43" t="str"/>
      <x:c r="AH39" s="43" t="str">
        <x:v>none</x:v>
      </x:c>
      <x:c r="AI39" s="43" t="str"/>
      <x:c r="AJ39" s="43" t="str">
        <x:v>Anxiety</x:v>
      </x:c>
      <x:c r="AK39" s="43" t="str">
        <x:v>Open Field Test (OFT)</x:v>
      </x:c>
      <x:c r="AL39" s="43" t="str">
        <x:v>They divided in two groups </x:v>
      </x:c>
      <x:c r="AM39" s="43" t="str">
        <x:v>Total freezing time</x:v>
      </x:c>
      <x:c r="AN39" s="43" t="str">
        <x:v>Time</x:v>
      </x:c>
      <x:c r="AO39" s="43" t="str">
        <x:v>s</x:v>
      </x:c>
      <x:c r="AP39" s="43" t="str">
        <x:v>Light phase</x:v>
      </x:c>
      <x:c r="AQ39" s="43" t="str">
        <x:v>Fig. 3. d</x:v>
      </x:c>
      <x:c r="AR39" s="43" t="str">
        <x:v>abramova_2024_devneur_fig3d</x:v>
      </x:c>
      <x:c r="AS39" s="43" t="str">
        <x:v>Con_m_fr</x:v>
      </x:c>
      <x:c r="AT39" s="43" t="str">
        <x:v>PS_m_fr</x:v>
      </x:c>
      <x:c r="AU39" s="43" t="str">
        <x:v>Con_PS_m_fr</x:v>
      </x:c>
      <x:c r="AV39" s="43" t="str">
        <x:v>Independent</x:v>
      </x:c>
      <x:c r="AW39" s="43" t="str">
        <x:v>No</x:v>
      </x:c>
      <x:c r="AX39" s="43" t="str">
        <x:v>Positive</x:v>
      </x:c>
      <x:c r="AY39" s="43" t="str"/>
      <x:c r="AZ39" s="43" t="str">
        <x:v>17.03</x:v>
      </x:c>
      <x:c r="BA39" s="43" t="str">
        <x:v>15.77</x:v>
      </x:c>
      <x:c r="BB39" s="43" t="str">
        <x:v>35</x:v>
      </x:c>
      <x:c r="BC39" s="43" t="str">
        <x:v>2.67</x:v>
      </x:c>
      <x:c r="BD39" s="43" t="str"/>
      <x:c r="BE39" s="43" t="str">
        <x:v>51.69</x:v>
      </x:c>
      <x:c r="BF39" s="43" t="str">
        <x:v>49.02</x:v>
      </x:c>
      <x:c r="BG39" s="43" t="str">
        <x:v>44</x:v>
      </x:c>
      <x:c r="BH39" s="43" t="str">
        <x:v>7.39</x:v>
      </x:c>
      <x:c r="BI39" s="43" t="str"/>
      <x:c r="BJ39" s="43" t="str">
        <x:v>results presented as Med (Q1; Q3)</x:v>
      </x:c>
      <x:c r="BK39" s="43" t="str"/>
      <x:c r="BL39" s="43" t="str"/>
      <x:c r="BM39" s="43" t="str"/>
      <x:c r="BN39" s="43" t="str"/>
      <x:c r="BO39" s="43" t="str"/>
      <x:c r="BP39" s="43" t="str"/>
      <x:c r="BQ39" s="43" t="str"/>
      <x:c r="BR39" s="43" t="str">
        <x:v>yes</x:v>
      </x:c>
      <x:c r="BS39" s="43" t="str">
        <x:v>minor edites to extracted text needed</x:v>
      </x:c>
      <x:c r="BT39" s="43" t="str"/>
      <x:c r="BU39" s="43" t="str"/>
      <x:c r="BV39" s="43" t="str"/>
      <x:c r="BW39" s="43" t="str">
        <x:v>2.665617</x:v>
      </x:c>
      <x:c r="BX39" s="43" t="str">
        <x:v>SD / sqrt(n); derived for analysis from the extracted SD and sample size</x:v>
      </x:c>
      <x:c r="BY39" s="43" t="str">
        <x:v>abramova_2024_devneur_fig3d; Fig. 3. d</x:v>
      </x:c>
      <x:c r="BZ39" s="43" t="str"/>
      <x:c r="CA39" s="43" t="str">
        <x:v>7.390043</x:v>
      </x:c>
      <x:c r="CB39" s="43" t="str">
        <x:v>SD / sqrt(n); derived for analysis from the extracted SD and sample size</x:v>
      </x:c>
      <x:c r="CC39" s="43" t="str">
        <x:v>abramova_2024_devneur_fig3d; Fig. 3. d</x:v>
      </x:c>
      <x:c r="CD39" s="43" t="str">
        <x:v>Verified – no change</x:v>
      </x:c>
      <x:c r="CE39" s="43" t="str"/>
      <x:c r="CF39" s="43" t="str"/>
    </x:row>
    <x:row r="40">
      <x:c r="A40" s="43" t="str">
        <x:v>40</x:v>
      </x:c>
      <x:c r="B40" s="43" t="str">
        <x:v>abramova_2024_devneur</x:v>
      </x:c>
      <x:c r="C40" s="43" t="str">
        <x:v>ex010</x:v>
      </x:c>
      <x:c r="D40" s="43" t="str">
        <x:v>con006</x:v>
      </x:c>
      <x:c r="E40" s="43" t="str">
        <x:v>out022</x:v>
      </x:c>
      <x:c r="F40" s="43" t="str">
        <x:v>es039</x:v>
      </x:c>
      <x:c r="G40" s="43" t="str">
        <x:v>No</x:v>
      </x:c>
      <x:c r="H40" s="43" t="str">
        <x:v>one control, one treatment for females and males</x:v>
      </x:c>
      <x:c r="I40" s="43" t="str">
        <x:v>Ultrasound-Induced Prenatal Stress: New Possibilities for Modeling Mental Disorders</x:v>
      </x:c>
      <x:c r="J40" s="43" t="str">
        <x:v>10.1159/000534687</x:v>
      </x:c>
      <x:c r="K40" s="43" t="str">
        <x:v>Developmental Neuroscience</x:v>
      </x:c>
      <x:c r="L40" s="43" t="str"/>
      <x:c r="M40" s="43" t="str">
        <x:v>Rattus norvegicus</x:v>
      </x:c>
      <x:c r="N40" s="43" t="str">
        <x:v>brown rat</x:v>
      </x:c>
      <x:c r="O40" s="43" t="str">
        <x:v>Wistar rat</x:v>
      </x:c>
      <x:c r="P40" s="43" t="str">
        <x:v>16</x:v>
      </x:c>
      <x:c r="Q40" s="43" t="str">
        <x:v>3 months</x:v>
      </x:c>
      <x:c r="R40" s="43" t="str">
        <x:v>early, mid, late</x:v>
      </x:c>
      <x:c r="S40" s="43" t="str">
        <x:v>permanently during the
whole period of gestation (21 days)</x:v>
      </x:c>
      <x:c r="T40" s="43" t="str">
        <x:v>21</x:v>
      </x:c>
      <x:c r="U40" s="43" t="str">
        <x:v>Continuous</x:v>
      </x:c>
      <x:c r="V40" s="43" t="str">
        <x:v>24.0</x:v>
      </x:c>
      <x:c r="W40" s="43" t="str">
        <x:v>Expossed to continuous variable frequencies </x:v>
      </x:c>
      <x:c r="X40" s="43" t="str">
        <x:v>Ultrasound</x:v>
      </x:c>
      <x:c r="Y40" s="43" t="str">
        <x:v>Ultrasound</x:v>
      </x:c>
      <x:c r="Z40" s="43" t="str">
        <x:v>50</x:v>
      </x:c>
      <x:c r="AA40" s="43" t="str">
        <x:v>20,000-45,000</x:v>
      </x:c>
      <x:c r="AB40" s="43" t="str">
        <x:v>Ambient sound</x:v>
      </x:c>
      <x:c r="AC40" s="43" t="str"/>
      <x:c r="AD40" s="43" t="str">
        <x:v>No noise, standars housing conditions</x:v>
      </x:c>
      <x:c r="AE40" s="43" t="str">
        <x:v>female</x:v>
      </x:c>
      <x:c r="AF40" s="43" t="str">
        <x:v>74</x:v>
      </x:c>
      <x:c r="AG40" s="43" t="str"/>
      <x:c r="AH40" s="43" t="str">
        <x:v>none</x:v>
      </x:c>
      <x:c r="AI40" s="43" t="str"/>
      <x:c r="AJ40" s="43" t="str">
        <x:v>Anxiety</x:v>
      </x:c>
      <x:c r="AK40" s="43" t="str">
        <x:v>Open Field Test (OFT)</x:v>
      </x:c>
      <x:c r="AL40" s="43" t="str">
        <x:v>They divided in two groups </x:v>
      </x:c>
      <x:c r="AM40" s="43" t="str">
        <x:v>Total grooming time</x:v>
      </x:c>
      <x:c r="AN40" s="43" t="str">
        <x:v>Time</x:v>
      </x:c>
      <x:c r="AO40" s="43" t="str">
        <x:v>s</x:v>
      </x:c>
      <x:c r="AP40" s="43" t="str">
        <x:v>Light phase</x:v>
      </x:c>
      <x:c r="AQ40" s="43" t="str">
        <x:v>Fig. 3. e</x:v>
      </x:c>
      <x:c r="AR40" s="43" t="str">
        <x:v>abramova_2024_devneur_fig3e</x:v>
      </x:c>
      <x:c r="AS40" s="43" t="str">
        <x:v>Con_f_grd</x:v>
      </x:c>
      <x:c r="AT40" s="43" t="str">
        <x:v>PS_f_grd</x:v>
      </x:c>
      <x:c r="AU40" s="43" t="str">
        <x:v>Con_PS_f_grd</x:v>
      </x:c>
      <x:c r="AV40" s="43" t="str">
        <x:v>Independent</x:v>
      </x:c>
      <x:c r="AW40" s="43" t="str">
        <x:v>No</x:v>
      </x:c>
      <x:c r="AX40" s="43" t="str">
        <x:v>Positive</x:v>
      </x:c>
      <x:c r="AY40" s="43" t="str"/>
      <x:c r="AZ40" s="43" t="str">
        <x:v>25.07</x:v>
      </x:c>
      <x:c r="BA40" s="43" t="str">
        <x:v>13.32</x:v>
      </x:c>
      <x:c r="BB40" s="43" t="str">
        <x:v>37</x:v>
      </x:c>
      <x:c r="BC40" s="43" t="str">
        <x:v>2.19</x:v>
      </x:c>
      <x:c r="BD40" s="43" t="str"/>
      <x:c r="BE40" s="43" t="str">
        <x:v>29.12</x:v>
      </x:c>
      <x:c r="BF40" s="43" t="str">
        <x:v>17.2</x:v>
      </x:c>
      <x:c r="BG40" s="43" t="str">
        <x:v>49</x:v>
      </x:c>
      <x:c r="BH40" s="43" t="str">
        <x:v>2.46</x:v>
      </x:c>
      <x:c r="BI40" s="43" t="str"/>
      <x:c r="BJ40" s="43" t="str">
        <x:v>results presented as Med (Q1; Q3)</x:v>
      </x:c>
      <x:c r="BK40" s="43" t="str"/>
      <x:c r="BL40" s="43" t="str"/>
      <x:c r="BM40" s="43" t="str"/>
      <x:c r="BN40" s="43" t="str"/>
      <x:c r="BO40" s="43" t="str"/>
      <x:c r="BP40" s="43" t="str"/>
      <x:c r="BQ40" s="43" t="str"/>
      <x:c r="BR40" s="43" t="str">
        <x:v>yes</x:v>
      </x:c>
      <x:c r="BS40" s="43" t="str">
        <x:v>minor edites to extracted text needed</x:v>
      </x:c>
      <x:c r="BT40" s="43" t="str"/>
      <x:c r="BU40" s="43" t="str"/>
      <x:c r="BV40" s="43" t="str"/>
      <x:c r="BW40" s="43" t="str">
        <x:v>2.189795</x:v>
      </x:c>
      <x:c r="BX40" s="43" t="str">
        <x:v>SD / sqrt(n); derived for analysis from the extracted SD and sample size</x:v>
      </x:c>
      <x:c r="BY40" s="43" t="str">
        <x:v>abramova_2024_devneur_fig3e; Fig. 3. e</x:v>
      </x:c>
      <x:c r="BZ40" s="43" t="str"/>
      <x:c r="CA40" s="43" t="str">
        <x:v>2.457143</x:v>
      </x:c>
      <x:c r="CB40" s="43" t="str">
        <x:v>SD / sqrt(n); derived for analysis from the extracted SD and sample size</x:v>
      </x:c>
      <x:c r="CC40" s="43" t="str">
        <x:v>abramova_2024_devneur_fig3e; Fig. 3. e</x:v>
      </x:c>
      <x:c r="CD40" s="43" t="str">
        <x:v>Verified – no change</x:v>
      </x:c>
      <x:c r="CE40" s="43" t="str"/>
      <x:c r="CF40" s="43" t="str"/>
    </x:row>
    <x:row r="41">
      <x:c r="A41" s="43" t="str">
        <x:v>41</x:v>
      </x:c>
      <x:c r="B41" s="43" t="str">
        <x:v>abramova_2024_devneur</x:v>
      </x:c>
      <x:c r="C41" s="43" t="str">
        <x:v>ex011</x:v>
      </x:c>
      <x:c r="D41" s="43" t="str">
        <x:v>con007</x:v>
      </x:c>
      <x:c r="E41" s="43" t="str">
        <x:v>out022</x:v>
      </x:c>
      <x:c r="F41" s="43" t="str">
        <x:v>es040</x:v>
      </x:c>
      <x:c r="G41" s="43" t="str">
        <x:v>No</x:v>
      </x:c>
      <x:c r="H41" s="43" t="str">
        <x:v>one control, one treatment for females and males</x:v>
      </x:c>
      <x:c r="I41" s="43" t="str">
        <x:v>Ultrasound-Induced Prenatal Stress: New Possibilities for Modeling Mental Disorders</x:v>
      </x:c>
      <x:c r="J41" s="43" t="str">
        <x:v>10.1159/000534687</x:v>
      </x:c>
      <x:c r="K41" s="43" t="str">
        <x:v>Developmental Neuroscience</x:v>
      </x:c>
      <x:c r="L41" s="43" t="str"/>
      <x:c r="M41" s="43" t="str">
        <x:v>Rattus norvegicus</x:v>
      </x:c>
      <x:c r="N41" s="43" t="str">
        <x:v>brown rat</x:v>
      </x:c>
      <x:c r="O41" s="43" t="str">
        <x:v>Wistar rat</x:v>
      </x:c>
      <x:c r="P41" s="43" t="str">
        <x:v>16</x:v>
      </x:c>
      <x:c r="Q41" s="43" t="str">
        <x:v>3 months</x:v>
      </x:c>
      <x:c r="R41" s="43" t="str">
        <x:v>early, mid, late</x:v>
      </x:c>
      <x:c r="S41" s="43" t="str">
        <x:v>permanently during the
whole period of gestation (21 days)</x:v>
      </x:c>
      <x:c r="T41" s="43" t="str">
        <x:v>21</x:v>
      </x:c>
      <x:c r="U41" s="43" t="str">
        <x:v>Continuous</x:v>
      </x:c>
      <x:c r="V41" s="43" t="str">
        <x:v>24.0</x:v>
      </x:c>
      <x:c r="W41" s="43" t="str">
        <x:v>Expossed to continuous variable frequencies </x:v>
      </x:c>
      <x:c r="X41" s="43" t="str">
        <x:v>Ultrasound</x:v>
      </x:c>
      <x:c r="Y41" s="43" t="str">
        <x:v>Ultrasound</x:v>
      </x:c>
      <x:c r="Z41" s="43" t="str">
        <x:v>50</x:v>
      </x:c>
      <x:c r="AA41" s="43" t="str">
        <x:v>20,000-45,000</x:v>
      </x:c>
      <x:c r="AB41" s="43" t="str">
        <x:v>Ambient sound</x:v>
      </x:c>
      <x:c r="AC41" s="43" t="str"/>
      <x:c r="AD41" s="43" t="str">
        <x:v>No noise, standars housing conditions</x:v>
      </x:c>
      <x:c r="AE41" s="43" t="str">
        <x:v>male</x:v>
      </x:c>
      <x:c r="AF41" s="43" t="str">
        <x:v>74</x:v>
      </x:c>
      <x:c r="AG41" s="43" t="str"/>
      <x:c r="AH41" s="43" t="str">
        <x:v>none</x:v>
      </x:c>
      <x:c r="AI41" s="43" t="str"/>
      <x:c r="AJ41" s="43" t="str">
        <x:v>Anxiety</x:v>
      </x:c>
      <x:c r="AK41" s="43" t="str">
        <x:v>Open Field Test (OFT)</x:v>
      </x:c>
      <x:c r="AL41" s="43" t="str">
        <x:v>They divided in two groups </x:v>
      </x:c>
      <x:c r="AM41" s="43" t="str">
        <x:v>Total grooming time</x:v>
      </x:c>
      <x:c r="AN41" s="43" t="str">
        <x:v>Time</x:v>
      </x:c>
      <x:c r="AO41" s="43" t="str">
        <x:v>s</x:v>
      </x:c>
      <x:c r="AP41" s="43" t="str">
        <x:v>Light phase</x:v>
      </x:c>
      <x:c r="AQ41" s="43" t="str">
        <x:v>Fig. 3. e</x:v>
      </x:c>
      <x:c r="AR41" s="43" t="str">
        <x:v>abramova_2024_devneur_fig3e</x:v>
      </x:c>
      <x:c r="AS41" s="43" t="str">
        <x:v>Con_m_grd</x:v>
      </x:c>
      <x:c r="AT41" s="43" t="str">
        <x:v>PS_m_grd</x:v>
      </x:c>
      <x:c r="AU41" s="43" t="str">
        <x:v>Con_PS_m_grd</x:v>
      </x:c>
      <x:c r="AV41" s="43" t="str">
        <x:v>Independent</x:v>
      </x:c>
      <x:c r="AW41" s="43" t="str">
        <x:v>No</x:v>
      </x:c>
      <x:c r="AX41" s="43" t="str">
        <x:v>Positive</x:v>
      </x:c>
      <x:c r="AY41" s="43" t="str"/>
      <x:c r="AZ41" s="43" t="str">
        <x:v>17.34</x:v>
      </x:c>
      <x:c r="BA41" s="43" t="str">
        <x:v>8.33</x:v>
      </x:c>
      <x:c r="BB41" s="43" t="str">
        <x:v>35</x:v>
      </x:c>
      <x:c r="BC41" s="43" t="str">
        <x:v>1.41</x:v>
      </x:c>
      <x:c r="BD41" s="43" t="str"/>
      <x:c r="BE41" s="43" t="str">
        <x:v>40.38</x:v>
      </x:c>
      <x:c r="BF41" s="43" t="str">
        <x:v>25.3</x:v>
      </x:c>
      <x:c r="BG41" s="43" t="str">
        <x:v>44</x:v>
      </x:c>
      <x:c r="BH41" s="43" t="str">
        <x:v>3.81</x:v>
      </x:c>
      <x:c r="BI41" s="43" t="str"/>
      <x:c r="BJ41" s="43" t="str">
        <x:v>results presented as Med (Q1; Q3)</x:v>
      </x:c>
      <x:c r="BK41" s="43" t="str"/>
      <x:c r="BL41" s="43" t="str"/>
      <x:c r="BM41" s="43" t="str"/>
      <x:c r="BN41" s="43" t="str"/>
      <x:c r="BO41" s="43" t="str"/>
      <x:c r="BP41" s="43" t="str"/>
      <x:c r="BQ41" s="43" t="str"/>
      <x:c r="BR41" s="43" t="str">
        <x:v>yes</x:v>
      </x:c>
      <x:c r="BS41" s="43" t="str">
        <x:v>minor edites to extracted text needed</x:v>
      </x:c>
      <x:c r="BT41" s="43" t="str"/>
      <x:c r="BU41" s="43" t="str"/>
      <x:c r="BV41" s="43" t="str"/>
      <x:c r="BW41" s="43" t="str">
        <x:v>1.408027</x:v>
      </x:c>
      <x:c r="BX41" s="43" t="str">
        <x:v>SD / sqrt(n); derived for analysis from the extracted SD and sample size</x:v>
      </x:c>
      <x:c r="BY41" s="43" t="str">
        <x:v>abramova_2024_devneur_fig3e; Fig. 3. e</x:v>
      </x:c>
      <x:c r="BZ41" s="43" t="str"/>
      <x:c r="CA41" s="43" t="str">
        <x:v>3.814119</x:v>
      </x:c>
      <x:c r="CB41" s="43" t="str">
        <x:v>SD / sqrt(n); derived for analysis from the extracted SD and sample size</x:v>
      </x:c>
      <x:c r="CC41" s="43" t="str">
        <x:v>abramova_2024_devneur_fig3e; Fig. 3. e</x:v>
      </x:c>
      <x:c r="CD41" s="43" t="str">
        <x:v>Verified – no change</x:v>
      </x:c>
      <x:c r="CE41" s="43" t="str"/>
      <x:c r="CF41" s="43" t="str"/>
    </x:row>
    <x:row r="42">
      <x:c r="A42" s="43" t="str">
        <x:v>42</x:v>
      </x:c>
      <x:c r="B42" s="43" t="str">
        <x:v>abramova_2024_devneur</x:v>
      </x:c>
      <x:c r="C42" s="43" t="str">
        <x:v>ex010</x:v>
      </x:c>
      <x:c r="D42" s="43" t="str">
        <x:v>con006</x:v>
      </x:c>
      <x:c r="E42" s="43" t="str">
        <x:v>out023</x:v>
      </x:c>
      <x:c r="F42" s="43" t="str">
        <x:v>es041</x:v>
      </x:c>
      <x:c r="G42" s="43" t="str">
        <x:v>No</x:v>
      </x:c>
      <x:c r="H42" s="43" t="str">
        <x:v>one control, one treatment for females and males</x:v>
      </x:c>
      <x:c r="I42" s="43" t="str">
        <x:v>Ultrasound-Induced Prenatal Stress: New Possibilities for Modeling Mental Disorders</x:v>
      </x:c>
      <x:c r="J42" s="43" t="str">
        <x:v>10.1159/000534687</x:v>
      </x:c>
      <x:c r="K42" s="43" t="str">
        <x:v>Developmental Neuroscience</x:v>
      </x:c>
      <x:c r="L42" s="43" t="str"/>
      <x:c r="M42" s="43" t="str">
        <x:v>Rattus norvegicus</x:v>
      </x:c>
      <x:c r="N42" s="43" t="str">
        <x:v>brown rat</x:v>
      </x:c>
      <x:c r="O42" s="43" t="str">
        <x:v>Wistar rat</x:v>
      </x:c>
      <x:c r="P42" s="43" t="str">
        <x:v>16</x:v>
      </x:c>
      <x:c r="Q42" s="43" t="str">
        <x:v>3 months</x:v>
      </x:c>
      <x:c r="R42" s="43" t="str">
        <x:v>early, mid, late</x:v>
      </x:c>
      <x:c r="S42" s="43" t="str">
        <x:v>permanently during the
whole period of gestation (21 days)</x:v>
      </x:c>
      <x:c r="T42" s="43" t="str">
        <x:v>21</x:v>
      </x:c>
      <x:c r="U42" s="43" t="str">
        <x:v>Continuous</x:v>
      </x:c>
      <x:c r="V42" s="43" t="str">
        <x:v>24.0</x:v>
      </x:c>
      <x:c r="W42" s="43" t="str">
        <x:v>Expossed to continuous variable frequencies </x:v>
      </x:c>
      <x:c r="X42" s="43" t="str">
        <x:v>Ultrasound</x:v>
      </x:c>
      <x:c r="Y42" s="43" t="str">
        <x:v>Ultrasound</x:v>
      </x:c>
      <x:c r="Z42" s="43" t="str">
        <x:v>50</x:v>
      </x:c>
      <x:c r="AA42" s="43" t="str">
        <x:v>20,000-45,000</x:v>
      </x:c>
      <x:c r="AB42" s="43" t="str">
        <x:v>Ambient sound</x:v>
      </x:c>
      <x:c r="AC42" s="43" t="str"/>
      <x:c r="AD42" s="43" t="str">
        <x:v>No noise, standars housing conditions</x:v>
      </x:c>
      <x:c r="AE42" s="43" t="str">
        <x:v>female</x:v>
      </x:c>
      <x:c r="AF42" s="43" t="str">
        <x:v>74</x:v>
      </x:c>
      <x:c r="AG42" s="43" t="str"/>
      <x:c r="AH42" s="43" t="str">
        <x:v>none</x:v>
      </x:c>
      <x:c r="AI42" s="43" t="str"/>
      <x:c r="AJ42" s="43" t="str">
        <x:v>Anxiety</x:v>
      </x:c>
      <x:c r="AK42" s="43" t="str">
        <x:v>Open Field Test (OFT)</x:v>
      </x:c>
      <x:c r="AL42" s="43" t="str">
        <x:v>They divided in two groups </x:v>
      </x:c>
      <x:c r="AM42" s="43" t="str">
        <x:v>Grooming frequency</x:v>
      </x:c>
      <x:c r="AN42" s="43" t="str">
        <x:v>Count</x:v>
      </x:c>
      <x:c r="AO42" s="43" t="str">
        <x:v>Count</x:v>
      </x:c>
      <x:c r="AP42" s="43" t="str">
        <x:v>Light phase</x:v>
      </x:c>
      <x:c r="AQ42" s="43" t="str">
        <x:v>Fig. 3. f</x:v>
      </x:c>
      <x:c r="AR42" s="43" t="str">
        <x:v>abramova_2024_devneur_fig3f</x:v>
      </x:c>
      <x:c r="AS42" s="43" t="str">
        <x:v>Con_f_gf</x:v>
      </x:c>
      <x:c r="AT42" s="43" t="str">
        <x:v>PS_f_gf</x:v>
      </x:c>
      <x:c r="AU42" s="43" t="str">
        <x:v>Con_PS_f_gf</x:v>
      </x:c>
      <x:c r="AV42" s="43" t="str">
        <x:v>Independent</x:v>
      </x:c>
      <x:c r="AW42" s="43" t="str">
        <x:v>No</x:v>
      </x:c>
      <x:c r="AX42" s="43" t="str">
        <x:v>Positive</x:v>
      </x:c>
      <x:c r="AY42" s="43" t="str"/>
      <x:c r="AZ42" s="43" t="str">
        <x:v>3.62</x:v>
      </x:c>
      <x:c r="BA42" s="43" t="str">
        <x:v>2.13</x:v>
      </x:c>
      <x:c r="BB42" s="43" t="str">
        <x:v>37</x:v>
      </x:c>
      <x:c r="BC42" s="43" t="str">
        <x:v>0.35</x:v>
      </x:c>
      <x:c r="BD42" s="43" t="str"/>
      <x:c r="BE42" s="43" t="str">
        <x:v>4.49</x:v>
      </x:c>
      <x:c r="BF42" s="43" t="str">
        <x:v>2.18</x:v>
      </x:c>
      <x:c r="BG42" s="43" t="str">
        <x:v>49</x:v>
      </x:c>
      <x:c r="BH42" s="43" t="str">
        <x:v>0.31</x:v>
      </x:c>
      <x:c r="BI42" s="43" t="str"/>
      <x:c r="BJ42" s="43" t="str">
        <x:v>results presented as Med (Q1; Q3)</x:v>
      </x:c>
      <x:c r="BK42" s="43" t="str"/>
      <x:c r="BL42" s="43" t="str"/>
      <x:c r="BM42" s="43" t="str"/>
      <x:c r="BN42" s="43" t="str"/>
      <x:c r="BO42" s="43" t="str"/>
      <x:c r="BP42" s="43" t="str"/>
      <x:c r="BQ42" s="43" t="str"/>
      <x:c r="BR42" s="43" t="str">
        <x:v>yes</x:v>
      </x:c>
      <x:c r="BS42" s="43" t="str">
        <x:v>minor edites to extracted text needed</x:v>
      </x:c>
      <x:c r="BT42" s="43" t="str"/>
      <x:c r="BU42" s="43" t="str"/>
      <x:c r="BV42" s="43" t="str"/>
      <x:c r="BW42" s="43" t="str">
        <x:v>0.35017</x:v>
      </x:c>
      <x:c r="BX42" s="43" t="str">
        <x:v>SD / sqrt(n); derived for analysis from the extracted SD and sample size</x:v>
      </x:c>
      <x:c r="BY42" s="43" t="str">
        <x:v>abramova_2024_devneur_fig3f; Fig. 3. f</x:v>
      </x:c>
      <x:c r="BZ42" s="43" t="str"/>
      <x:c r="CA42" s="43" t="str">
        <x:v>0.311429</x:v>
      </x:c>
      <x:c r="CB42" s="43" t="str">
        <x:v>SD / sqrt(n); derived for analysis from the extracted SD and sample size</x:v>
      </x:c>
      <x:c r="CC42" s="43" t="str">
        <x:v>abramova_2024_devneur_fig3f; Fig. 3. f</x:v>
      </x:c>
      <x:c r="CD42" s="43" t="str">
        <x:v>Verified – no change</x:v>
      </x:c>
      <x:c r="CE42" s="43" t="str"/>
      <x:c r="CF42" s="43" t="str"/>
    </x:row>
    <x:row r="43">
      <x:c r="A43" s="43" t="str">
        <x:v>43</x:v>
      </x:c>
      <x:c r="B43" s="43" t="str">
        <x:v>abramova_2024_devneur</x:v>
      </x:c>
      <x:c r="C43" s="43" t="str">
        <x:v>ex011</x:v>
      </x:c>
      <x:c r="D43" s="43" t="str">
        <x:v>con007</x:v>
      </x:c>
      <x:c r="E43" s="43" t="str">
        <x:v>out023</x:v>
      </x:c>
      <x:c r="F43" s="43" t="str">
        <x:v>es042</x:v>
      </x:c>
      <x:c r="G43" s="43" t="str">
        <x:v>No</x:v>
      </x:c>
      <x:c r="H43" s="43" t="str">
        <x:v>one control, one treatment for females and males</x:v>
      </x:c>
      <x:c r="I43" s="43" t="str">
        <x:v>Ultrasound-Induced Prenatal Stress: New Possibilities for Modeling Mental Disorders</x:v>
      </x:c>
      <x:c r="J43" s="43" t="str">
        <x:v>10.1159/000534687</x:v>
      </x:c>
      <x:c r="K43" s="43" t="str">
        <x:v>Developmental Neuroscience</x:v>
      </x:c>
      <x:c r="L43" s="43" t="str"/>
      <x:c r="M43" s="43" t="str">
        <x:v>Rattus norvegicus</x:v>
      </x:c>
      <x:c r="N43" s="43" t="str">
        <x:v>brown rat</x:v>
      </x:c>
      <x:c r="O43" s="43" t="str">
        <x:v>Wistar rat</x:v>
      </x:c>
      <x:c r="P43" s="43" t="str">
        <x:v>16</x:v>
      </x:c>
      <x:c r="Q43" s="43" t="str">
        <x:v>3 months</x:v>
      </x:c>
      <x:c r="R43" s="43" t="str">
        <x:v>early, mid, late</x:v>
      </x:c>
      <x:c r="S43" s="43" t="str">
        <x:v>permanently during the
whole period of gestation (21 days)</x:v>
      </x:c>
      <x:c r="T43" s="43" t="str">
        <x:v>21</x:v>
      </x:c>
      <x:c r="U43" s="43" t="str">
        <x:v>Continuous</x:v>
      </x:c>
      <x:c r="V43" s="43" t="str">
        <x:v>24.0</x:v>
      </x:c>
      <x:c r="W43" s="43" t="str">
        <x:v>Expossed to continuous variable frequencies </x:v>
      </x:c>
      <x:c r="X43" s="43" t="str">
        <x:v>Ultrasound</x:v>
      </x:c>
      <x:c r="Y43" s="43" t="str">
        <x:v>Ultrasound</x:v>
      </x:c>
      <x:c r="Z43" s="43" t="str">
        <x:v>50</x:v>
      </x:c>
      <x:c r="AA43" s="43" t="str">
        <x:v>20,000-45,000</x:v>
      </x:c>
      <x:c r="AB43" s="43" t="str">
        <x:v>Ambient sound</x:v>
      </x:c>
      <x:c r="AC43" s="43" t="str"/>
      <x:c r="AD43" s="43" t="str">
        <x:v>No noise, standars housing conditions</x:v>
      </x:c>
      <x:c r="AE43" s="43" t="str">
        <x:v>male</x:v>
      </x:c>
      <x:c r="AF43" s="43" t="str">
        <x:v>74</x:v>
      </x:c>
      <x:c r="AG43" s="43" t="str"/>
      <x:c r="AH43" s="43" t="str">
        <x:v>none</x:v>
      </x:c>
      <x:c r="AI43" s="43" t="str"/>
      <x:c r="AJ43" s="43" t="str">
        <x:v>Anxiety</x:v>
      </x:c>
      <x:c r="AK43" s="43" t="str">
        <x:v>Open Field Test (OFT)</x:v>
      </x:c>
      <x:c r="AL43" s="43" t="str">
        <x:v>They divided in two groups </x:v>
      </x:c>
      <x:c r="AM43" s="43" t="str">
        <x:v>Grooming frequency</x:v>
      </x:c>
      <x:c r="AN43" s="43" t="str">
        <x:v>Count</x:v>
      </x:c>
      <x:c r="AO43" s="43" t="str">
        <x:v>Count</x:v>
      </x:c>
      <x:c r="AP43" s="43" t="str">
        <x:v>Light phase</x:v>
      </x:c>
      <x:c r="AQ43" s="43" t="str">
        <x:v>Fig. 3. f</x:v>
      </x:c>
      <x:c r="AR43" s="43" t="str">
        <x:v>abramova_2024_devneur_fig3f</x:v>
      </x:c>
      <x:c r="AS43" s="43" t="str">
        <x:v>Con_m_gf</x:v>
      </x:c>
      <x:c r="AT43" s="43" t="str">
        <x:v>PS_m_gf</x:v>
      </x:c>
      <x:c r="AU43" s="43" t="str">
        <x:v>Con_PS_m_gf</x:v>
      </x:c>
      <x:c r="AV43" s="43" t="str">
        <x:v>Independent</x:v>
      </x:c>
      <x:c r="AW43" s="43" t="str">
        <x:v>No</x:v>
      </x:c>
      <x:c r="AX43" s="43" t="str">
        <x:v>Positive</x:v>
      </x:c>
      <x:c r="AY43" s="43" t="str"/>
      <x:c r="AZ43" s="43" t="str">
        <x:v>3.17</x:v>
      </x:c>
      <x:c r="BA43" s="43" t="str">
        <x:v>1.5</x:v>
      </x:c>
      <x:c r="BB43" s="43" t="str">
        <x:v>35</x:v>
      </x:c>
      <x:c r="BC43" s="43" t="str">
        <x:v>0.25</x:v>
      </x:c>
      <x:c r="BD43" s="43" t="str"/>
      <x:c r="BE43" s="43" t="str">
        <x:v>4.46</x:v>
      </x:c>
      <x:c r="BF43" s="43" t="str">
        <x:v>2.78</x:v>
      </x:c>
      <x:c r="BG43" s="43" t="str">
        <x:v>44</x:v>
      </x:c>
      <x:c r="BH43" s="43" t="str">
        <x:v>0.42</x:v>
      </x:c>
      <x:c r="BI43" s="43" t="str"/>
      <x:c r="BJ43" s="43" t="str">
        <x:v>results presented as Med (Q1; Q3)</x:v>
      </x:c>
      <x:c r="BK43" s="43" t="str"/>
      <x:c r="BL43" s="43" t="str"/>
      <x:c r="BM43" s="43" t="str"/>
      <x:c r="BN43" s="43" t="str"/>
      <x:c r="BO43" s="43" t="str"/>
      <x:c r="BP43" s="43" t="str"/>
      <x:c r="BQ43" s="43" t="str"/>
      <x:c r="BR43" s="43" t="str">
        <x:v>yes</x:v>
      </x:c>
      <x:c r="BS43" s="43" t="str">
        <x:v>minor edites to extracted text needed</x:v>
      </x:c>
      <x:c r="BT43" s="43" t="str"/>
      <x:c r="BU43" s="43" t="str"/>
      <x:c r="BV43" s="43" t="str"/>
      <x:c r="BW43" s="43" t="str">
        <x:v>0.253546</x:v>
      </x:c>
      <x:c r="BX43" s="43" t="str">
        <x:v>SD / sqrt(n); derived for analysis from the extracted SD and sample size</x:v>
      </x:c>
      <x:c r="BY43" s="43" t="str">
        <x:v>abramova_2024_devneur_fig3f; Fig. 3. f</x:v>
      </x:c>
      <x:c r="BZ43" s="43" t="str"/>
      <x:c r="CA43" s="43" t="str">
        <x:v>0.419101</x:v>
      </x:c>
      <x:c r="CB43" s="43" t="str">
        <x:v>SD / sqrt(n); derived for analysis from the extracted SD and sample size</x:v>
      </x:c>
      <x:c r="CC43" s="43" t="str">
        <x:v>abramova_2024_devneur_fig3f; Fig. 3. f</x:v>
      </x:c>
      <x:c r="CD43" s="43" t="str">
        <x:v>Verified – no change</x:v>
      </x:c>
      <x:c r="CE43" s="43" t="str"/>
      <x:c r="CF43" s="43" t="str"/>
    </x:row>
    <x:row r="44">
      <x:c r="A44" s="43" t="str">
        <x:v>44</x:v>
      </x:c>
      <x:c r="B44" s="43" t="str">
        <x:v>abramova_2024_devneur</x:v>
      </x:c>
      <x:c r="C44" s="43" t="str">
        <x:v>ex010</x:v>
      </x:c>
      <x:c r="D44" s="43" t="str">
        <x:v>con006</x:v>
      </x:c>
      <x:c r="E44" s="43" t="str">
        <x:v>out024</x:v>
      </x:c>
      <x:c r="F44" s="43" t="str">
        <x:v>es043</x:v>
      </x:c>
      <x:c r="G44" s="43" t="str">
        <x:v>No</x:v>
      </x:c>
      <x:c r="H44" s="43" t="str">
        <x:v>one control, one treatment for females and males</x:v>
      </x:c>
      <x:c r="I44" s="43" t="str">
        <x:v>Ultrasound-Induced Prenatal Stress: New Possibilities for Modeling Mental Disorders</x:v>
      </x:c>
      <x:c r="J44" s="43" t="str">
        <x:v>10.1159/000534687</x:v>
      </x:c>
      <x:c r="K44" s="43" t="str">
        <x:v>Developmental Neuroscience</x:v>
      </x:c>
      <x:c r="L44" s="43" t="str"/>
      <x:c r="M44" s="43" t="str">
        <x:v>Rattus norvegicus</x:v>
      </x:c>
      <x:c r="N44" s="43" t="str">
        <x:v>brown rat</x:v>
      </x:c>
      <x:c r="O44" s="43" t="str">
        <x:v>Wistar rat</x:v>
      </x:c>
      <x:c r="P44" s="43" t="str">
        <x:v>16</x:v>
      </x:c>
      <x:c r="Q44" s="43" t="str">
        <x:v>3 months</x:v>
      </x:c>
      <x:c r="R44" s="43" t="str">
        <x:v>early, mid, late</x:v>
      </x:c>
      <x:c r="S44" s="43" t="str">
        <x:v>permanently during the
whole period of gestation (21 days)</x:v>
      </x:c>
      <x:c r="T44" s="43" t="str">
        <x:v>21</x:v>
      </x:c>
      <x:c r="U44" s="43" t="str">
        <x:v>Continuous</x:v>
      </x:c>
      <x:c r="V44" s="43" t="str">
        <x:v>24.0</x:v>
      </x:c>
      <x:c r="W44" s="43" t="str">
        <x:v>Expossed to continuous variable frequencies </x:v>
      </x:c>
      <x:c r="X44" s="43" t="str">
        <x:v>Ultrasound</x:v>
      </x:c>
      <x:c r="Y44" s="43" t="str">
        <x:v>Ultrasound</x:v>
      </x:c>
      <x:c r="Z44" s="43" t="str">
        <x:v>50</x:v>
      </x:c>
      <x:c r="AA44" s="43" t="str">
        <x:v>20,000-45,000</x:v>
      </x:c>
      <x:c r="AB44" s="43" t="str">
        <x:v>Ambient sound</x:v>
      </x:c>
      <x:c r="AC44" s="43" t="str"/>
      <x:c r="AD44" s="43" t="str">
        <x:v>No noise, standars housing conditions</x:v>
      </x:c>
      <x:c r="AE44" s="43" t="str">
        <x:v>female</x:v>
      </x:c>
      <x:c r="AF44" s="43" t="str">
        <x:v>95</x:v>
      </x:c>
      <x:c r="AG44" s="43" t="str"/>
      <x:c r="AH44" s="43" t="str">
        <x:v>none</x:v>
      </x:c>
      <x:c r="AI44" s="43" t="str"/>
      <x:c r="AJ44" s="43" t="str">
        <x:v>Depression</x:v>
      </x:c>
      <x:c r="AK44" s="43" t="str">
        <x:v>Forced Swimming Test (FST)</x:v>
      </x:c>
      <x:c r="AL44" s="43" t="str"/>
      <x:c r="AM44" s="43" t="str">
        <x:v>Total immobility time</x:v>
      </x:c>
      <x:c r="AN44" s="43" t="str">
        <x:v>Time</x:v>
      </x:c>
      <x:c r="AO44" s="43" t="str">
        <x:v>s</x:v>
      </x:c>
      <x:c r="AP44" s="43" t="str">
        <x:v>Light phase</x:v>
      </x:c>
      <x:c r="AQ44" s="43" t="str">
        <x:v>Fig.4. a</x:v>
      </x:c>
      <x:c r="AR44" s="43" t="str">
        <x:v>abramova_2024_devneur_fig4a</x:v>
      </x:c>
      <x:c r="AS44" s="43" t="str">
        <x:v>Con_f_ti</x:v>
      </x:c>
      <x:c r="AT44" s="43" t="str">
        <x:v>PS_f_ti</x:v>
      </x:c>
      <x:c r="AU44" s="43" t="str">
        <x:v>Con_PS_f_ti</x:v>
      </x:c>
      <x:c r="AV44" s="43" t="str">
        <x:v>Independent</x:v>
      </x:c>
      <x:c r="AW44" s="43" t="str">
        <x:v>No</x:v>
      </x:c>
      <x:c r="AX44" s="43" t="str">
        <x:v>Positive</x:v>
      </x:c>
      <x:c r="AY44" s="43" t="str"/>
      <x:c r="AZ44" s="43" t="str">
        <x:v>49.76</x:v>
      </x:c>
      <x:c r="BA44" s="43" t="str">
        <x:v>27.37</x:v>
      </x:c>
      <x:c r="BB44" s="43" t="str">
        <x:v>14</x:v>
      </x:c>
      <x:c r="BC44" s="43" t="str">
        <x:v>7.32</x:v>
      </x:c>
      <x:c r="BD44" s="43" t="str"/>
      <x:c r="BE44" s="43" t="str">
        <x:v>86.12</x:v>
      </x:c>
      <x:c r="BF44" s="43" t="str">
        <x:v>19.43</x:v>
      </x:c>
      <x:c r="BG44" s="43" t="str">
        <x:v>13</x:v>
      </x:c>
      <x:c r="BH44" s="43" t="str">
        <x:v>5.39</x:v>
      </x:c>
      <x:c r="BI44" s="43" t="str"/>
      <x:c r="BJ44" s="43" t="str"/>
      <x:c r="BK44" s="43" t="str"/>
      <x:c r="BL44" s="43" t="str"/>
      <x:c r="BM44" s="43" t="str"/>
      <x:c r="BN44" s="43" t="str"/>
      <x:c r="BO44" s="43" t="str"/>
      <x:c r="BP44" s="43" t="str"/>
      <x:c r="BQ44" s="43" t="str"/>
      <x:c r="BR44" s="43" t="str">
        <x:v>yes</x:v>
      </x:c>
      <x:c r="BS44" s="43" t="str">
        <x:v>minor edites to extracted text needed</x:v>
      </x:c>
      <x:c r="BT44" s="43" t="str"/>
      <x:c r="BU44" s="43" t="str"/>
      <x:c r="BV44" s="43" t="str"/>
      <x:c r="BW44" s="43" t="str">
        <x:v>7.31494</x:v>
      </x:c>
      <x:c r="BX44" s="43" t="str">
        <x:v>SD / sqrt(n); derived for analysis from the extracted SD and sample size</x:v>
      </x:c>
      <x:c r="BY44" s="43" t="str">
        <x:v>abramova_2024_devneur_fig4a; Fig.4. a</x:v>
      </x:c>
      <x:c r="BZ44" s="43" t="str"/>
      <x:c r="CA44" s="43" t="str">
        <x:v>5.388912</x:v>
      </x:c>
      <x:c r="CB44" s="43" t="str">
        <x:v>SD / sqrt(n); derived for analysis from the extracted SD and sample size</x:v>
      </x:c>
      <x:c r="CC44" s="43" t="str">
        <x:v>abramova_2024_devneur_fig4a; Fig.4. a</x:v>
      </x:c>
      <x:c r="CD44" s="43" t="str">
        <x:v>Verified – no change</x:v>
      </x:c>
      <x:c r="CE44" s="43" t="str"/>
      <x:c r="CF44" s="43" t="str"/>
    </x:row>
    <x:row r="45">
      <x:c r="A45" s="43" t="str">
        <x:v>45</x:v>
      </x:c>
      <x:c r="B45" s="43" t="str">
        <x:v>abramova_2024_devneur</x:v>
      </x:c>
      <x:c r="C45" s="43" t="str">
        <x:v>ex011</x:v>
      </x:c>
      <x:c r="D45" s="43" t="str">
        <x:v>con007</x:v>
      </x:c>
      <x:c r="E45" s="43" t="str">
        <x:v>out024</x:v>
      </x:c>
      <x:c r="F45" s="43" t="str">
        <x:v>es044</x:v>
      </x:c>
      <x:c r="G45" s="43" t="str">
        <x:v>No</x:v>
      </x:c>
      <x:c r="H45" s="43" t="str">
        <x:v>one control, one treatment for females and males</x:v>
      </x:c>
      <x:c r="I45" s="43" t="str">
        <x:v>Ultrasound-Induced Prenatal Stress: New Possibilities for Modeling Mental Disorders</x:v>
      </x:c>
      <x:c r="J45" s="43" t="str">
        <x:v>10.1159/000534687</x:v>
      </x:c>
      <x:c r="K45" s="43" t="str">
        <x:v>Developmental Neuroscience</x:v>
      </x:c>
      <x:c r="L45" s="43" t="str"/>
      <x:c r="M45" s="43" t="str">
        <x:v>Rattus norvegicus</x:v>
      </x:c>
      <x:c r="N45" s="43" t="str">
        <x:v>brown rat</x:v>
      </x:c>
      <x:c r="O45" s="43" t="str">
        <x:v>Wistar rat</x:v>
      </x:c>
      <x:c r="P45" s="43" t="str">
        <x:v>16</x:v>
      </x:c>
      <x:c r="Q45" s="43" t="str">
        <x:v>3 months</x:v>
      </x:c>
      <x:c r="R45" s="43" t="str">
        <x:v>early, mid, late</x:v>
      </x:c>
      <x:c r="S45" s="43" t="str">
        <x:v>permanently during the
whole period of gestation (21 days)</x:v>
      </x:c>
      <x:c r="T45" s="43" t="str">
        <x:v>21</x:v>
      </x:c>
      <x:c r="U45" s="43" t="str">
        <x:v>Continuous</x:v>
      </x:c>
      <x:c r="V45" s="43" t="str">
        <x:v>24.0</x:v>
      </x:c>
      <x:c r="W45" s="43" t="str">
        <x:v>Expossed to continuous variable frequencies </x:v>
      </x:c>
      <x:c r="X45" s="43" t="str">
        <x:v>Ultrasound</x:v>
      </x:c>
      <x:c r="Y45" s="43" t="str">
        <x:v>Ultrasound</x:v>
      </x:c>
      <x:c r="Z45" s="43" t="str">
        <x:v>50</x:v>
      </x:c>
      <x:c r="AA45" s="43" t="str">
        <x:v>20,000-45,000</x:v>
      </x:c>
      <x:c r="AB45" s="43" t="str">
        <x:v>Ambient sound</x:v>
      </x:c>
      <x:c r="AC45" s="43" t="str"/>
      <x:c r="AD45" s="43" t="str">
        <x:v>No noise, standars housing conditions</x:v>
      </x:c>
      <x:c r="AE45" s="43" t="str">
        <x:v>male</x:v>
      </x:c>
      <x:c r="AF45" s="43" t="str">
        <x:v>95</x:v>
      </x:c>
      <x:c r="AG45" s="43" t="str"/>
      <x:c r="AH45" s="43" t="str">
        <x:v>none</x:v>
      </x:c>
      <x:c r="AI45" s="43" t="str"/>
      <x:c r="AJ45" s="43" t="str">
        <x:v>Depression</x:v>
      </x:c>
      <x:c r="AK45" s="43" t="str">
        <x:v>Forced Swimming Test (FST)</x:v>
      </x:c>
      <x:c r="AL45" s="43" t="str"/>
      <x:c r="AM45" s="43" t="str">
        <x:v>Total immobility time</x:v>
      </x:c>
      <x:c r="AN45" s="43" t="str">
        <x:v>Time</x:v>
      </x:c>
      <x:c r="AO45" s="43" t="str">
        <x:v>s</x:v>
      </x:c>
      <x:c r="AP45" s="43" t="str">
        <x:v>Light phase</x:v>
      </x:c>
      <x:c r="AQ45" s="43" t="str">
        <x:v>Fig.4. a</x:v>
      </x:c>
      <x:c r="AR45" s="43" t="str">
        <x:v>abramova_2024_devneur_fig4a</x:v>
      </x:c>
      <x:c r="AS45" s="43" t="str">
        <x:v>Con_m_ti</x:v>
      </x:c>
      <x:c r="AT45" s="43" t="str">
        <x:v>PS_m_ti</x:v>
      </x:c>
      <x:c r="AU45" s="43" t="str">
        <x:v>Con_PS_m_ti</x:v>
      </x:c>
      <x:c r="AV45" s="43" t="str">
        <x:v>Independent</x:v>
      </x:c>
      <x:c r="AW45" s="43" t="str">
        <x:v>No</x:v>
      </x:c>
      <x:c r="AX45" s="43" t="str">
        <x:v>Positive</x:v>
      </x:c>
      <x:c r="AY45" s="43" t="str"/>
      <x:c r="AZ45" s="43" t="str">
        <x:v>103.97</x:v>
      </x:c>
      <x:c r="BA45" s="43" t="str">
        <x:v>44.65</x:v>
      </x:c>
      <x:c r="BB45" s="43" t="str">
        <x:v>12</x:v>
      </x:c>
      <x:c r="BC45" s="43" t="str">
        <x:v>12.89</x:v>
      </x:c>
      <x:c r="BD45" s="43" t="str"/>
      <x:c r="BE45" s="43" t="str">
        <x:v>128.29</x:v>
      </x:c>
      <x:c r="BF45" s="43" t="str">
        <x:v>46.06</x:v>
      </x:c>
      <x:c r="BG45" s="43" t="str">
        <x:v>14</x:v>
      </x:c>
      <x:c r="BH45" s="43" t="str">
        <x:v>12.31</x:v>
      </x:c>
      <x:c r="BI45" s="43" t="str"/>
      <x:c r="BJ45" s="43" t="str"/>
      <x:c r="BK45" s="43" t="str"/>
      <x:c r="BL45" s="43" t="str"/>
      <x:c r="BM45" s="43" t="str"/>
      <x:c r="BN45" s="43" t="str"/>
      <x:c r="BO45" s="43" t="str"/>
      <x:c r="BP45" s="43" t="str"/>
      <x:c r="BQ45" s="43" t="str"/>
      <x:c r="BR45" s="43" t="str">
        <x:v>yes</x:v>
      </x:c>
      <x:c r="BS45" s="43" t="str">
        <x:v>minor edites to extracted text needed</x:v>
      </x:c>
      <x:c r="BT45" s="43" t="str"/>
      <x:c r="BU45" s="43" t="str"/>
      <x:c r="BV45" s="43" t="str"/>
      <x:c r="BW45" s="43" t="str">
        <x:v>12.889345</x:v>
      </x:c>
      <x:c r="BX45" s="43" t="str">
        <x:v>SD / sqrt(n); derived for analysis from the extracted SD and sample size</x:v>
      </x:c>
      <x:c r="BY45" s="43" t="str">
        <x:v>abramova_2024_devneur_fig4a; Fig.4. a</x:v>
      </x:c>
      <x:c r="BZ45" s="43" t="str"/>
      <x:c r="CA45" s="43" t="str">
        <x:v>12.310053</x:v>
      </x:c>
      <x:c r="CB45" s="43" t="str">
        <x:v>SD / sqrt(n); derived for analysis from the extracted SD and sample size</x:v>
      </x:c>
      <x:c r="CC45" s="43" t="str">
        <x:v>abramova_2024_devneur_fig4a; Fig.4. a</x:v>
      </x:c>
      <x:c r="CD45" s="43" t="str">
        <x:v>Verified – no change</x:v>
      </x:c>
      <x:c r="CE45" s="43" t="str"/>
      <x:c r="CF45" s="43" t="str"/>
    </x:row>
    <x:row r="46">
      <x:c r="A46" s="43" t="str">
        <x:v>46</x:v>
      </x:c>
      <x:c r="B46" s="43" t="str">
        <x:v>abramova_2024_devneur</x:v>
      </x:c>
      <x:c r="C46" s="43" t="str">
        <x:v>ex010</x:v>
      </x:c>
      <x:c r="D46" s="43" t="str">
        <x:v>con006</x:v>
      </x:c>
      <x:c r="E46" s="43" t="str">
        <x:v>out025</x:v>
      </x:c>
      <x:c r="F46" s="43" t="str">
        <x:v>es045</x:v>
      </x:c>
      <x:c r="G46" s="43" t="str">
        <x:v>No</x:v>
      </x:c>
      <x:c r="H46" s="43" t="str">
        <x:v>one control, one treatment for females and males</x:v>
      </x:c>
      <x:c r="I46" s="43" t="str">
        <x:v>Ultrasound-Induced Prenatal Stress: New Possibilities for Modeling Mental Disorders</x:v>
      </x:c>
      <x:c r="J46" s="43" t="str">
        <x:v>10.1159/000534687</x:v>
      </x:c>
      <x:c r="K46" s="43" t="str">
        <x:v>Developmental Neuroscience</x:v>
      </x:c>
      <x:c r="L46" s="43" t="str"/>
      <x:c r="M46" s="43" t="str">
        <x:v>Rattus norvegicus</x:v>
      </x:c>
      <x:c r="N46" s="43" t="str">
        <x:v>brown rat</x:v>
      </x:c>
      <x:c r="O46" s="43" t="str">
        <x:v>Wistar rat</x:v>
      </x:c>
      <x:c r="P46" s="43" t="str">
        <x:v>16</x:v>
      </x:c>
      <x:c r="Q46" s="43" t="str">
        <x:v>3 months</x:v>
      </x:c>
      <x:c r="R46" s="43" t="str">
        <x:v>early, mid, late</x:v>
      </x:c>
      <x:c r="S46" s="43" t="str">
        <x:v>permanently during the
whole period of gestation (21 days)</x:v>
      </x:c>
      <x:c r="T46" s="43" t="str">
        <x:v>21</x:v>
      </x:c>
      <x:c r="U46" s="43" t="str">
        <x:v>Continuous</x:v>
      </x:c>
      <x:c r="V46" s="43" t="str">
        <x:v>24.0</x:v>
      </x:c>
      <x:c r="W46" s="43" t="str">
        <x:v>Expossed to continuous variable frequencies </x:v>
      </x:c>
      <x:c r="X46" s="43" t="str">
        <x:v>Ultrasound</x:v>
      </x:c>
      <x:c r="Y46" s="43" t="str">
        <x:v>Ultrasound</x:v>
      </x:c>
      <x:c r="Z46" s="43" t="str">
        <x:v>50</x:v>
      </x:c>
      <x:c r="AA46" s="43" t="str">
        <x:v>20,000-45,000</x:v>
      </x:c>
      <x:c r="AB46" s="43" t="str">
        <x:v>Ambient sound</x:v>
      </x:c>
      <x:c r="AC46" s="43" t="str"/>
      <x:c r="AD46" s="43" t="str">
        <x:v>No noise, standars housing conditions</x:v>
      </x:c>
      <x:c r="AE46" s="43" t="str">
        <x:v>female</x:v>
      </x:c>
      <x:c r="AF46" s="43" t="str">
        <x:v>80</x:v>
      </x:c>
      <x:c r="AG46" s="43" t="str"/>
      <x:c r="AH46" s="43" t="str">
        <x:v>none</x:v>
      </x:c>
      <x:c r="AI46" s="43" t="str"/>
      <x:c r="AJ46" s="43" t="str">
        <x:v>Depression</x:v>
      </x:c>
      <x:c r="AK46" s="43" t="str">
        <x:v>Sucrose Preference Test (SPT)</x:v>
      </x:c>
      <x:c r="AL46" s="43" t="str"/>
      <x:c r="AM46" s="43" t="str">
        <x:v>Sucrose preference index</x:v>
      </x:c>
      <x:c r="AN46" s="43" t="str">
        <x:v>Index</x:v>
      </x:c>
      <x:c r="AO46" s="43" t="str">
        <x:v>%</x:v>
      </x:c>
      <x:c r="AP46" s="43" t="str">
        <x:v>Light phase</x:v>
      </x:c>
      <x:c r="AQ46" s="43" t="str">
        <x:v>Author email (saved screenshot)</x:v>
      </x:c>
      <x:c r="AR46" s="43" t="str">
        <x:v>included_studies/abramova_2024_devneur/abramova_2024_devneur_author_email_sucrose_preference.png</x:v>
      </x:c>
      <x:c r="AS46" s="43" t="str">
        <x:v>Con_f_su</x:v>
      </x:c>
      <x:c r="AT46" s="43" t="str">
        <x:v>PS_f_su</x:v>
      </x:c>
      <x:c r="AU46" s="43" t="str">
        <x:v>Con_PS_f_su</x:v>
      </x:c>
      <x:c r="AV46" s="43" t="str">
        <x:v>Independent</x:v>
      </x:c>
      <x:c r="AW46" s="43" t="str">
        <x:v>Yes</x:v>
      </x:c>
      <x:c r="AX46" s="43" t="str">
        <x:v>Negative</x:v>
      </x:c>
      <x:c r="AY46" s="43" t="str"/>
      <x:c r="AZ46" s="43" t="str">
        <x:v>52.8</x:v>
      </x:c>
      <x:c r="BA46" s="43" t="str"/>
      <x:c r="BB46" s="43" t="str">
        <x:v>37</x:v>
      </x:c>
      <x:c r="BC46" s="43" t="str">
        <x:v>4.3</x:v>
      </x:c>
      <x:c r="BD46" s="43" t="str"/>
      <x:c r="BE46" s="43" t="str">
        <x:v>59.8</x:v>
      </x:c>
      <x:c r="BF46" s="43" t="str"/>
      <x:c r="BG46" s="43" t="str">
        <x:v>49</x:v>
      </x:c>
      <x:c r="BH46" s="43" t="str">
        <x:v>5.4</x:v>
      </x:c>
      <x:c r="BI46" s="43" t="str"/>
      <x:c r="BJ46" s="43" t="str">
        <x:v>They reported significance in the paper, the author send me the stats output</x:v>
      </x:c>
      <x:c r="BK46" s="43" t="str"/>
      <x:c r="BL46" s="43" t="str"/>
      <x:c r="BM46" s="43" t="str"/>
      <x:c r="BN46" s="43" t="str"/>
      <x:c r="BO46" s="43" t="str"/>
      <x:c r="BP46" s="43" t="str"/>
      <x:c r="BQ46" s="43" t="str"/>
      <x:c r="BR46" s="43" t="str">
        <x:v>yes</x:v>
      </x:c>
      <x:c r="BS46" s="43" t="str">
        <x:v>checks and minor edites to extracted text needed</x:v>
      </x:c>
      <x:c r="BT46" s="43" t="str"/>
      <x:c r="BU46" s="43" t="str"/>
      <x:c r="BV46" s="43" t="str">
        <x:v>4.3</x:v>
      </x:c>
      <x:c r="BW46" s="43" t="str">
        <x:v>4.3</x:v>
      </x:c>
      <x:c r="BX46" s="43" t="str">
        <x:v>Reported SE in author email; used unchanged for analysis</x:v>
      </x:c>
      <x:c r="BY46" s="43" t="str">
        <x:v>included_studies/abramova_2024_devneur/abramova_2024_devneur_author_email_sucrose_preference.png</x:v>
      </x:c>
      <x:c r="BZ46" s="43" t="str">
        <x:v>5.4</x:v>
      </x:c>
      <x:c r="CA46" s="43" t="str">
        <x:v>5.4</x:v>
      </x:c>
      <x:c r="CB46" s="43" t="str">
        <x:v>Reported SE in author email; used unchanged for analysis</x:v>
      </x:c>
      <x:c r="CC46" s="43" t="str">
        <x:v>included_studies/abramova_2024_devneur/abramova_2024_devneur_author_email_sucrose_preference.png</x:v>
      </x:c>
      <x:c r="CD46" s="43" t="str">
        <x:v>Corrected transcription</x:v>
      </x:c>
      <x:c r="CE46" s="43" t="str">
        <x:v>Source follow-up – Abramova 2024</x:v>
      </x:c>
      <x:c r="CF46" s="43" t="str">
        <x:v>The supplied author email confirms the stored mean and SE values. | Link the extracted values to the archived author correspondence screenshot.</x:v>
      </x:c>
    </x:row>
    <x:row r="47">
      <x:c r="A47" s="43" t="str">
        <x:v>47</x:v>
      </x:c>
      <x:c r="B47" s="43" t="str">
        <x:v>abramova_2024_devneur</x:v>
      </x:c>
      <x:c r="C47" s="43" t="str">
        <x:v>ex011</x:v>
      </x:c>
      <x:c r="D47" s="43" t="str">
        <x:v>con007</x:v>
      </x:c>
      <x:c r="E47" s="43" t="str">
        <x:v>out025</x:v>
      </x:c>
      <x:c r="F47" s="43" t="str">
        <x:v>es046</x:v>
      </x:c>
      <x:c r="G47" s="43" t="str">
        <x:v>No</x:v>
      </x:c>
      <x:c r="H47" s="43" t="str">
        <x:v>one control, one treatment for females and males</x:v>
      </x:c>
      <x:c r="I47" s="43" t="str">
        <x:v>Ultrasound-Induced Prenatal Stress: New Possibilities for Modeling Mental Disorders</x:v>
      </x:c>
      <x:c r="J47" s="43" t="str">
        <x:v>10.1159/000534687</x:v>
      </x:c>
      <x:c r="K47" s="43" t="str">
        <x:v>Developmental Neuroscience</x:v>
      </x:c>
      <x:c r="L47" s="43" t="str"/>
      <x:c r="M47" s="43" t="str">
        <x:v>Rattus norvegicus</x:v>
      </x:c>
      <x:c r="N47" s="43" t="str">
        <x:v>brown rat</x:v>
      </x:c>
      <x:c r="O47" s="43" t="str">
        <x:v>Wistar rat</x:v>
      </x:c>
      <x:c r="P47" s="43" t="str">
        <x:v>16</x:v>
      </x:c>
      <x:c r="Q47" s="43" t="str">
        <x:v>3 months</x:v>
      </x:c>
      <x:c r="R47" s="43" t="str">
        <x:v>early, mid, late</x:v>
      </x:c>
      <x:c r="S47" s="43" t="str">
        <x:v>permanently during the
whole period of gestation (21 days)</x:v>
      </x:c>
      <x:c r="T47" s="43" t="str">
        <x:v>21</x:v>
      </x:c>
      <x:c r="U47" s="43" t="str">
        <x:v>Continuous</x:v>
      </x:c>
      <x:c r="V47" s="43" t="str">
        <x:v>24.0</x:v>
      </x:c>
      <x:c r="W47" s="43" t="str">
        <x:v>Expossed to continuous variable frequencies </x:v>
      </x:c>
      <x:c r="X47" s="43" t="str">
        <x:v>Ultrasound</x:v>
      </x:c>
      <x:c r="Y47" s="43" t="str">
        <x:v>Ultrasound</x:v>
      </x:c>
      <x:c r="Z47" s="43" t="str">
        <x:v>50</x:v>
      </x:c>
      <x:c r="AA47" s="43" t="str">
        <x:v>20,000-45,000</x:v>
      </x:c>
      <x:c r="AB47" s="43" t="str">
        <x:v>Ambient sound</x:v>
      </x:c>
      <x:c r="AC47" s="43" t="str"/>
      <x:c r="AD47" s="43" t="str">
        <x:v>No noise, standars housing conditions</x:v>
      </x:c>
      <x:c r="AE47" s="43" t="str">
        <x:v>male</x:v>
      </x:c>
      <x:c r="AF47" s="43" t="str">
        <x:v>80</x:v>
      </x:c>
      <x:c r="AG47" s="43" t="str"/>
      <x:c r="AH47" s="43" t="str">
        <x:v>none</x:v>
      </x:c>
      <x:c r="AI47" s="43" t="str"/>
      <x:c r="AJ47" s="43" t="str">
        <x:v>Depression</x:v>
      </x:c>
      <x:c r="AK47" s="43" t="str">
        <x:v>Sucrose Preference Test (SPT)</x:v>
      </x:c>
      <x:c r="AL47" s="43" t="str"/>
      <x:c r="AM47" s="43" t="str">
        <x:v>Sucrose preference index</x:v>
      </x:c>
      <x:c r="AN47" s="43" t="str">
        <x:v>Index</x:v>
      </x:c>
      <x:c r="AO47" s="43" t="str">
        <x:v>%</x:v>
      </x:c>
      <x:c r="AP47" s="43" t="str">
        <x:v>Light phase</x:v>
      </x:c>
      <x:c r="AQ47" s="43" t="str">
        <x:v>Author email (saved screenshot)</x:v>
      </x:c>
      <x:c r="AR47" s="43" t="str">
        <x:v>included_studies/abramova_2024_devneur/abramova_2024_devneur_author_email_sucrose_preference.png</x:v>
      </x:c>
      <x:c r="AS47" s="43" t="str">
        <x:v>Con_m_su</x:v>
      </x:c>
      <x:c r="AT47" s="43" t="str">
        <x:v>PS_m_su</x:v>
      </x:c>
      <x:c r="AU47" s="43" t="str">
        <x:v>Con_PS_m_su</x:v>
      </x:c>
      <x:c r="AV47" s="43" t="str">
        <x:v>Independent</x:v>
      </x:c>
      <x:c r="AW47" s="43" t="str">
        <x:v>Yes</x:v>
      </x:c>
      <x:c r="AX47" s="43" t="str">
        <x:v>Negative</x:v>
      </x:c>
      <x:c r="AY47" s="43" t="str"/>
      <x:c r="AZ47" s="43" t="str">
        <x:v>54.8</x:v>
      </x:c>
      <x:c r="BA47" s="43" t="str"/>
      <x:c r="BB47" s="43" t="str">
        <x:v>35</x:v>
      </x:c>
      <x:c r="BC47" s="43" t="str">
        <x:v>5.2</x:v>
      </x:c>
      <x:c r="BD47" s="43" t="str"/>
      <x:c r="BE47" s="43" t="str">
        <x:v>57.8</x:v>
      </x:c>
      <x:c r="BF47" s="43" t="str"/>
      <x:c r="BG47" s="43" t="str">
        <x:v>44</x:v>
      </x:c>
      <x:c r="BH47" s="43" t="str">
        <x:v>4.3</x:v>
      </x:c>
      <x:c r="BI47" s="43" t="str"/>
      <x:c r="BJ47" s="43" t="str">
        <x:v>They reported significance in the paper, the author send me the stats output</x:v>
      </x:c>
      <x:c r="BK47" s="43" t="str"/>
      <x:c r="BL47" s="43" t="str"/>
      <x:c r="BM47" s="43" t="str"/>
      <x:c r="BN47" s="43" t="str"/>
      <x:c r="BO47" s="43" t="str"/>
      <x:c r="BP47" s="43" t="str"/>
      <x:c r="BQ47" s="43" t="str"/>
      <x:c r="BR47" s="43" t="str">
        <x:v>yes</x:v>
      </x:c>
      <x:c r="BS47" s="43" t="str">
        <x:v>checks and minor edites to extracted text needed</x:v>
      </x:c>
      <x:c r="BT47" s="43" t="str"/>
      <x:c r="BU47" s="43" t="str"/>
      <x:c r="BV47" s="43" t="str">
        <x:v>5.2</x:v>
      </x:c>
      <x:c r="BW47" s="43" t="str">
        <x:v>5.2</x:v>
      </x:c>
      <x:c r="BX47" s="43" t="str">
        <x:v>Reported SE in author email; used unchanged for analysis</x:v>
      </x:c>
      <x:c r="BY47" s="43" t="str">
        <x:v>included_studies/abramova_2024_devneur/abramova_2024_devneur_author_email_sucrose_preference.png</x:v>
      </x:c>
      <x:c r="BZ47" s="43" t="str">
        <x:v>4.3</x:v>
      </x:c>
      <x:c r="CA47" s="43" t="str">
        <x:v>4.3</x:v>
      </x:c>
      <x:c r="CB47" s="43" t="str">
        <x:v>Reported SE in author email; used unchanged for analysis</x:v>
      </x:c>
      <x:c r="CC47" s="43" t="str">
        <x:v>included_studies/abramova_2024_devneur/abramova_2024_devneur_author_email_sucrose_preference.png</x:v>
      </x:c>
      <x:c r="CD47" s="43" t="str">
        <x:v>Corrected transcription</x:v>
      </x:c>
      <x:c r="CE47" s="43" t="str">
        <x:v>Source follow-up – Abramova 2024</x:v>
      </x:c>
      <x:c r="CF47" s="43" t="str">
        <x:v>The supplied author email confirms the stored mean and SE values. | Link the extracted values to the archived author correspondence screenshot.</x:v>
      </x:c>
    </x:row>
    <x:row r="48">
      <x:c r="A48" s="43" t="str">
        <x:v>48</x:v>
      </x:c>
      <x:c r="B48" s="43" t="str">
        <x:v>oliveira_2015_jbehavbraisci</x:v>
      </x:c>
      <x:c r="C48" s="43" t="str">
        <x:v>ex012</x:v>
      </x:c>
      <x:c r="D48" s="43" t="str">
        <x:v>con008</x:v>
      </x:c>
      <x:c r="E48" s="43" t="str">
        <x:v>out026</x:v>
      </x:c>
      <x:c r="F48" s="43" t="str">
        <x:v>es047</x:v>
      </x:c>
      <x:c r="G48" s="43" t="str">
        <x:v>Yes</x:v>
      </x:c>
      <x:c r="H48" s="43" t="str">
        <x:v>They used the elevated T Maze, where they measured anxiety in 3 days trials, and fear from anxiety in one trial</x:v>
      </x:c>
      <x:c r="I48" s="43" t="str">
        <x:v>Intrauterine Exposure to Chronic 22 kHz Sound Affects Inhibitory Avoidance and Serotonergic Parameters in Forebrain Areas of Dams and Rat Offspring</x:v>
      </x:c>
      <x:c r="J48" s="43" t="str">
        <x:v>10.4236/jbbs.2015.52003</x:v>
      </x:c>
      <x:c r="K48" s="43" t="str">
        <x:v>Journal of Behavioral and Brain Science</x:v>
      </x:c>
      <x:c r="L48" s="43" t="str"/>
      <x:c r="M48" s="43" t="str">
        <x:v>Rattus norvegicus</x:v>
      </x:c>
      <x:c r="N48" s="43" t="str">
        <x:v>brown rat</x:v>
      </x:c>
      <x:c r="O48" s="43" t="str">
        <x:v>Wistar rat</x:v>
      </x:c>
      <x:c r="P48" s="43" t="str">
        <x:v>16</x:v>
      </x:c>
      <x:c r="Q48" s="43" t="str">
        <x:v>3 months</x:v>
      </x:c>
      <x:c r="R48" s="43" t="str">
        <x:v>early, mid, late</x:v>
      </x:c>
      <x:c r="S48" s="43" t="str"/>
      <x:c r="T48" s="43" t="str">
        <x:v>19</x:v>
      </x:c>
      <x:c r="U48" s="43" t="str">
        <x:v>Intermitent</x:v>
      </x:c>
      <x:c r="V48" s="43" t="str">
        <x:v>1.0</x:v>
      </x:c>
      <x:c r="W48" s="43" t="str">
        <x:v>h</x:v>
      </x:c>
      <x:c r="X48" s="43" t="str">
        <x:v>Ultrasound</x:v>
      </x:c>
      <x:c r="Y48" s="43" t="str">
        <x:v>Ultrasound</x:v>
      </x:c>
      <x:c r="Z48" s="43" t="str">
        <x:v>65</x:v>
      </x:c>
      <x:c r="AA48" s="43" t="str">
        <x:v>22,000</x:v>
      </x:c>
      <x:c r="AB48" s="43" t="str">
        <x:v>Silence</x:v>
      </x:c>
      <x:c r="AC48" s="43" t="str"/>
      <x:c r="AD48" s="43" t="str">
        <x:v>Control placed in an acoustical isolation box for the same period of time</x:v>
      </x:c>
      <x:c r="AE48" s="43" t="str">
        <x:v>male</x:v>
      </x:c>
      <x:c r="AF48" s="43" t="str">
        <x:v>60</x:v>
      </x:c>
      <x:c r="AG48" s="43" t="str"/>
      <x:c r="AH48" s="43" t="str">
        <x:v>none</x:v>
      </x:c>
      <x:c r="AI48" s="43" t="str"/>
      <x:c r="AJ48" s="43" t="str">
        <x:v>Anxiety</x:v>
      </x:c>
      <x:c r="AK48" s="43" t="str">
        <x:v>Elevated T Maze (ETM)</x:v>
      </x:c>
      <x:c r="AL48" s="43" t="str">
        <x:v>Multiple time points</x:v>
      </x:c>
      <x:c r="AM48" s="43" t="str">
        <x:v>Avoidance latency</x:v>
      </x:c>
      <x:c r="AN48" s="43" t="str">
        <x:v>Latency</x:v>
      </x:c>
      <x:c r="AO48" s="43" t="str">
        <x:v>s</x:v>
      </x:c>
      <x:c r="AP48" s="43" t="str">
        <x:v>Light phase</x:v>
      </x:c>
      <x:c r="AQ48" s="43" t="str">
        <x:v>Figure 2. b</x:v>
      </x:c>
      <x:c r="AR48" s="43" t="str">
        <x:v>oliveira_2015_jbehavbraisci_fig2b</x:v>
      </x:c>
      <x:c r="AS48" s="43" t="str">
        <x:v>C_BL</x:v>
      </x:c>
      <x:c r="AT48" s="43" t="str">
        <x:v>IE_BL</x:v>
      </x:c>
      <x:c r="AU48" s="43" t="str">
        <x:v>C_IE_BL</x:v>
      </x:c>
      <x:c r="AV48" s="43" t="str">
        <x:v>Dependent</x:v>
      </x:c>
      <x:c r="AW48" s="43" t="str">
        <x:v>No</x:v>
      </x:c>
      <x:c r="AX48" s="43" t="str">
        <x:v>Positive</x:v>
      </x:c>
      <x:c r="AY48" s="43" t="str"/>
      <x:c r="AZ48" s="43" t="str">
        <x:v>9.33</x:v>
      </x:c>
      <x:c r="BA48" s="43" t="str">
        <x:v>25.13</x:v>
      </x:c>
      <x:c r="BB48" s="43" t="str">
        <x:v>12</x:v>
      </x:c>
      <x:c r="BC48" s="43" t="str">
        <x:v>7.25</x:v>
      </x:c>
      <x:c r="BD48" s="43" t="str"/>
      <x:c r="BE48" s="43" t="str">
        <x:v>6.22</x:v>
      </x:c>
      <x:c r="BF48" s="43" t="str">
        <x:v>14.36</x:v>
      </x:c>
      <x:c r="BG48" s="43" t="str">
        <x:v>12</x:v>
      </x:c>
      <x:c r="BH48" s="43" t="str">
        <x:v>4.15</x:v>
      </x:c>
      <x:c r="BI48" s="43" t="str"/>
      <x:c r="BJ48" s="43" t="str"/>
      <x:c r="BK48" s="43" t="str"/>
      <x:c r="BL48" s="43" t="str"/>
      <x:c r="BM48" s="43" t="str"/>
      <x:c r="BN48" s="43" t="str"/>
      <x:c r="BO48" s="43" t="str"/>
      <x:c r="BP48" s="43" t="str"/>
      <x:c r="BQ48" s="43" t="str"/>
      <x:c r="BR48" s="43" t="str">
        <x:v>yes</x:v>
      </x:c>
      <x:c r="BS48" s="43" t="str"/>
      <x:c r="BT48" s="43" t="str"/>
      <x:c r="BU48" s="43" t="str"/>
      <x:c r="BV48" s="43" t="str">
        <x:v>7.25</x:v>
      </x:c>
      <x:c r="BW48" s="43" t="str">
        <x:v>7.25</x:v>
      </x:c>
      <x:c r="BX48" s="43" t="str">
        <x:v>Reported SEM; used unchanged for analysis</x:v>
      </x:c>
      <x:c r="BY48" s="43" t="str">
        <x:v>oliveira_2015_jbehavbraisci_fig2b; Figure 2. b</x:v>
      </x:c>
      <x:c r="BZ48" s="43" t="str">
        <x:v>4.15</x:v>
      </x:c>
      <x:c r="CA48" s="43" t="str">
        <x:v>4.15</x:v>
      </x:c>
      <x:c r="CB48" s="43" t="str">
        <x:v>Reported SEM; used unchanged for analysis</x:v>
      </x:c>
      <x:c r="CC48" s="43" t="str">
        <x:v>oliveira_2015_jbehavbraisci_fig2b; Figure 2. b</x:v>
      </x:c>
      <x:c r="CD48" s="43" t="str">
        <x:v>Verified – no change</x:v>
      </x:c>
      <x:c r="CE48" s="43" t="str"/>
      <x:c r="CF48" s="43" t="str"/>
    </x:row>
    <x:row r="49">
      <x:c r="A49" s="43" t="str">
        <x:v>49</x:v>
      </x:c>
      <x:c r="B49" s="43" t="str">
        <x:v>oliveira_2015_jbehavbraisci</x:v>
      </x:c>
      <x:c r="C49" s="43" t="str">
        <x:v>ex012</x:v>
      </x:c>
      <x:c r="D49" s="43" t="str">
        <x:v>con008</x:v>
      </x:c>
      <x:c r="E49" s="43" t="str">
        <x:v>out026</x:v>
      </x:c>
      <x:c r="F49" s="43" t="str">
        <x:v>es048</x:v>
      </x:c>
      <x:c r="G49" s="43" t="str">
        <x:v>Yes</x:v>
      </x:c>
      <x:c r="H49" s="43" t="str">
        <x:v>They used the elevated T Maze, where they measured anxiety in 3 days trials, and fear from anxiety in one trial</x:v>
      </x:c>
      <x:c r="I49" s="43" t="str">
        <x:v>Intrauterine Exposure to Chronic 22 kHz Sound Affects Inhibitory Avoidance and Serotonergic Parameters in Forebrain Areas of Dams and Rat Offspring</x:v>
      </x:c>
      <x:c r="J49" s="43" t="str">
        <x:v>10.4236/jbbs.2015.52003</x:v>
      </x:c>
      <x:c r="K49" s="43" t="str">
        <x:v>Journal of Behavioral and Brain Science</x:v>
      </x:c>
      <x:c r="L49" s="43" t="str"/>
      <x:c r="M49" s="43" t="str">
        <x:v>Rattus norvegicus</x:v>
      </x:c>
      <x:c r="N49" s="43" t="str">
        <x:v>brown rat</x:v>
      </x:c>
      <x:c r="O49" s="43" t="str">
        <x:v>Wistar rat</x:v>
      </x:c>
      <x:c r="P49" s="43" t="str">
        <x:v>16</x:v>
      </x:c>
      <x:c r="Q49" s="43" t="str">
        <x:v>3 months</x:v>
      </x:c>
      <x:c r="R49" s="43" t="str">
        <x:v>early, mid, late</x:v>
      </x:c>
      <x:c r="S49" s="43" t="str"/>
      <x:c r="T49" s="43" t="str">
        <x:v>19</x:v>
      </x:c>
      <x:c r="U49" s="43" t="str">
        <x:v>Intermitent</x:v>
      </x:c>
      <x:c r="V49" s="43" t="str">
        <x:v>1.0</x:v>
      </x:c>
      <x:c r="W49" s="43" t="str">
        <x:v>h</x:v>
      </x:c>
      <x:c r="X49" s="43" t="str">
        <x:v>Ultrasound</x:v>
      </x:c>
      <x:c r="Y49" s="43" t="str">
        <x:v>Ultrasound</x:v>
      </x:c>
      <x:c r="Z49" s="43" t="str">
        <x:v>65</x:v>
      </x:c>
      <x:c r="AA49" s="43" t="str">
        <x:v>22,000</x:v>
      </x:c>
      <x:c r="AB49" s="43" t="str">
        <x:v>Silence</x:v>
      </x:c>
      <x:c r="AC49" s="43" t="str"/>
      <x:c r="AD49" s="43" t="str">
        <x:v>Control placed in an acoustical isolation box for the same period of time</x:v>
      </x:c>
      <x:c r="AE49" s="43" t="str">
        <x:v>male</x:v>
      </x:c>
      <x:c r="AF49" s="43" t="str">
        <x:v>60</x:v>
      </x:c>
      <x:c r="AG49" s="43" t="str"/>
      <x:c r="AH49" s="43" t="str">
        <x:v>none</x:v>
      </x:c>
      <x:c r="AI49" s="43" t="str"/>
      <x:c r="AJ49" s="43" t="str">
        <x:v>Anxiety</x:v>
      </x:c>
      <x:c r="AK49" s="43" t="str">
        <x:v>Elevated T Maze (ETM)</x:v>
      </x:c>
      <x:c r="AL49" s="43" t="str">
        <x:v>Multiple time points</x:v>
      </x:c>
      <x:c r="AM49" s="43" t="str">
        <x:v>Avoidance latency</x:v>
      </x:c>
      <x:c r="AN49" s="43" t="str">
        <x:v>Latency</x:v>
      </x:c>
      <x:c r="AO49" s="43" t="str">
        <x:v>s</x:v>
      </x:c>
      <x:c r="AP49" s="43" t="str">
        <x:v>Light phase</x:v>
      </x:c>
      <x:c r="AQ49" s="43" t="str">
        <x:v>Figure 2. b</x:v>
      </x:c>
      <x:c r="AR49" s="43" t="str">
        <x:v>oliveira_2015_jbehavbraisci_fig2b</x:v>
      </x:c>
      <x:c r="AS49" s="43" t="str">
        <x:v>C_A1</x:v>
      </x:c>
      <x:c r="AT49" s="43" t="str">
        <x:v>IE_A1</x:v>
      </x:c>
      <x:c r="AU49" s="43" t="str">
        <x:v>C_IE_A1</x:v>
      </x:c>
      <x:c r="AV49" s="43" t="str">
        <x:v>Dependent</x:v>
      </x:c>
      <x:c r="AW49" s="43" t="str">
        <x:v>No</x:v>
      </x:c>
      <x:c r="AX49" s="43" t="str">
        <x:v>Positive</x:v>
      </x:c>
      <x:c r="AY49" s="43" t="str"/>
      <x:c r="AZ49" s="43" t="str">
        <x:v>56.48</x:v>
      </x:c>
      <x:c r="BA49" s="43" t="str">
        <x:v>118.46</x:v>
      </x:c>
      <x:c r="BB49" s="43" t="str">
        <x:v>12</x:v>
      </x:c>
      <x:c r="BC49" s="43" t="str">
        <x:v>34.2</x:v>
      </x:c>
      <x:c r="BD49" s="43" t="str"/>
      <x:c r="BE49" s="43" t="str">
        <x:v>86.53</x:v>
      </x:c>
      <x:c r="BF49" s="43" t="str">
        <x:v>131.03</x:v>
      </x:c>
      <x:c r="BG49" s="43" t="str">
        <x:v>12</x:v>
      </x:c>
      <x:c r="BH49" s="43" t="str">
        <x:v>37.82</x:v>
      </x:c>
      <x:c r="BI49" s="43" t="str"/>
      <x:c r="BJ49" s="43" t="str"/>
      <x:c r="BK49" s="43" t="str"/>
      <x:c r="BL49" s="43" t="str"/>
      <x:c r="BM49" s="43" t="str"/>
      <x:c r="BN49" s="43" t="str"/>
      <x:c r="BO49" s="43" t="str"/>
      <x:c r="BP49" s="43" t="str"/>
      <x:c r="BQ49" s="43" t="str"/>
      <x:c r="BR49" s="43" t="str">
        <x:v>yes</x:v>
      </x:c>
      <x:c r="BS49" s="43" t="str"/>
      <x:c r="BT49" s="43" t="str"/>
      <x:c r="BU49" s="43" t="str"/>
      <x:c r="BV49" s="43" t="str">
        <x:v>34.2</x:v>
      </x:c>
      <x:c r="BW49" s="43" t="str">
        <x:v>34.2</x:v>
      </x:c>
      <x:c r="BX49" s="43" t="str">
        <x:v>Reported SEM; used unchanged for analysis</x:v>
      </x:c>
      <x:c r="BY49" s="43" t="str">
        <x:v>oliveira_2015_jbehavbraisci_fig2b; Figure 2. b</x:v>
      </x:c>
      <x:c r="BZ49" s="43" t="str">
        <x:v>37.82</x:v>
      </x:c>
      <x:c r="CA49" s="43" t="str">
        <x:v>37.82</x:v>
      </x:c>
      <x:c r="CB49" s="43" t="str">
        <x:v>Reported SEM; used unchanged for analysis</x:v>
      </x:c>
      <x:c r="CC49" s="43" t="str">
        <x:v>oliveira_2015_jbehavbraisci_fig2b; Figure 2. b</x:v>
      </x:c>
      <x:c r="CD49" s="43" t="str">
        <x:v>Verified – no change</x:v>
      </x:c>
      <x:c r="CE49" s="43" t="str"/>
      <x:c r="CF49" s="43" t="str"/>
    </x:row>
    <x:row r="50">
      <x:c r="A50" s="43" t="str">
        <x:v>50</x:v>
      </x:c>
      <x:c r="B50" s="43" t="str">
        <x:v>oliveira_2015_jbehavbraisci</x:v>
      </x:c>
      <x:c r="C50" s="43" t="str">
        <x:v>ex012</x:v>
      </x:c>
      <x:c r="D50" s="43" t="str">
        <x:v>con008</x:v>
      </x:c>
      <x:c r="E50" s="43" t="str">
        <x:v>out026</x:v>
      </x:c>
      <x:c r="F50" s="43" t="str">
        <x:v>es049</x:v>
      </x:c>
      <x:c r="G50" s="43" t="str">
        <x:v>Yes</x:v>
      </x:c>
      <x:c r="H50" s="43" t="str">
        <x:v>They used the elevated T Maze, where they measured anxiety in 3 days trials, and fear from anxiety in one trial</x:v>
      </x:c>
      <x:c r="I50" s="43" t="str">
        <x:v>Intrauterine Exposure to Chronic 22 kHz Sound Affects Inhibitory Avoidance and Serotonergic Parameters in Forebrain Areas of Dams and Rat Offspring</x:v>
      </x:c>
      <x:c r="J50" s="43" t="str">
        <x:v>10.4236/jbbs.2015.52003</x:v>
      </x:c>
      <x:c r="K50" s="43" t="str">
        <x:v>Journal of Behavioral and Brain Science</x:v>
      </x:c>
      <x:c r="L50" s="43" t="str"/>
      <x:c r="M50" s="43" t="str">
        <x:v>Rattus norvegicus</x:v>
      </x:c>
      <x:c r="N50" s="43" t="str">
        <x:v>brown rat</x:v>
      </x:c>
      <x:c r="O50" s="43" t="str">
        <x:v>Wistar rat</x:v>
      </x:c>
      <x:c r="P50" s="43" t="str">
        <x:v>16</x:v>
      </x:c>
      <x:c r="Q50" s="43" t="str">
        <x:v>3 months</x:v>
      </x:c>
      <x:c r="R50" s="43" t="str">
        <x:v>early, mid, late</x:v>
      </x:c>
      <x:c r="S50" s="43" t="str"/>
      <x:c r="T50" s="43" t="str">
        <x:v>19</x:v>
      </x:c>
      <x:c r="U50" s="43" t="str">
        <x:v>Intermitent</x:v>
      </x:c>
      <x:c r="V50" s="43" t="str">
        <x:v>1.0</x:v>
      </x:c>
      <x:c r="W50" s="43" t="str">
        <x:v>h</x:v>
      </x:c>
      <x:c r="X50" s="43" t="str">
        <x:v>Ultrasound</x:v>
      </x:c>
      <x:c r="Y50" s="43" t="str">
        <x:v>Ultrasound</x:v>
      </x:c>
      <x:c r="Z50" s="43" t="str">
        <x:v>65</x:v>
      </x:c>
      <x:c r="AA50" s="43" t="str">
        <x:v>22,000</x:v>
      </x:c>
      <x:c r="AB50" s="43" t="str">
        <x:v>Silence</x:v>
      </x:c>
      <x:c r="AC50" s="43" t="str"/>
      <x:c r="AD50" s="43" t="str">
        <x:v>Control placed in an acoustical isolation box for the same period of time</x:v>
      </x:c>
      <x:c r="AE50" s="43" t="str">
        <x:v>male</x:v>
      </x:c>
      <x:c r="AF50" s="43" t="str">
        <x:v>60</x:v>
      </x:c>
      <x:c r="AG50" s="43" t="str"/>
      <x:c r="AH50" s="43" t="str">
        <x:v>none</x:v>
      </x:c>
      <x:c r="AI50" s="43" t="str"/>
      <x:c r="AJ50" s="43" t="str">
        <x:v>Anxiety</x:v>
      </x:c>
      <x:c r="AK50" s="43" t="str">
        <x:v>Elevated T Maze (ETM)</x:v>
      </x:c>
      <x:c r="AL50" s="43" t="str">
        <x:v>Multiple time points</x:v>
      </x:c>
      <x:c r="AM50" s="43" t="str">
        <x:v>Avoidance latency</x:v>
      </x:c>
      <x:c r="AN50" s="43" t="str">
        <x:v>Latency</x:v>
      </x:c>
      <x:c r="AO50" s="43" t="str">
        <x:v>s</x:v>
      </x:c>
      <x:c r="AP50" s="43" t="str">
        <x:v>Light phase</x:v>
      </x:c>
      <x:c r="AQ50" s="43" t="str">
        <x:v>Figure 2. b</x:v>
      </x:c>
      <x:c r="AR50" s="43" t="str">
        <x:v>oliveira_2015_jbehavbraisci_fig2b</x:v>
      </x:c>
      <x:c r="AS50" s="43" t="str">
        <x:v>C_A2</x:v>
      </x:c>
      <x:c r="AT50" s="43" t="str">
        <x:v>IE_A2</x:v>
      </x:c>
      <x:c r="AU50" s="43" t="str">
        <x:v>C_IE_A2</x:v>
      </x:c>
      <x:c r="AV50" s="43" t="str">
        <x:v>Dependent</x:v>
      </x:c>
      <x:c r="AW50" s="43" t="str">
        <x:v>No</x:v>
      </x:c>
      <x:c r="AX50" s="43" t="str">
        <x:v>Positive</x:v>
      </x:c>
      <x:c r="AY50" s="43" t="str"/>
      <x:c r="AZ50" s="43" t="str">
        <x:v>103.11</x:v>
      </x:c>
      <x:c r="BA50" s="43" t="str">
        <x:v>129.23</x:v>
      </x:c>
      <x:c r="BB50" s="43" t="str">
        <x:v>12</x:v>
      </x:c>
      <x:c r="BC50" s="43" t="str">
        <x:v>37.31</x:v>
      </x:c>
      <x:c r="BD50" s="43" t="str"/>
      <x:c r="BE50" s="43" t="str">
        <x:v>136.27</x:v>
      </x:c>
      <x:c r="BF50" s="43" t="str">
        <x:v>147.18</x:v>
      </x:c>
      <x:c r="BG50" s="43" t="str">
        <x:v>12</x:v>
      </x:c>
      <x:c r="BH50" s="43" t="str">
        <x:v>42.49</x:v>
      </x:c>
      <x:c r="BI50" s="43" t="str"/>
      <x:c r="BJ50" s="43" t="str"/>
      <x:c r="BK50" s="43" t="str"/>
      <x:c r="BL50" s="43" t="str"/>
      <x:c r="BM50" s="43" t="str"/>
      <x:c r="BN50" s="43" t="str"/>
      <x:c r="BO50" s="43" t="str"/>
      <x:c r="BP50" s="43" t="str"/>
      <x:c r="BQ50" s="43" t="str"/>
      <x:c r="BR50" s="43" t="str">
        <x:v>yes</x:v>
      </x:c>
      <x:c r="BS50" s="43" t="str"/>
      <x:c r="BT50" s="43" t="str"/>
      <x:c r="BU50" s="43" t="str"/>
      <x:c r="BV50" s="43" t="str">
        <x:v>37.31</x:v>
      </x:c>
      <x:c r="BW50" s="43" t="str">
        <x:v>37.31</x:v>
      </x:c>
      <x:c r="BX50" s="43" t="str">
        <x:v>Reported SEM; used unchanged for analysis</x:v>
      </x:c>
      <x:c r="BY50" s="43" t="str">
        <x:v>oliveira_2015_jbehavbraisci_fig2b; Figure 2. b</x:v>
      </x:c>
      <x:c r="BZ50" s="43" t="str">
        <x:v>42.49</x:v>
      </x:c>
      <x:c r="CA50" s="43" t="str">
        <x:v>42.49</x:v>
      </x:c>
      <x:c r="CB50" s="43" t="str">
        <x:v>Reported SEM; used unchanged for analysis</x:v>
      </x:c>
      <x:c r="CC50" s="43" t="str">
        <x:v>oliveira_2015_jbehavbraisci_fig2b; Figure 2. b</x:v>
      </x:c>
      <x:c r="CD50" s="43" t="str">
        <x:v>Verified – no change</x:v>
      </x:c>
      <x:c r="CE50" s="43" t="str"/>
      <x:c r="CF50" s="43" t="str"/>
    </x:row>
    <x:row r="51">
      <x:c r="A51" s="43" t="str">
        <x:v>51</x:v>
      </x:c>
      <x:c r="B51" s="43" t="str">
        <x:v>oliveira_2015_jbehavbraisci</x:v>
      </x:c>
      <x:c r="C51" s="43" t="str">
        <x:v>ex012</x:v>
      </x:c>
      <x:c r="D51" s="43" t="str">
        <x:v>con008</x:v>
      </x:c>
      <x:c r="E51" s="43" t="str">
        <x:v>out027</x:v>
      </x:c>
      <x:c r="F51" s="43" t="str">
        <x:v>es050</x:v>
      </x:c>
      <x:c r="G51" s="43" t="str">
        <x:v>Yes</x:v>
      </x:c>
      <x:c r="H51" s="43" t="str">
        <x:v>They used the elevated T Maze, where they measured anxiety in 3 days trials, and fear from anxiety in one trial</x:v>
      </x:c>
      <x:c r="I51" s="43" t="str">
        <x:v>Intrauterine Exposure to Chronic 22 kHz Sound Affects Inhibitory Avoidance and Serotonergic Parameters in Forebrain Areas of Dams and Rat Offspring</x:v>
      </x:c>
      <x:c r="J51" s="43" t="str">
        <x:v>10.4236/jbbs.2015.52003</x:v>
      </x:c>
      <x:c r="K51" s="43" t="str">
        <x:v>Journal of Behavioral and Brain Science</x:v>
      </x:c>
      <x:c r="L51" s="43" t="str"/>
      <x:c r="M51" s="43" t="str">
        <x:v>Rattus norvegicus</x:v>
      </x:c>
      <x:c r="N51" s="43" t="str">
        <x:v>brown rat</x:v>
      </x:c>
      <x:c r="O51" s="43" t="str">
        <x:v>Wistar rat</x:v>
      </x:c>
      <x:c r="P51" s="43" t="str">
        <x:v>16</x:v>
      </x:c>
      <x:c r="Q51" s="43" t="str">
        <x:v>3 months</x:v>
      </x:c>
      <x:c r="R51" s="43" t="str">
        <x:v>early, mid, late</x:v>
      </x:c>
      <x:c r="S51" s="43" t="str"/>
      <x:c r="T51" s="43" t="str">
        <x:v>19</x:v>
      </x:c>
      <x:c r="U51" s="43" t="str">
        <x:v>Intermitent</x:v>
      </x:c>
      <x:c r="V51" s="43" t="str">
        <x:v>1.0</x:v>
      </x:c>
      <x:c r="W51" s="43" t="str">
        <x:v>h</x:v>
      </x:c>
      <x:c r="X51" s="43" t="str">
        <x:v>Ultrasound</x:v>
      </x:c>
      <x:c r="Y51" s="43" t="str">
        <x:v>Ultrasound</x:v>
      </x:c>
      <x:c r="Z51" s="43" t="str">
        <x:v>65</x:v>
      </x:c>
      <x:c r="AA51" s="43" t="str">
        <x:v>22,000</x:v>
      </x:c>
      <x:c r="AB51" s="43" t="str">
        <x:v>Silence</x:v>
      </x:c>
      <x:c r="AC51" s="43" t="str"/>
      <x:c r="AD51" s="43" t="str">
        <x:v>Control placed in an acoustical isolation box for the same period of time</x:v>
      </x:c>
      <x:c r="AE51" s="43" t="str">
        <x:v>male</x:v>
      </x:c>
      <x:c r="AF51" s="43" t="str">
        <x:v>60</x:v>
      </x:c>
      <x:c r="AG51" s="43" t="str"/>
      <x:c r="AH51" s="43" t="str">
        <x:v>none</x:v>
      </x:c>
      <x:c r="AI51" s="43" t="str"/>
      <x:c r="AJ51" s="43" t="str">
        <x:v>Anxiety</x:v>
      </x:c>
      <x:c r="AK51" s="43" t="str">
        <x:v>Elevated T Maze (ETM)</x:v>
      </x:c>
      <x:c r="AL51" s="43" t="str">
        <x:v>Multiple time points: escape latency (time in open arms)</x:v>
      </x:c>
      <x:c r="AM51" s="43" t="str">
        <x:v>Escape latency</x:v>
      </x:c>
      <x:c r="AN51" s="43" t="str">
        <x:v>Latency</x:v>
      </x:c>
      <x:c r="AO51" s="43" t="str">
        <x:v>s</x:v>
      </x:c>
      <x:c r="AP51" s="43" t="str">
        <x:v>Light phase</x:v>
      </x:c>
      <x:c r="AQ51" s="43" t="str">
        <x:v>Figure 3. b</x:v>
      </x:c>
      <x:c r="AR51" s="43" t="str">
        <x:v>oliveira_2015_jbehavbraisci_fig3b</x:v>
      </x:c>
      <x:c r="AS51" s="43" t="str">
        <x:v>C_F1</x:v>
      </x:c>
      <x:c r="AT51" s="43" t="str">
        <x:v>IE_F1</x:v>
      </x:c>
      <x:c r="AU51" s="43" t="str">
        <x:v>C_IE_F1</x:v>
      </x:c>
      <x:c r="AV51" s="43" t="str">
        <x:v>Dependent</x:v>
      </x:c>
      <x:c r="AW51" s="43" t="str">
        <x:v>Yes</x:v>
      </x:c>
      <x:c r="AX51" s="43" t="str">
        <x:v>Negative</x:v>
      </x:c>
      <x:c r="AY51" s="43" t="str"/>
      <x:c r="AZ51" s="43" t="str">
        <x:v>5.34</x:v>
      </x:c>
      <x:c r="BA51" s="43" t="str">
        <x:v>3.86</x:v>
      </x:c>
      <x:c r="BB51" s="43" t="str">
        <x:v>12</x:v>
      </x:c>
      <x:c r="BC51" s="43" t="str">
        <x:v>1.11</x:v>
      </x:c>
      <x:c r="BD51" s="43" t="str"/>
      <x:c r="BE51" s="43" t="str">
        <x:v>6.54</x:v>
      </x:c>
      <x:c r="BF51" s="43" t="str">
        <x:v>8.21</x:v>
      </x:c>
      <x:c r="BG51" s="43" t="str">
        <x:v>12</x:v>
      </x:c>
      <x:c r="BH51" s="43" t="str">
        <x:v>2.37</x:v>
      </x:c>
      <x:c r="BI51" s="43" t="str"/>
      <x:c r="BJ51" s="43" t="str"/>
      <x:c r="BK51" s="43" t="str"/>
      <x:c r="BL51" s="43" t="str"/>
      <x:c r="BM51" s="43" t="str"/>
      <x:c r="BN51" s="43" t="str"/>
      <x:c r="BO51" s="43" t="str"/>
      <x:c r="BP51" s="43" t="str"/>
      <x:c r="BQ51" s="43" t="str"/>
      <x:c r="BR51" s="43" t="str">
        <x:v>yes</x:v>
      </x:c>
      <x:c r="BS51" s="43" t="str"/>
      <x:c r="BT51" s="43" t="str"/>
      <x:c r="BU51" s="43" t="str"/>
      <x:c r="BV51" s="43" t="str">
        <x:v>1.11</x:v>
      </x:c>
      <x:c r="BW51" s="43" t="str">
        <x:v>1.11</x:v>
      </x:c>
      <x:c r="BX51" s="43" t="str">
        <x:v>Reported SEM; used unchanged for analysis</x:v>
      </x:c>
      <x:c r="BY51" s="43" t="str">
        <x:v>oliveira_2015_jbehavbraisci_fig3b; Figure 3. b</x:v>
      </x:c>
      <x:c r="BZ51" s="43" t="str">
        <x:v>2.37</x:v>
      </x:c>
      <x:c r="CA51" s="43" t="str">
        <x:v>2.37</x:v>
      </x:c>
      <x:c r="CB51" s="43" t="str">
        <x:v>Reported SEM; used unchanged for analysis</x:v>
      </x:c>
      <x:c r="CC51" s="43" t="str">
        <x:v>oliveira_2015_jbehavbraisci_fig3b; Figure 3. b</x:v>
      </x:c>
      <x:c r="CD51" s="43" t="str">
        <x:v>Verified – no change</x:v>
      </x:c>
      <x:c r="CE51" s="43" t="str"/>
      <x:c r="CF51" s="43" t="str"/>
    </x:row>
    <x:row r="52">
      <x:c r="A52" s="43" t="str">
        <x:v>52</x:v>
      </x:c>
      <x:c r="B52" s="43" t="str">
        <x:v>oliveira_2015_jbehavbraisci</x:v>
      </x:c>
      <x:c r="C52" s="43" t="str">
        <x:v>ex012</x:v>
      </x:c>
      <x:c r="D52" s="43" t="str">
        <x:v>con008</x:v>
      </x:c>
      <x:c r="E52" s="43" t="str">
        <x:v>out027</x:v>
      </x:c>
      <x:c r="F52" s="43" t="str">
        <x:v>es051</x:v>
      </x:c>
      <x:c r="G52" s="43" t="str">
        <x:v>Yes</x:v>
      </x:c>
      <x:c r="H52" s="43" t="str">
        <x:v>They used the elevated T Maze, where they measured anxiety in 3 days trials, and fear from anxiety in one trial</x:v>
      </x:c>
      <x:c r="I52" s="43" t="str">
        <x:v>Intrauterine Exposure to Chronic 22 kHz Sound Affects Inhibitory Avoidance and Serotonergic Parameters in Forebrain Areas of Dams and Rat Offspring</x:v>
      </x:c>
      <x:c r="J52" s="43" t="str">
        <x:v>10.4236/jbbs.2015.52003</x:v>
      </x:c>
      <x:c r="K52" s="43" t="str">
        <x:v>Journal of Behavioral and Brain Science</x:v>
      </x:c>
      <x:c r="L52" s="43" t="str"/>
      <x:c r="M52" s="43" t="str">
        <x:v>Rattus norvegicus</x:v>
      </x:c>
      <x:c r="N52" s="43" t="str">
        <x:v>brown rat</x:v>
      </x:c>
      <x:c r="O52" s="43" t="str">
        <x:v>Wistar rat</x:v>
      </x:c>
      <x:c r="P52" s="43" t="str">
        <x:v>16</x:v>
      </x:c>
      <x:c r="Q52" s="43" t="str">
        <x:v>3 months</x:v>
      </x:c>
      <x:c r="R52" s="43" t="str">
        <x:v>early, mid, late</x:v>
      </x:c>
      <x:c r="S52" s="43" t="str"/>
      <x:c r="T52" s="43" t="str">
        <x:v>19</x:v>
      </x:c>
      <x:c r="U52" s="43" t="str">
        <x:v>Intermitent</x:v>
      </x:c>
      <x:c r="V52" s="43" t="str">
        <x:v>1.0</x:v>
      </x:c>
      <x:c r="W52" s="43" t="str">
        <x:v>h</x:v>
      </x:c>
      <x:c r="X52" s="43" t="str">
        <x:v>Ultrasound</x:v>
      </x:c>
      <x:c r="Y52" s="43" t="str">
        <x:v>Ultrasound</x:v>
      </x:c>
      <x:c r="Z52" s="43" t="str">
        <x:v>65</x:v>
      </x:c>
      <x:c r="AA52" s="43" t="str">
        <x:v>22,000</x:v>
      </x:c>
      <x:c r="AB52" s="43" t="str">
        <x:v>Silence</x:v>
      </x:c>
      <x:c r="AC52" s="43" t="str"/>
      <x:c r="AD52" s="43" t="str">
        <x:v>Control placed in an acoustical isolation box for the same period of time</x:v>
      </x:c>
      <x:c r="AE52" s="43" t="str">
        <x:v>male</x:v>
      </x:c>
      <x:c r="AF52" s="43" t="str">
        <x:v>60</x:v>
      </x:c>
      <x:c r="AG52" s="43" t="str"/>
      <x:c r="AH52" s="43" t="str">
        <x:v>none</x:v>
      </x:c>
      <x:c r="AI52" s="43" t="str"/>
      <x:c r="AJ52" s="43" t="str">
        <x:v>Anxiety</x:v>
      </x:c>
      <x:c r="AK52" s="43" t="str">
        <x:v>Elevated T Maze (ETM)</x:v>
      </x:c>
      <x:c r="AL52" s="43" t="str">
        <x:v>Multiple time points: escape latency (time in open arms)</x:v>
      </x:c>
      <x:c r="AM52" s="43" t="str">
        <x:v>Escape latency</x:v>
      </x:c>
      <x:c r="AN52" s="43" t="str">
        <x:v>Latency</x:v>
      </x:c>
      <x:c r="AO52" s="43" t="str">
        <x:v>s</x:v>
      </x:c>
      <x:c r="AP52" s="43" t="str">
        <x:v>Light phase</x:v>
      </x:c>
      <x:c r="AQ52" s="43" t="str">
        <x:v>Figure 3. b</x:v>
      </x:c>
      <x:c r="AR52" s="43" t="str">
        <x:v>oliveira_2015_jbehavbraisci_fig3b</x:v>
      </x:c>
      <x:c r="AS52" s="43" t="str">
        <x:v>C_F2</x:v>
      </x:c>
      <x:c r="AT52" s="43" t="str">
        <x:v>IE_F2</x:v>
      </x:c>
      <x:c r="AU52" s="43" t="str">
        <x:v>C_IE_F2</x:v>
      </x:c>
      <x:c r="AV52" s="43" t="str">
        <x:v>Dependent</x:v>
      </x:c>
      <x:c r="AW52" s="43" t="str">
        <x:v>Yes</x:v>
      </x:c>
      <x:c r="AX52" s="43" t="str">
        <x:v>Negative</x:v>
      </x:c>
      <x:c r="AY52" s="43" t="str"/>
      <x:c r="AZ52" s="43" t="str">
        <x:v>6.8</x:v>
      </x:c>
      <x:c r="BA52" s="43" t="str">
        <x:v>8.02</x:v>
      </x:c>
      <x:c r="BB52" s="43" t="str">
        <x:v>12</x:v>
      </x:c>
      <x:c r="BC52" s="43" t="str">
        <x:v>2.31</x:v>
      </x:c>
      <x:c r="BD52" s="43" t="str"/>
      <x:c r="BE52" s="43" t="str">
        <x:v>6.6</x:v>
      </x:c>
      <x:c r="BF52" s="43" t="str">
        <x:v>4.06</x:v>
      </x:c>
      <x:c r="BG52" s="43" t="str">
        <x:v>12</x:v>
      </x:c>
      <x:c r="BH52" s="43" t="str">
        <x:v>1.17</x:v>
      </x:c>
      <x:c r="BI52" s="43" t="str"/>
      <x:c r="BJ52" s="43" t="str"/>
      <x:c r="BK52" s="43" t="str"/>
      <x:c r="BL52" s="43" t="str"/>
      <x:c r="BM52" s="43" t="str"/>
      <x:c r="BN52" s="43" t="str"/>
      <x:c r="BO52" s="43" t="str"/>
      <x:c r="BP52" s="43" t="str"/>
      <x:c r="BQ52" s="43" t="str"/>
      <x:c r="BR52" s="43" t="str">
        <x:v>yes</x:v>
      </x:c>
      <x:c r="BS52" s="43" t="str"/>
      <x:c r="BT52" s="43" t="str"/>
      <x:c r="BU52" s="43" t="str"/>
      <x:c r="BV52" s="43" t="str">
        <x:v>2.31</x:v>
      </x:c>
      <x:c r="BW52" s="43" t="str">
        <x:v>2.31</x:v>
      </x:c>
      <x:c r="BX52" s="43" t="str">
        <x:v>Reported SEM; used unchanged for analysis</x:v>
      </x:c>
      <x:c r="BY52" s="43" t="str">
        <x:v>oliveira_2015_jbehavbraisci_fig3b; Figure 3. b</x:v>
      </x:c>
      <x:c r="BZ52" s="43" t="str">
        <x:v>1.17</x:v>
      </x:c>
      <x:c r="CA52" s="43" t="str">
        <x:v>1.17</x:v>
      </x:c>
      <x:c r="CB52" s="43" t="str">
        <x:v>Reported SEM; used unchanged for analysis</x:v>
      </x:c>
      <x:c r="CC52" s="43" t="str">
        <x:v>oliveira_2015_jbehavbraisci_fig3b; Figure 3. b</x:v>
      </x:c>
      <x:c r="CD52" s="43" t="str">
        <x:v>Verified – no change</x:v>
      </x:c>
      <x:c r="CE52" s="43" t="str"/>
      <x:c r="CF52" s="43" t="str"/>
    </x:row>
    <x:row r="53">
      <x:c r="A53" s="43" t="str">
        <x:v>53</x:v>
      </x:c>
      <x:c r="B53" s="43" t="str">
        <x:v>oliveira_2015_jbehavbraisci</x:v>
      </x:c>
      <x:c r="C53" s="43" t="str">
        <x:v>ex012</x:v>
      </x:c>
      <x:c r="D53" s="43" t="str">
        <x:v>con008</x:v>
      </x:c>
      <x:c r="E53" s="43" t="str">
        <x:v>out027</x:v>
      </x:c>
      <x:c r="F53" s="43" t="str">
        <x:v>es052</x:v>
      </x:c>
      <x:c r="G53" s="43" t="str">
        <x:v>Yes</x:v>
      </x:c>
      <x:c r="H53" s="43" t="str">
        <x:v>They used the elevated T Maze, where they measured anxiety in 3 days trials, and fear from anxiety in one trial</x:v>
      </x:c>
      <x:c r="I53" s="43" t="str">
        <x:v>Intrauterine Exposure to Chronic 22 kHz Sound Affects Inhibitory Avoidance and Serotonergic Parameters in Forebrain Areas of Dams and Rat Offspring</x:v>
      </x:c>
      <x:c r="J53" s="43" t="str">
        <x:v>10.4236/jbbs.2015.52003</x:v>
      </x:c>
      <x:c r="K53" s="43" t="str">
        <x:v>Journal of Behavioral and Brain Science</x:v>
      </x:c>
      <x:c r="L53" s="43" t="str"/>
      <x:c r="M53" s="43" t="str">
        <x:v>Rattus norvegicus</x:v>
      </x:c>
      <x:c r="N53" s="43" t="str">
        <x:v>brown rat</x:v>
      </x:c>
      <x:c r="O53" s="43" t="str">
        <x:v>Wistar rat</x:v>
      </x:c>
      <x:c r="P53" s="43" t="str">
        <x:v>16</x:v>
      </x:c>
      <x:c r="Q53" s="43" t="str">
        <x:v>3 months</x:v>
      </x:c>
      <x:c r="R53" s="43" t="str">
        <x:v>early, mid, late</x:v>
      </x:c>
      <x:c r="S53" s="43" t="str"/>
      <x:c r="T53" s="43" t="str">
        <x:v>19</x:v>
      </x:c>
      <x:c r="U53" s="43" t="str">
        <x:v>Intermitent</x:v>
      </x:c>
      <x:c r="V53" s="43" t="str">
        <x:v>1.0</x:v>
      </x:c>
      <x:c r="W53" s="43" t="str">
        <x:v>h</x:v>
      </x:c>
      <x:c r="X53" s="43" t="str">
        <x:v>Ultrasound</x:v>
      </x:c>
      <x:c r="Y53" s="43" t="str">
        <x:v>Ultrasound</x:v>
      </x:c>
      <x:c r="Z53" s="43" t="str">
        <x:v>65</x:v>
      </x:c>
      <x:c r="AA53" s="43" t="str">
        <x:v>22,000</x:v>
      </x:c>
      <x:c r="AB53" s="43" t="str">
        <x:v>Silence</x:v>
      </x:c>
      <x:c r="AC53" s="43" t="str"/>
      <x:c r="AD53" s="43" t="str">
        <x:v>Control placed in an acoustical isolation box for the same period of time</x:v>
      </x:c>
      <x:c r="AE53" s="43" t="str">
        <x:v>male</x:v>
      </x:c>
      <x:c r="AF53" s="43" t="str">
        <x:v>60</x:v>
      </x:c>
      <x:c r="AG53" s="43" t="str"/>
      <x:c r="AH53" s="43" t="str">
        <x:v>none</x:v>
      </x:c>
      <x:c r="AI53" s="43" t="str"/>
      <x:c r="AJ53" s="43" t="str">
        <x:v>Anxiety</x:v>
      </x:c>
      <x:c r="AK53" s="43" t="str">
        <x:v>Elevated T Maze (ETM)</x:v>
      </x:c>
      <x:c r="AL53" s="43" t="str">
        <x:v>Multiple time points: escape latency (time in open arms)</x:v>
      </x:c>
      <x:c r="AM53" s="43" t="str">
        <x:v>Escape latency</x:v>
      </x:c>
      <x:c r="AN53" s="43" t="str">
        <x:v>Latency</x:v>
      </x:c>
      <x:c r="AO53" s="43" t="str">
        <x:v>s</x:v>
      </x:c>
      <x:c r="AP53" s="43" t="str">
        <x:v>Light phase</x:v>
      </x:c>
      <x:c r="AQ53" s="43" t="str">
        <x:v>Figure 3. b</x:v>
      </x:c>
      <x:c r="AR53" s="43" t="str">
        <x:v>oliveira_2015_jbehavbraisci_fig3b</x:v>
      </x:c>
      <x:c r="AS53" s="43" t="str">
        <x:v>C_F3</x:v>
      </x:c>
      <x:c r="AT53" s="43" t="str">
        <x:v>IE_F3</x:v>
      </x:c>
      <x:c r="AU53" s="43" t="str">
        <x:v>C_IE_F3</x:v>
      </x:c>
      <x:c r="AV53" s="43" t="str">
        <x:v>Dependent</x:v>
      </x:c>
      <x:c r="AW53" s="43" t="str">
        <x:v>Yes</x:v>
      </x:c>
      <x:c r="AX53" s="43" t="str">
        <x:v>Negative</x:v>
      </x:c>
      <x:c r="AY53" s="43" t="str"/>
      <x:c r="AZ53" s="43" t="str">
        <x:v>6.46</x:v>
      </x:c>
      <x:c r="BA53" s="43" t="str">
        <x:v>7.72</x:v>
      </x:c>
      <x:c r="BB53" s="43" t="str">
        <x:v>12</x:v>
      </x:c>
      <x:c r="BC53" s="43" t="str">
        <x:v>2.23</x:v>
      </x:c>
      <x:c r="BD53" s="43" t="str"/>
      <x:c r="BE53" s="43" t="str">
        <x:v>13.2</x:v>
      </x:c>
      <x:c r="BF53" s="43" t="str">
        <x:v>15.44</x:v>
      </x:c>
      <x:c r="BG53" s="43" t="str">
        <x:v>12</x:v>
      </x:c>
      <x:c r="BH53" s="43" t="str">
        <x:v>4.46</x:v>
      </x:c>
      <x:c r="BI53" s="43" t="str"/>
      <x:c r="BJ53" s="43" t="str"/>
      <x:c r="BK53" s="43" t="str"/>
      <x:c r="BL53" s="43" t="str"/>
      <x:c r="BM53" s="43" t="str"/>
      <x:c r="BN53" s="43" t="str"/>
      <x:c r="BO53" s="43" t="str"/>
      <x:c r="BP53" s="43" t="str"/>
      <x:c r="BQ53" s="43" t="str"/>
      <x:c r="BR53" s="43" t="str">
        <x:v>yes</x:v>
      </x:c>
      <x:c r="BS53" s="43" t="str"/>
      <x:c r="BT53" s="43" t="str"/>
      <x:c r="BU53" s="43" t="str"/>
      <x:c r="BV53" s="43" t="str">
        <x:v>2.23</x:v>
      </x:c>
      <x:c r="BW53" s="43" t="str">
        <x:v>2.23</x:v>
      </x:c>
      <x:c r="BX53" s="43" t="str">
        <x:v>Reported SEM; used unchanged for analysis</x:v>
      </x:c>
      <x:c r="BY53" s="43" t="str">
        <x:v>oliveira_2015_jbehavbraisci_fig3b; Figure 3. b</x:v>
      </x:c>
      <x:c r="BZ53" s="43" t="str">
        <x:v>4.46</x:v>
      </x:c>
      <x:c r="CA53" s="43" t="str">
        <x:v>4.46</x:v>
      </x:c>
      <x:c r="CB53" s="43" t="str">
        <x:v>Reported SEM; used unchanged for analysis</x:v>
      </x:c>
      <x:c r="CC53" s="43" t="str">
        <x:v>oliveira_2015_jbehavbraisci_fig3b; Figure 3. b</x:v>
      </x:c>
      <x:c r="CD53" s="43" t="str">
        <x:v>Verified – no change</x:v>
      </x:c>
      <x:c r="CE53" s="43" t="str"/>
      <x:c r="CF53" s="43" t="str"/>
    </x:row>
    <x:row r="54">
      <x:c r="A54" s="43" t="str">
        <x:v>54</x:v>
      </x:c>
      <x:c r="B54" s="43" t="str">
        <x:v>pavlov_2023_molsci</x:v>
      </x:c>
      <x:c r="C54" s="43" t="str">
        <x:v>ex013</x:v>
      </x:c>
      <x:c r="D54" s="43" t="str">
        <x:v>con009</x:v>
      </x:c>
      <x:c r="E54" s="43" t="str">
        <x:v>out028</x:v>
      </x:c>
      <x:c r="F54" s="43" t="str">
        <x:v>es053</x:v>
      </x:c>
      <x:c r="G54" s="43" t="str">
        <x:v>Yes</x:v>
      </x:c>
      <x:c r="H54" s="43" t="str">
        <x:v>One control and one treatment </x:v>
      </x:c>
      <x:c r="I54" s="43" t="str">
        <x:v>Maternal Chronic Ultrasound Stress Provokes Immune
Activation and Behavioral Deficits in the Offspring: A Mouse
Model of Neurodevelopmental Pathology</x:v>
      </x:c>
      <x:c r="J54" s="43" t="str">
        <x:v>10.3390/ijms241411712 </x:v>
      </x:c>
      <x:c r="K54" s="43" t="str">
        <x:v>International Journal of Molecular Sciences</x:v>
      </x:c>
      <x:c r="L54" s="43" t="str"/>
      <x:c r="M54" s="43" t="str">
        <x:v>Mus musculus</x:v>
      </x:c>
      <x:c r="N54" s="43" t="str">
        <x:v>albino house mouse</x:v>
      </x:c>
      <x:c r="O54" s="43" t="str">
        <x:v>BALB/c mice</x:v>
      </x:c>
      <x:c r="P54" s="43" t="str">
        <x:v>16</x:v>
      </x:c>
      <x:c r="Q54" s="43" t="str">
        <x:v>3 months</x:v>
      </x:c>
      <x:c r="R54" s="43" t="str">
        <x:v>early, mid, late</x:v>
      </x:c>
      <x:c r="S54" s="43" t="str"/>
      <x:c r="T54" s="43" t="str">
        <x:v>21</x:v>
      </x:c>
      <x:c r="U54" s="43" t="str">
        <x:v>Continuous</x:v>
      </x:c>
      <x:c r="V54" s="43" t="str">
        <x:v>24.0</x:v>
      </x:c>
      <x:c r="W54" s="43" t="str">
        <x:v>Varying frequencies. Mice in an accustically isolated room</x:v>
      </x:c>
      <x:c r="X54" s="43" t="str">
        <x:v>Ultrasound</x:v>
      </x:c>
      <x:c r="Y54" s="43" t="str">
        <x:v>Ultrasound</x:v>
      </x:c>
      <x:c r="Z54" s="43" t="str">
        <x:v>50</x:v>
      </x:c>
      <x:c r="AA54" s="43" t="str">
        <x:v>20,000-45,000</x:v>
      </x:c>
      <x:c r="AB54" s="43" t="str">
        <x:v>Unclear</x:v>
      </x:c>
      <x:c r="AC54" s="43" t="str"/>
      <x:c r="AD54" s="43" t="str"/>
      <x:c r="AE54" s="43" t="str">
        <x:v>female</x:v>
      </x:c>
      <x:c r="AF54" s="43" t="str">
        <x:v>60</x:v>
      </x:c>
      <x:c r="AG54" s="43" t="str">
        <x:v>2 months</x:v>
      </x:c>
      <x:c r="AH54" s="43" t="str">
        <x:v>none</x:v>
      </x:c>
      <x:c r="AI54" s="43" t="str"/>
      <x:c r="AJ54" s="43" t="str">
        <x:v>Depression</x:v>
      </x:c>
      <x:c r="AK54" s="43" t="str">
        <x:v>Sucrose Preference Test (SPT)</x:v>
      </x:c>
      <x:c r="AL54" s="43" t="str"/>
      <x:c r="AM54" s="43" t="str">
        <x:v>Sucrose preference index</x:v>
      </x:c>
      <x:c r="AN54" s="43" t="str">
        <x:v>Index</x:v>
      </x:c>
      <x:c r="AO54" s="43" t="str">
        <x:v>%</x:v>
      </x:c>
      <x:c r="AP54" s="43" t="str">
        <x:v>Dark phase</x:v>
      </x:c>
      <x:c r="AQ54" s="43" t="str">
        <x:v>Figure 4A</x:v>
      </x:c>
      <x:c r="AR54" s="43" t="str">
        <x:v>pavlov_2023_molsci_Fig4A</x:v>
      </x:c>
      <x:c r="AS54" s="43" t="str">
        <x:v>NonSt_su</x:v>
      </x:c>
      <x:c r="AT54" s="43" t="str">
        <x:v>US_su</x:v>
      </x:c>
      <x:c r="AU54" s="43" t="str">
        <x:v>NonSt_US_su</x:v>
      </x:c>
      <x:c r="AV54" s="43" t="str">
        <x:v>Independent</x:v>
      </x:c>
      <x:c r="AW54" s="43" t="str">
        <x:v>Yes</x:v>
      </x:c>
      <x:c r="AX54" s="43" t="str">
        <x:v>Negative</x:v>
      </x:c>
      <x:c r="AY54" s="43" t="str">
        <x:v>higher anhedonia is better</x:v>
      </x:c>
      <x:c r="AZ54" s="43" t="str">
        <x:v>71.6</x:v>
      </x:c>
      <x:c r="BA54" s="43" t="str">
        <x:v>9.72</x:v>
      </x:c>
      <x:c r="BB54" s="43" t="str">
        <x:v>10</x:v>
      </x:c>
      <x:c r="BC54" s="43" t="str">
        <x:v>3.07</x:v>
      </x:c>
      <x:c r="BD54" s="43" t="str"/>
      <x:c r="BE54" s="43" t="str">
        <x:v>40.48</x:v>
      </x:c>
      <x:c r="BF54" s="43" t="str">
        <x:v>13.49</x:v>
      </x:c>
      <x:c r="BG54" s="43" t="str">
        <x:v>14</x:v>
      </x:c>
      <x:c r="BH54" s="43" t="str">
        <x:v>3.61</x:v>
      </x:c>
      <x:c r="BI54" s="43" t="str"/>
      <x:c r="BJ54" s="43" t="str"/>
      <x:c r="BK54" s="43" t="str">
        <x:v>Visual estimations: you can't see the median in the violin plot</x:v>
      </x:c>
      <x:c r="BL54" s="43" t="str"/>
      <x:c r="BM54" s="43" t="str"/>
      <x:c r="BN54" s="43" t="str"/>
      <x:c r="BO54" s="43" t="str"/>
      <x:c r="BP54" s="43" t="str"/>
      <x:c r="BQ54" s="43" t="str"/>
      <x:c r="BR54" s="43" t="str">
        <x:v>yes</x:v>
      </x:c>
      <x:c r="BS54" s="43" t="str"/>
      <x:c r="BT54" s="43" t="str"/>
      <x:c r="BU54" s="43" t="str"/>
      <x:c r="BV54" s="43" t="str"/>
      <x:c r="BW54" s="43" t="str">
        <x:v>3.073734</x:v>
      </x:c>
      <x:c r="BX54" s="43" t="str">
        <x:v>SD / sqrt(n); derived for analysis from the extracted SD and sample size</x:v>
      </x:c>
      <x:c r="BY54" s="43" t="str">
        <x:v>pavlov_2023_molsci_Fig4A; Figure 4A</x:v>
      </x:c>
      <x:c r="BZ54" s="43" t="str"/>
      <x:c r="CA54" s="43" t="str">
        <x:v>3.605354</x:v>
      </x:c>
      <x:c r="CB54" s="43" t="str">
        <x:v>SD / sqrt(n); derived for analysis from the extracted SD and sample size</x:v>
      </x:c>
      <x:c r="CC54" s="43" t="str">
        <x:v>pavlov_2023_molsci_Fig4A; Figure 4A</x:v>
      </x:c>
      <x:c r="CD54" s="43" t="str">
        <x:v>Verified – no change</x:v>
      </x:c>
      <x:c r="CE54" s="43" t="str"/>
      <x:c r="CF54" s="43" t="str"/>
    </x:row>
    <x:row r="55">
      <x:c r="A55" s="43" t="str">
        <x:v>55</x:v>
      </x:c>
      <x:c r="B55" s="43" t="str">
        <x:v>pavlov_2023_molsci</x:v>
      </x:c>
      <x:c r="C55" s="43" t="str">
        <x:v>ex013</x:v>
      </x:c>
      <x:c r="D55" s="43" t="str">
        <x:v>con009</x:v>
      </x:c>
      <x:c r="E55" s="43" t="str">
        <x:v>out029</x:v>
      </x:c>
      <x:c r="F55" s="43" t="str">
        <x:v>es054</x:v>
      </x:c>
      <x:c r="G55" s="43" t="str">
        <x:v>Yes</x:v>
      </x:c>
      <x:c r="H55" s="43" t="str">
        <x:v>One control and one treatment </x:v>
      </x:c>
      <x:c r="I55" s="43" t="str">
        <x:v>Maternal Chronic Ultrasound Stress Provokes Immune
Activation and Behavioral Deficits in the Offspring: A Mouse
Model of Neurodevelopmental Pathology</x:v>
      </x:c>
      <x:c r="J55" s="43" t="str">
        <x:v>10.3390/ijms241411712 </x:v>
      </x:c>
      <x:c r="K55" s="43" t="str">
        <x:v>International Journal of Molecular Sciences</x:v>
      </x:c>
      <x:c r="L55" s="43" t="str"/>
      <x:c r="M55" s="43" t="str">
        <x:v>Mus musculus</x:v>
      </x:c>
      <x:c r="N55" s="43" t="str">
        <x:v>albino house mouse</x:v>
      </x:c>
      <x:c r="O55" s="43" t="str">
        <x:v>BALB/c mice</x:v>
      </x:c>
      <x:c r="P55" s="43" t="str">
        <x:v>16</x:v>
      </x:c>
      <x:c r="Q55" s="43" t="str">
        <x:v>3 months</x:v>
      </x:c>
      <x:c r="R55" s="43" t="str">
        <x:v>early, mid, late</x:v>
      </x:c>
      <x:c r="S55" s="43" t="str"/>
      <x:c r="T55" s="43" t="str">
        <x:v>21</x:v>
      </x:c>
      <x:c r="U55" s="43" t="str">
        <x:v>Continuous</x:v>
      </x:c>
      <x:c r="V55" s="43" t="str">
        <x:v>24.0</x:v>
      </x:c>
      <x:c r="W55" s="43" t="str">
        <x:v>Varying frequencies. Mice in an accustically isolated room</x:v>
      </x:c>
      <x:c r="X55" s="43" t="str">
        <x:v>Ultrasound</x:v>
      </x:c>
      <x:c r="Y55" s="43" t="str">
        <x:v>Ultrasound</x:v>
      </x:c>
      <x:c r="Z55" s="43" t="str">
        <x:v>50</x:v>
      </x:c>
      <x:c r="AA55" s="43" t="str">
        <x:v>20,000-45,000</x:v>
      </x:c>
      <x:c r="AB55" s="43" t="str">
        <x:v>Unclear</x:v>
      </x:c>
      <x:c r="AC55" s="43" t="str"/>
      <x:c r="AD55" s="43" t="str"/>
      <x:c r="AE55" s="43" t="str">
        <x:v>female</x:v>
      </x:c>
      <x:c r="AF55" s="43" t="str">
        <x:v>60</x:v>
      </x:c>
      <x:c r="AG55" s="43" t="str">
        <x:v>2 months</x:v>
      </x:c>
      <x:c r="AH55" s="43" t="str">
        <x:v>none</x:v>
      </x:c>
      <x:c r="AI55" s="43" t="str"/>
      <x:c r="AJ55" s="43" t="str">
        <x:v>Anxiety</x:v>
      </x:c>
      <x:c r="AK55" s="43" t="str">
        <x:v>Open Field Test (OFT)</x:v>
      </x:c>
      <x:c r="AL55" s="43" t="str"/>
      <x:c r="AM55" s="43" t="str">
        <x:v>Sections crossed</x:v>
      </x:c>
      <x:c r="AN55" s="43" t="str">
        <x:v>Count</x:v>
      </x:c>
      <x:c r="AO55" s="43" t="str">
        <x:v>Count</x:v>
      </x:c>
      <x:c r="AP55" s="43" t="str">
        <x:v>Dark phase</x:v>
      </x:c>
      <x:c r="AQ55" s="43" t="str">
        <x:v>Figure 4C</x:v>
      </x:c>
      <x:c r="AR55" s="43" t="str">
        <x:v>pavlov_2023_molsci_Fig4C</x:v>
      </x:c>
      <x:c r="AS55" s="43" t="str">
        <x:v>NonSt_sq</x:v>
      </x:c>
      <x:c r="AT55" s="43" t="str">
        <x:v>US_sq</x:v>
      </x:c>
      <x:c r="AU55" s="43" t="str">
        <x:v>NonSt_US_sq</x:v>
      </x:c>
      <x:c r="AV55" s="43" t="str">
        <x:v>Independent</x:v>
      </x:c>
      <x:c r="AW55" s="43" t="str">
        <x:v>Yes</x:v>
      </x:c>
      <x:c r="AX55" s="43" t="str">
        <x:v>Negative</x:v>
      </x:c>
      <x:c r="AY55" s="43" t="str"/>
      <x:c r="AZ55" s="43" t="str">
        <x:v>10.55</x:v>
      </x:c>
      <x:c r="BA55" s="43" t="str">
        <x:v>6.17</x:v>
      </x:c>
      <x:c r="BB55" s="43" t="str">
        <x:v>10</x:v>
      </x:c>
      <x:c r="BC55" s="43" t="str">
        <x:v>1.95</x:v>
      </x:c>
      <x:c r="BD55" s="43" t="str"/>
      <x:c r="BE55" s="43" t="str">
        <x:v>6.4</x:v>
      </x:c>
      <x:c r="BF55" s="43" t="str">
        <x:v>3.17</x:v>
      </x:c>
      <x:c r="BG55" s="43" t="str">
        <x:v>14</x:v>
      </x:c>
      <x:c r="BH55" s="43" t="str">
        <x:v>0.85</x:v>
      </x:c>
      <x:c r="BI55" s="43" t="str"/>
      <x:c r="BJ55" s="43" t="str"/>
      <x:c r="BK55" s="43" t="str"/>
      <x:c r="BL55" s="43" t="str"/>
      <x:c r="BM55" s="43" t="str"/>
      <x:c r="BN55" s="43" t="str"/>
      <x:c r="BO55" s="43" t="str"/>
      <x:c r="BP55" s="43" t="str"/>
      <x:c r="BQ55" s="43" t="str"/>
      <x:c r="BR55" s="43" t="str">
        <x:v>yes</x:v>
      </x:c>
      <x:c r="BS55" s="43" t="str"/>
      <x:c r="BT55" s="43" t="str"/>
      <x:c r="BU55" s="43" t="str"/>
      <x:c r="BV55" s="43" t="str"/>
      <x:c r="BW55" s="43" t="str">
        <x:v>1.951125</x:v>
      </x:c>
      <x:c r="BX55" s="43" t="str">
        <x:v>SD / sqrt(n); derived for analysis from the extracted SD and sample size</x:v>
      </x:c>
      <x:c r="BY55" s="43" t="str">
        <x:v>pavlov_2023_molsci_Fig4C; Figure 4C</x:v>
      </x:c>
      <x:c r="BZ55" s="43" t="str"/>
      <x:c r="CA55" s="43" t="str">
        <x:v>0.847218</x:v>
      </x:c>
      <x:c r="CB55" s="43" t="str">
        <x:v>SD / sqrt(n); derived for analysis from the extracted SD and sample size</x:v>
      </x:c>
      <x:c r="CC55" s="43" t="str">
        <x:v>pavlov_2023_molsci_Fig4C; Figure 4C</x:v>
      </x:c>
      <x:c r="CD55" s="43" t="str">
        <x:v>Verified – no change</x:v>
      </x:c>
      <x:c r="CE55" s="43" t="str"/>
      <x:c r="CF55" s="43" t="str"/>
    </x:row>
    <x:row r="56">
      <x:c r="A56" s="43" t="str">
        <x:v>56</x:v>
      </x:c>
      <x:c r="B56" s="43" t="str">
        <x:v>pavlov_2023_molsci</x:v>
      </x:c>
      <x:c r="C56" s="43" t="str">
        <x:v>ex013</x:v>
      </x:c>
      <x:c r="D56" s="43" t="str">
        <x:v>con009</x:v>
      </x:c>
      <x:c r="E56" s="43" t="str">
        <x:v>out030</x:v>
      </x:c>
      <x:c r="F56" s="43" t="str">
        <x:v>es055</x:v>
      </x:c>
      <x:c r="G56" s="43" t="str">
        <x:v>Yes</x:v>
      </x:c>
      <x:c r="H56" s="43" t="str">
        <x:v>One control and one treatment </x:v>
      </x:c>
      <x:c r="I56" s="43" t="str">
        <x:v>Maternal Chronic Ultrasound Stress Provokes Immune
Activation and Behavioral Deficits in the Offspring: A Mouse
Model of Neurodevelopmental Pathology</x:v>
      </x:c>
      <x:c r="J56" s="43" t="str">
        <x:v>10.3390/ijms241411712 </x:v>
      </x:c>
      <x:c r="K56" s="43" t="str">
        <x:v>International Journal of Molecular Sciences</x:v>
      </x:c>
      <x:c r="L56" s="43" t="str"/>
      <x:c r="M56" s="43" t="str">
        <x:v>Mus musculus</x:v>
      </x:c>
      <x:c r="N56" s="43" t="str">
        <x:v>albino house mouse</x:v>
      </x:c>
      <x:c r="O56" s="43" t="str">
        <x:v>BALB/c mice</x:v>
      </x:c>
      <x:c r="P56" s="43" t="str">
        <x:v>16</x:v>
      </x:c>
      <x:c r="Q56" s="43" t="str">
        <x:v>3 months</x:v>
      </x:c>
      <x:c r="R56" s="43" t="str">
        <x:v>early, mid, late</x:v>
      </x:c>
      <x:c r="S56" s="43" t="str"/>
      <x:c r="T56" s="43" t="str">
        <x:v>21</x:v>
      </x:c>
      <x:c r="U56" s="43" t="str">
        <x:v>Continuous</x:v>
      </x:c>
      <x:c r="V56" s="43" t="str">
        <x:v>24.0</x:v>
      </x:c>
      <x:c r="W56" s="43" t="str">
        <x:v>Varying frequencies. Mice in an accustically isolated room</x:v>
      </x:c>
      <x:c r="X56" s="43" t="str">
        <x:v>Ultrasound</x:v>
      </x:c>
      <x:c r="Y56" s="43" t="str">
        <x:v>Ultrasound</x:v>
      </x:c>
      <x:c r="Z56" s="43" t="str">
        <x:v>50</x:v>
      </x:c>
      <x:c r="AA56" s="43" t="str">
        <x:v>20,000-45,000</x:v>
      </x:c>
      <x:c r="AB56" s="43" t="str">
        <x:v>Unclear</x:v>
      </x:c>
      <x:c r="AC56" s="43" t="str"/>
      <x:c r="AD56" s="43" t="str"/>
      <x:c r="AE56" s="43" t="str">
        <x:v>female</x:v>
      </x:c>
      <x:c r="AF56" s="43" t="str">
        <x:v>60</x:v>
      </x:c>
      <x:c r="AG56" s="43" t="str">
        <x:v>2 months</x:v>
      </x:c>
      <x:c r="AH56" s="43" t="str">
        <x:v>none</x:v>
      </x:c>
      <x:c r="AI56" s="43" t="str"/>
      <x:c r="AJ56" s="43" t="str">
        <x:v>Anxiety</x:v>
      </x:c>
      <x:c r="AK56" s="43" t="str">
        <x:v>Open Field Test (OFT)</x:v>
      </x:c>
      <x:c r="AL56" s="43" t="str"/>
      <x:c r="AM56" s="43" t="str">
        <x:v>Time in central square</x:v>
      </x:c>
      <x:c r="AN56" s="43" t="str">
        <x:v>Time</x:v>
      </x:c>
      <x:c r="AO56" s="43" t="str">
        <x:v>s</x:v>
      </x:c>
      <x:c r="AP56" s="43" t="str">
        <x:v>Dark phase</x:v>
      </x:c>
      <x:c r="AQ56" s="43" t="str">
        <x:v>Figure 4D</x:v>
      </x:c>
      <x:c r="AR56" s="43" t="str">
        <x:v>pavlov_2023_molsci_Fig4D</x:v>
      </x:c>
      <x:c r="AS56" s="43" t="str">
        <x:v>NonSt_csq</x:v>
      </x:c>
      <x:c r="AT56" s="43" t="str">
        <x:v>US_csq</x:v>
      </x:c>
      <x:c r="AU56" s="43" t="str">
        <x:v>NonSt_US_csq</x:v>
      </x:c>
      <x:c r="AV56" s="43" t="str">
        <x:v>Independent</x:v>
      </x:c>
      <x:c r="AW56" s="43" t="str">
        <x:v>Yes</x:v>
      </x:c>
      <x:c r="AX56" s="43" t="str">
        <x:v>Negative</x:v>
      </x:c>
      <x:c r="AY56" s="43" t="str"/>
      <x:c r="AZ56" s="43" t="str">
        <x:v>71.66</x:v>
      </x:c>
      <x:c r="BA56" s="43" t="str">
        <x:v>17.5</x:v>
      </x:c>
      <x:c r="BB56" s="43" t="str">
        <x:v>10</x:v>
      </x:c>
      <x:c r="BC56" s="43" t="str">
        <x:v>5.53</x:v>
      </x:c>
      <x:c r="BD56" s="43" t="str"/>
      <x:c r="BE56" s="43" t="str">
        <x:v>25.99</x:v>
      </x:c>
      <x:c r="BF56" s="43" t="str">
        <x:v>11.15</x:v>
      </x:c>
      <x:c r="BG56" s="43" t="str">
        <x:v>14</x:v>
      </x:c>
      <x:c r="BH56" s="43" t="str">
        <x:v>2.98</x:v>
      </x:c>
      <x:c r="BI56" s="43" t="str"/>
      <x:c r="BJ56" s="43" t="str"/>
      <x:c r="BK56" s="43" t="str"/>
      <x:c r="BL56" s="43" t="str"/>
      <x:c r="BM56" s="43" t="str"/>
      <x:c r="BN56" s="43" t="str"/>
      <x:c r="BO56" s="43" t="str"/>
      <x:c r="BP56" s="43" t="str"/>
      <x:c r="BQ56" s="43" t="str"/>
      <x:c r="BR56" s="43" t="str">
        <x:v>yes</x:v>
      </x:c>
      <x:c r="BS56" s="43" t="str"/>
      <x:c r="BT56" s="43" t="str"/>
      <x:c r="BU56" s="43" t="str"/>
      <x:c r="BV56" s="43" t="str"/>
      <x:c r="BW56" s="43" t="str">
        <x:v>5.533986</x:v>
      </x:c>
      <x:c r="BX56" s="43" t="str">
        <x:v>SD / sqrt(n); derived for analysis from the extracted SD and sample size</x:v>
      </x:c>
      <x:c r="BY56" s="43" t="str">
        <x:v>pavlov_2023_molsci_Fig4D; Figure 4D</x:v>
      </x:c>
      <x:c r="BZ56" s="43" t="str"/>
      <x:c r="CA56" s="43" t="str">
        <x:v>2.979963</x:v>
      </x:c>
      <x:c r="CB56" s="43" t="str">
        <x:v>SD / sqrt(n); derived for analysis from the extracted SD and sample size</x:v>
      </x:c>
      <x:c r="CC56" s="43" t="str">
        <x:v>pavlov_2023_molsci_Fig4D; Figure 4D</x:v>
      </x:c>
      <x:c r="CD56" s="43" t="str">
        <x:v>Verified – no change</x:v>
      </x:c>
      <x:c r="CE56" s="43" t="str"/>
      <x:c r="CF56" s="43" t="str"/>
    </x:row>
    <x:row r="57">
      <x:c r="A57" s="43" t="str">
        <x:v>57</x:v>
      </x:c>
      <x:c r="B57" s="43" t="str">
        <x:v>pavlov_2023_molsci</x:v>
      </x:c>
      <x:c r="C57" s="43" t="str">
        <x:v>ex013</x:v>
      </x:c>
      <x:c r="D57" s="43" t="str">
        <x:v>con009</x:v>
      </x:c>
      <x:c r="E57" s="43" t="str">
        <x:v>out031</x:v>
      </x:c>
      <x:c r="F57" s="43" t="str">
        <x:v>es056</x:v>
      </x:c>
      <x:c r="G57" s="43" t="str">
        <x:v>Yes</x:v>
      </x:c>
      <x:c r="H57" s="43" t="str">
        <x:v>One control and one treatment </x:v>
      </x:c>
      <x:c r="I57" s="43" t="str">
        <x:v>Maternal Chronic Ultrasound Stress Provokes Immune
Activation and Behavioral Deficits in the Offspring: A Mouse
Model of Neurodevelopmental Pathology</x:v>
      </x:c>
      <x:c r="J57" s="43" t="str">
        <x:v>10.3390/ijms241411712 </x:v>
      </x:c>
      <x:c r="K57" s="43" t="str">
        <x:v>International Journal of Molecular Sciences</x:v>
      </x:c>
      <x:c r="L57" s="43" t="str"/>
      <x:c r="M57" s="43" t="str">
        <x:v>Mus musculus</x:v>
      </x:c>
      <x:c r="N57" s="43" t="str">
        <x:v>albino house mouse</x:v>
      </x:c>
      <x:c r="O57" s="43" t="str">
        <x:v>BALB/c mice</x:v>
      </x:c>
      <x:c r="P57" s="43" t="str">
        <x:v>16</x:v>
      </x:c>
      <x:c r="Q57" s="43" t="str">
        <x:v>3 months</x:v>
      </x:c>
      <x:c r="R57" s="43" t="str">
        <x:v>early, mid, late</x:v>
      </x:c>
      <x:c r="S57" s="43" t="str"/>
      <x:c r="T57" s="43" t="str">
        <x:v>21</x:v>
      </x:c>
      <x:c r="U57" s="43" t="str">
        <x:v>Continuous</x:v>
      </x:c>
      <x:c r="V57" s="43" t="str">
        <x:v>24.0</x:v>
      </x:c>
      <x:c r="W57" s="43" t="str">
        <x:v>Varying frequencies. Mice in an accustically isolated room</x:v>
      </x:c>
      <x:c r="X57" s="43" t="str">
        <x:v>Ultrasound</x:v>
      </x:c>
      <x:c r="Y57" s="43" t="str">
        <x:v>Ultrasound</x:v>
      </x:c>
      <x:c r="Z57" s="43" t="str">
        <x:v>50</x:v>
      </x:c>
      <x:c r="AA57" s="43" t="str">
        <x:v>20,000-45,000</x:v>
      </x:c>
      <x:c r="AB57" s="43" t="str">
        <x:v>Unclear</x:v>
      </x:c>
      <x:c r="AC57" s="43" t="str"/>
      <x:c r="AD57" s="43" t="str"/>
      <x:c r="AE57" s="43" t="str">
        <x:v>female</x:v>
      </x:c>
      <x:c r="AF57" s="43" t="str">
        <x:v>60</x:v>
      </x:c>
      <x:c r="AG57" s="43" t="str">
        <x:v>2 months</x:v>
      </x:c>
      <x:c r="AH57" s="43" t="str">
        <x:v>none</x:v>
      </x:c>
      <x:c r="AI57" s="43" t="str"/>
      <x:c r="AJ57" s="43" t="str">
        <x:v>Anxiety</x:v>
      </x:c>
      <x:c r="AK57" s="43" t="str">
        <x:v>Elevated Plus Maze (EPM)</x:v>
      </x:c>
      <x:c r="AL57" s="43" t="str"/>
      <x:c r="AM57" s="43" t="str">
        <x:v>Time in open arms (OAT)</x:v>
      </x:c>
      <x:c r="AN57" s="43" t="str">
        <x:v>Time</x:v>
      </x:c>
      <x:c r="AO57" s="43" t="str">
        <x:v>s</x:v>
      </x:c>
      <x:c r="AP57" s="43" t="str">
        <x:v>Dark phase</x:v>
      </x:c>
      <x:c r="AQ57" s="43" t="str">
        <x:v>Figure 4E</x:v>
      </x:c>
      <x:c r="AR57" s="43" t="str">
        <x:v>pavlov_2023_molsci_Fig4E</x:v>
      </x:c>
      <x:c r="AS57" s="43" t="str">
        <x:v>NonSt_oat</x:v>
      </x:c>
      <x:c r="AT57" s="43" t="str">
        <x:v>US_oat</x:v>
      </x:c>
      <x:c r="AU57" s="43" t="str">
        <x:v>NonSt_US_oat</x:v>
      </x:c>
      <x:c r="AV57" s="43" t="str">
        <x:v>Independent</x:v>
      </x:c>
      <x:c r="AW57" s="43" t="str">
        <x:v>Yes</x:v>
      </x:c>
      <x:c r="AX57" s="43" t="str">
        <x:v>Negative</x:v>
      </x:c>
      <x:c r="AY57" s="43" t="str"/>
      <x:c r="AZ57" s="43" t="str">
        <x:v>69.17</x:v>
      </x:c>
      <x:c r="BA57" s="43" t="str">
        <x:v>20.84</x:v>
      </x:c>
      <x:c r="BB57" s="43" t="str">
        <x:v>10</x:v>
      </x:c>
      <x:c r="BC57" s="43" t="str">
        <x:v>6.59</x:v>
      </x:c>
      <x:c r="BD57" s="43" t="str"/>
      <x:c r="BE57" s="43" t="str">
        <x:v>25.42</x:v>
      </x:c>
      <x:c r="BF57" s="43" t="str">
        <x:v>9.56</x:v>
      </x:c>
      <x:c r="BG57" s="43" t="str">
        <x:v>14</x:v>
      </x:c>
      <x:c r="BH57" s="43" t="str">
        <x:v>2.55</x:v>
      </x:c>
      <x:c r="BI57" s="43" t="str"/>
      <x:c r="BJ57" s="43" t="str"/>
      <x:c r="BK57" s="43" t="str"/>
      <x:c r="BL57" s="43" t="str"/>
      <x:c r="BM57" s="43" t="str"/>
      <x:c r="BN57" s="43" t="str"/>
      <x:c r="BO57" s="43" t="str"/>
      <x:c r="BP57" s="43" t="str"/>
      <x:c r="BQ57" s="43" t="str"/>
      <x:c r="BR57" s="43" t="str">
        <x:v>yes</x:v>
      </x:c>
      <x:c r="BS57" s="43" t="str"/>
      <x:c r="BT57" s="43" t="str"/>
      <x:c r="BU57" s="43" t="str"/>
      <x:c r="BV57" s="43" t="str"/>
      <x:c r="BW57" s="43" t="str">
        <x:v>6.590187</x:v>
      </x:c>
      <x:c r="BX57" s="43" t="str">
        <x:v>SD / sqrt(n); derived for analysis from the extracted SD and sample size</x:v>
      </x:c>
      <x:c r="BY57" s="43" t="str">
        <x:v>pavlov_2023_molsci_Fig4E; Figure 4E</x:v>
      </x:c>
      <x:c r="BZ57" s="43" t="str"/>
      <x:c r="CA57" s="43" t="str">
        <x:v>2.555017</x:v>
      </x:c>
      <x:c r="CB57" s="43" t="str">
        <x:v>SD / sqrt(n); derived for analysis from the extracted SD and sample size</x:v>
      </x:c>
      <x:c r="CC57" s="43" t="str">
        <x:v>pavlov_2023_molsci_Fig4E; Figure 4E</x:v>
      </x:c>
      <x:c r="CD57" s="43" t="str">
        <x:v>Verified – no change</x:v>
      </x:c>
      <x:c r="CE57" s="43" t="str"/>
      <x:c r="CF57" s="43" t="str"/>
    </x:row>
    <x:row r="58">
      <x:c r="A58" s="43" t="str">
        <x:v>58</x:v>
      </x:c>
      <x:c r="B58" s="43" t="str">
        <x:v>pavlov_2023_molsci</x:v>
      </x:c>
      <x:c r="C58" s="43" t="str">
        <x:v>ex013</x:v>
      </x:c>
      <x:c r="D58" s="43" t="str">
        <x:v>con009</x:v>
      </x:c>
      <x:c r="E58" s="43" t="str">
        <x:v>out032</x:v>
      </x:c>
      <x:c r="F58" s="43" t="str">
        <x:v>es057</x:v>
      </x:c>
      <x:c r="G58" s="43" t="str">
        <x:v>Yes</x:v>
      </x:c>
      <x:c r="H58" s="43" t="str">
        <x:v>One control and one treatment </x:v>
      </x:c>
      <x:c r="I58" s="43" t="str">
        <x:v>Maternal Chronic Ultrasound Stress Provokes Immune
Activation and Behavioral Deficits in the Offspring: A Mouse
Model of Neurodevelopmental Pathology</x:v>
      </x:c>
      <x:c r="J58" s="43" t="str">
        <x:v>10.3390/ijms241411712 </x:v>
      </x:c>
      <x:c r="K58" s="43" t="str">
        <x:v>International Journal of Molecular Sciences</x:v>
      </x:c>
      <x:c r="L58" s="43" t="str"/>
      <x:c r="M58" s="43" t="str">
        <x:v>Mus musculus</x:v>
      </x:c>
      <x:c r="N58" s="43" t="str">
        <x:v>albino house mouse</x:v>
      </x:c>
      <x:c r="O58" s="43" t="str">
        <x:v>BALB/c mice</x:v>
      </x:c>
      <x:c r="P58" s="43" t="str">
        <x:v>16</x:v>
      </x:c>
      <x:c r="Q58" s="43" t="str">
        <x:v>3 months</x:v>
      </x:c>
      <x:c r="R58" s="43" t="str">
        <x:v>early, mid, late</x:v>
      </x:c>
      <x:c r="S58" s="43" t="str"/>
      <x:c r="T58" s="43" t="str">
        <x:v>21</x:v>
      </x:c>
      <x:c r="U58" s="43" t="str">
        <x:v>Continuous</x:v>
      </x:c>
      <x:c r="V58" s="43" t="str">
        <x:v>24.0</x:v>
      </x:c>
      <x:c r="W58" s="43" t="str">
        <x:v>Varying frequencies. Mice in an accustically isolated room</x:v>
      </x:c>
      <x:c r="X58" s="43" t="str">
        <x:v>Ultrasound</x:v>
      </x:c>
      <x:c r="Y58" s="43" t="str">
        <x:v>Ultrasound</x:v>
      </x:c>
      <x:c r="Z58" s="43" t="str">
        <x:v>50</x:v>
      </x:c>
      <x:c r="AA58" s="43" t="str">
        <x:v>20,000-45,000</x:v>
      </x:c>
      <x:c r="AB58" s="43" t="str">
        <x:v>Unclear</x:v>
      </x:c>
      <x:c r="AC58" s="43" t="str"/>
      <x:c r="AD58" s="43" t="str"/>
      <x:c r="AE58" s="43" t="str">
        <x:v>female</x:v>
      </x:c>
      <x:c r="AF58" s="43" t="str">
        <x:v>60</x:v>
      </x:c>
      <x:c r="AG58" s="43" t="str">
        <x:v>2 months</x:v>
      </x:c>
      <x:c r="AH58" s="43" t="str">
        <x:v>none</x:v>
      </x:c>
      <x:c r="AI58" s="43" t="str"/>
      <x:c r="AJ58" s="43" t="str">
        <x:v>Anxiety</x:v>
      </x:c>
      <x:c r="AK58" s="43" t="str">
        <x:v>Elevated Plus Maze (EPM)</x:v>
      </x:c>
      <x:c r="AL58" s="43" t="str"/>
      <x:c r="AM58" s="43" t="str">
        <x:v>Entries into open arms (OAE)</x:v>
      </x:c>
      <x:c r="AN58" s="43" t="str">
        <x:v>Count</x:v>
      </x:c>
      <x:c r="AO58" s="43" t="str">
        <x:v>Count</x:v>
      </x:c>
      <x:c r="AP58" s="43" t="str">
        <x:v>Dark phase</x:v>
      </x:c>
      <x:c r="AQ58" s="43" t="str">
        <x:v>Figure 4F</x:v>
      </x:c>
      <x:c r="AR58" s="43" t="str">
        <x:v>pavlov_2023_molsci_Fig4F</x:v>
      </x:c>
      <x:c r="AS58" s="43" t="str">
        <x:v>NonSt_oae</x:v>
      </x:c>
      <x:c r="AT58" s="43" t="str">
        <x:v>US_oae</x:v>
      </x:c>
      <x:c r="AU58" s="43" t="str">
        <x:v>NonSt_US_oae</x:v>
      </x:c>
      <x:c r="AV58" s="43" t="str">
        <x:v>Independent</x:v>
      </x:c>
      <x:c r="AW58" s="43" t="str">
        <x:v>Yes</x:v>
      </x:c>
      <x:c r="AX58" s="43" t="str">
        <x:v>Negative</x:v>
      </x:c>
      <x:c r="AY58" s="43" t="str"/>
      <x:c r="AZ58" s="43" t="str">
        <x:v>13.27</x:v>
      </x:c>
      <x:c r="BA58" s="43" t="str">
        <x:v>5.44</x:v>
      </x:c>
      <x:c r="BB58" s="43" t="str">
        <x:v>10</x:v>
      </x:c>
      <x:c r="BC58" s="43" t="str">
        <x:v>1.72</x:v>
      </x:c>
      <x:c r="BD58" s="43" t="str"/>
      <x:c r="BE58" s="43" t="str">
        <x:v>8.68</x:v>
      </x:c>
      <x:c r="BF58" s="43" t="str">
        <x:v>4.23</x:v>
      </x:c>
      <x:c r="BG58" s="43" t="str">
        <x:v>14</x:v>
      </x:c>
      <x:c r="BH58" s="43" t="str">
        <x:v>1.13</x:v>
      </x:c>
      <x:c r="BI58" s="43" t="str"/>
      <x:c r="BJ58" s="43" t="str"/>
      <x:c r="BK58" s="43" t="str"/>
      <x:c r="BL58" s="43" t="str"/>
      <x:c r="BM58" s="43" t="str"/>
      <x:c r="BN58" s="43" t="str"/>
      <x:c r="BO58" s="43" t="str"/>
      <x:c r="BP58" s="43" t="str"/>
      <x:c r="BQ58" s="43" t="str"/>
      <x:c r="BR58" s="43" t="str">
        <x:v>yes</x:v>
      </x:c>
      <x:c r="BS58" s="43" t="str"/>
      <x:c r="BT58" s="43" t="str"/>
      <x:c r="BU58" s="43" t="str"/>
      <x:c r="BV58" s="43" t="str"/>
      <x:c r="BW58" s="43" t="str">
        <x:v>1.720279</x:v>
      </x:c>
      <x:c r="BX58" s="43" t="str">
        <x:v>SD / sqrt(n); derived for analysis from the extracted SD and sample size</x:v>
      </x:c>
      <x:c r="BY58" s="43" t="str">
        <x:v>pavlov_2023_molsci_Fig4F; Figure 4F</x:v>
      </x:c>
      <x:c r="BZ58" s="43" t="str"/>
      <x:c r="CA58" s="43" t="str">
        <x:v>1.130515</x:v>
      </x:c>
      <x:c r="CB58" s="43" t="str">
        <x:v>SD / sqrt(n); derived for analysis from the extracted SD and sample size</x:v>
      </x:c>
      <x:c r="CC58" s="43" t="str">
        <x:v>pavlov_2023_molsci_Fig4F; Figure 4F</x:v>
      </x:c>
      <x:c r="CD58" s="43" t="str">
        <x:v>Verified – no change</x:v>
      </x:c>
      <x:c r="CE58" s="43" t="str"/>
      <x:c r="CF58" s="43" t="str"/>
    </x:row>
    <x:row r="59">
      <x:c r="A59" s="43" t="str">
        <x:v>59</x:v>
      </x:c>
      <x:c r="B59" s="43" t="str">
        <x:v>nishio_2006_intjdevlneur</x:v>
      </x:c>
      <x:c r="C59" s="43" t="str">
        <x:v>ex014</x:v>
      </x:c>
      <x:c r="D59" s="43" t="str">
        <x:v>con010</x:v>
      </x:c>
      <x:c r="E59" s="43" t="str">
        <x:v>out033</x:v>
      </x:c>
      <x:c r="F59" s="43" t="str">
        <x:v>es058</x:v>
      </x:c>
      <x:c r="G59" s="43" t="str">
        <x:v>Yes</x:v>
      </x:c>
      <x:c r="H59" s="43" t="str">
        <x:v>one female, one male and one control group per sex</x:v>
      </x:c>
      <x:c r="I59" s="43" t="str">
        <x:v>Effects of perinatal stress on the anxiety-related behavior of  the adolescence mouse</x:v>
      </x:c>
      <x:c r="J59" s="43" t="str">
        <x:v>10.1016/j.ijdevneu.2006.02.003</x:v>
      </x:c>
      <x:c r="K59" s="43" t="str">
        <x:v>International Journal of Developemental Neuroscience</x:v>
      </x:c>
      <x:c r="L59" s="43" t="str"/>
      <x:c r="M59" s="43" t="str">
        <x:v>Mus musculus</x:v>
      </x:c>
      <x:c r="N59" s="43" t="str">
        <x:v>albino house mouse</x:v>
      </x:c>
      <x:c r="O59" s="43" t="str">
        <x:v>ddY mice</x:v>
      </x:c>
      <x:c r="P59" s="43" t="str"/>
      <x:c r="Q59" s="43" t="str">
        <x:v>not reported</x:v>
      </x:c>
      <x:c r="R59" s="43" t="str">
        <x:v>mid, late</x:v>
      </x:c>
      <x:c r="S59" s="43" t="str">
        <x:v>day 10 to 18 </x:v>
      </x:c>
      <x:c r="T59" s="43" t="str">
        <x:v>9</x:v>
      </x:c>
      <x:c r="U59" s="43" t="str">
        <x:v>Intermitent</x:v>
      </x:c>
      <x:c r="V59" s="43" t="str">
        <x:v>0.25</x:v>
      </x:c>
      <x:c r="W59" s="43" t="str">
        <x:v>15 min</x:v>
      </x:c>
      <x:c r="X59" s="43" t="str">
        <x:v>Other/Unclear</x:v>
      </x:c>
      <x:c r="Y59" s="43" t="str">
        <x:v>Unclear</x:v>
      </x:c>
      <x:c r="Z59" s="43" t="str">
        <x:v>90</x:v>
      </x:c>
      <x:c r="AA59" s="43" t="str"/>
      <x:c r="AB59" s="43" t="str">
        <x:v>Unclear</x:v>
      </x:c>
      <x:c r="AC59" s="43" t="str"/>
      <x:c r="AD59" s="43" t="str">
        <x:v>No information</x:v>
      </x:c>
      <x:c r="AE59" s="43" t="str">
        <x:v>male</x:v>
      </x:c>
      <x:c r="AF59" s="43" t="str">
        <x:v>35</x:v>
      </x:c>
      <x:c r="AG59" s="43" t="str">
        <x:v>5 weeks</x:v>
      </x:c>
      <x:c r="AH59" s="43" t="str">
        <x:v>none</x:v>
      </x:c>
      <x:c r="AI59" s="43" t="str"/>
      <x:c r="AJ59" s="43" t="str">
        <x:v>Anxiety</x:v>
      </x:c>
      <x:c r="AK59" s="43" t="str">
        <x:v>Elevated Plus Maze (EPM)</x:v>
      </x:c>
      <x:c r="AL59" s="43"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M59" s="43" t="str">
        <x:v>Time in open arms (OAT)</x:v>
      </x:c>
      <x:c r="AN59" s="43" t="str">
        <x:v>Percentage</x:v>
      </x:c>
      <x:c r="AO59" s="43" t="str">
        <x:v>%</x:v>
      </x:c>
      <x:c r="AP59" s="43" t="str">
        <x:v>Not reported</x:v>
      </x:c>
      <x:c r="AQ59" s="43" t="str">
        <x:v>Fig. 2a</x:v>
      </x:c>
      <x:c r="AR59" s="43" t="str">
        <x:v>nishio_2006_intjdevlneur_fig2a</x:v>
      </x:c>
      <x:c r="AS59" s="43" t="str">
        <x:v>pre_n_m_oat</x:v>
      </x:c>
      <x:c r="AT59" s="43" t="str">
        <x:v>pre_so_m_oat</x:v>
      </x:c>
      <x:c r="AU59" s="43" t="str">
        <x:v>pre_n_m_oat</x:v>
      </x:c>
      <x:c r="AV59" s="43" t="str">
        <x:v>Independent</x:v>
      </x:c>
      <x:c r="AW59" s="43" t="str">
        <x:v>Yes</x:v>
      </x:c>
      <x:c r="AX59" s="43" t="str">
        <x:v>Negative</x:v>
      </x:c>
      <x:c r="AY59" s="43" t="str"/>
      <x:c r="AZ59" s="43" t="str">
        <x:v>27.16</x:v>
      </x:c>
      <x:c r="BA59" s="43" t="str">
        <x:v>13.81</x:v>
      </x:c>
      <x:c r="BB59" s="43" t="str">
        <x:v>5</x:v>
      </x:c>
      <x:c r="BC59" s="43" t="str">
        <x:v>6.17</x:v>
      </x:c>
      <x:c r="BD59" s="43" t="str"/>
      <x:c r="BE59" s="43" t="str">
        <x:v>24.15</x:v>
      </x:c>
      <x:c r="BF59" s="43" t="str">
        <x:v>7.94</x:v>
      </x:c>
      <x:c r="BG59" s="43" t="str">
        <x:v>5</x:v>
      </x:c>
      <x:c r="BH59" s="43" t="str">
        <x:v>3.55</x:v>
      </x:c>
      <x:c r="BI59" s="43" t="str"/>
      <x:c r="BJ59" s="43" t="str"/>
      <x:c r="BK59" s="43" t="str"/>
      <x:c r="BL59" s="43" t="str"/>
      <x:c r="BM59" s="43" t="str"/>
      <x:c r="BN59" s="43" t="str"/>
      <x:c r="BO59" s="43" t="str"/>
      <x:c r="BP59" s="43" t="str"/>
      <x:c r="BQ59" s="43" t="str"/>
      <x:c r="BR59" s="43" t="str">
        <x:v>yes</x:v>
      </x:c>
      <x:c r="BS59" s="43" t="str"/>
      <x:c r="BT59" s="43" t="str"/>
      <x:c r="BU59" s="43" t="str"/>
      <x:c r="BV59" s="43" t="str">
        <x:v>6.17</x:v>
      </x:c>
      <x:c r="BW59" s="43" t="str">
        <x:v>6.17</x:v>
      </x:c>
      <x:c r="BX59" s="43" t="str">
        <x:v>Reported SEM; used unchanged for analysis</x:v>
      </x:c>
      <x:c r="BY59" s="43" t="str">
        <x:v>nishio_2006_intjdevlneur_fig2a; Fig. 2a</x:v>
      </x:c>
      <x:c r="BZ59" s="43" t="str">
        <x:v>3.55</x:v>
      </x:c>
      <x:c r="CA59" s="43" t="str">
        <x:v>3.55</x:v>
      </x:c>
      <x:c r="CB59" s="43" t="str">
        <x:v>Reported SEM; used unchanged for analysis</x:v>
      </x:c>
      <x:c r="CC59" s="43" t="str">
        <x:v>nishio_2006_intjdevlneur_fig2a; Fig. 2a</x:v>
      </x:c>
      <x:c r="CD59" s="43" t="str">
        <x:v>Verified – no change</x:v>
      </x:c>
      <x:c r="CE59" s="43" t="str"/>
      <x:c r="CF59" s="43" t="str"/>
    </x:row>
    <x:row r="60">
      <x:c r="A60" s="43" t="str">
        <x:v>60</x:v>
      </x:c>
      <x:c r="B60" s="43" t="str">
        <x:v>nishio_2006_intjdevlneur</x:v>
      </x:c>
      <x:c r="C60" s="43" t="str">
        <x:v>ex015</x:v>
      </x:c>
      <x:c r="D60" s="43" t="str">
        <x:v>con011</x:v>
      </x:c>
      <x:c r="E60" s="43" t="str">
        <x:v>out033</x:v>
      </x:c>
      <x:c r="F60" s="43" t="str">
        <x:v>es059</x:v>
      </x:c>
      <x:c r="G60" s="43" t="str">
        <x:v>Yes</x:v>
      </x:c>
      <x:c r="H60" s="43" t="str">
        <x:v>one female, one male and one control group per sex</x:v>
      </x:c>
      <x:c r="I60" s="43" t="str">
        <x:v>Effects of perinatal stress on the anxiety-related behavior of  the adolescence mouse</x:v>
      </x:c>
      <x:c r="J60" s="43" t="str">
        <x:v>10.1016/j.ijdevneu.2006.02.003</x:v>
      </x:c>
      <x:c r="K60" s="43" t="str">
        <x:v>International Journal of Developemental Neuroscience</x:v>
      </x:c>
      <x:c r="L60" s="43" t="str"/>
      <x:c r="M60" s="43" t="str">
        <x:v>Mus musculus</x:v>
      </x:c>
      <x:c r="N60" s="43" t="str">
        <x:v>albino house mouse</x:v>
      </x:c>
      <x:c r="O60" s="43" t="str">
        <x:v>ddY mice</x:v>
      </x:c>
      <x:c r="P60" s="43" t="str"/>
      <x:c r="Q60" s="43" t="str">
        <x:v>not reported</x:v>
      </x:c>
      <x:c r="R60" s="43" t="str">
        <x:v>mid, late</x:v>
      </x:c>
      <x:c r="S60" s="43" t="str">
        <x:v>day 10 to 18 </x:v>
      </x:c>
      <x:c r="T60" s="43" t="str">
        <x:v>9</x:v>
      </x:c>
      <x:c r="U60" s="43" t="str">
        <x:v>Intermitent</x:v>
      </x:c>
      <x:c r="V60" s="43" t="str">
        <x:v>0.25</x:v>
      </x:c>
      <x:c r="W60" s="43" t="str">
        <x:v>15 min</x:v>
      </x:c>
      <x:c r="X60" s="43" t="str">
        <x:v>Other/Unclear</x:v>
      </x:c>
      <x:c r="Y60" s="43" t="str">
        <x:v>Unclear</x:v>
      </x:c>
      <x:c r="Z60" s="43" t="str">
        <x:v>90</x:v>
      </x:c>
      <x:c r="AA60" s="43" t="str"/>
      <x:c r="AB60" s="43" t="str">
        <x:v>Unclear</x:v>
      </x:c>
      <x:c r="AC60" s="43" t="str"/>
      <x:c r="AD60" s="43" t="str">
        <x:v>No information</x:v>
      </x:c>
      <x:c r="AE60" s="43" t="str">
        <x:v>female</x:v>
      </x:c>
      <x:c r="AF60" s="43" t="str">
        <x:v>35</x:v>
      </x:c>
      <x:c r="AG60" s="43" t="str">
        <x:v>5 weeks</x:v>
      </x:c>
      <x:c r="AH60" s="43" t="str">
        <x:v>none</x:v>
      </x:c>
      <x:c r="AI60" s="43" t="str"/>
      <x:c r="AJ60" s="43" t="str">
        <x:v>Anxiety</x:v>
      </x:c>
      <x:c r="AK60" s="43" t="str">
        <x:v>Elevated Plus Maze (EPM)</x:v>
      </x:c>
      <x:c r="AL60" s="43" t="str">
        <x:v>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x:v>
      </x:c>
      <x:c r="AM60" s="43" t="str">
        <x:v>Time in open arms (OAT)</x:v>
      </x:c>
      <x:c r="AN60" s="43" t="str">
        <x:v>Percentage</x:v>
      </x:c>
      <x:c r="AO60" s="43" t="str">
        <x:v>%</x:v>
      </x:c>
      <x:c r="AP60" s="43" t="str">
        <x:v>Not reported</x:v>
      </x:c>
      <x:c r="AQ60" s="43" t="str">
        <x:v>Fig. 2a</x:v>
      </x:c>
      <x:c r="AR60" s="43" t="str">
        <x:v>nishio_2006_intjdevlneur_fig2a</x:v>
      </x:c>
      <x:c r="AS60" s="43" t="str">
        <x:v>pre_n_f_oat</x:v>
      </x:c>
      <x:c r="AT60" s="43" t="str">
        <x:v>pre_so_f_oat</x:v>
      </x:c>
      <x:c r="AU60" s="43" t="str">
        <x:v>pre_n_f_oat</x:v>
      </x:c>
      <x:c r="AV60" s="43" t="str">
        <x:v>Independent</x:v>
      </x:c>
      <x:c r="AW60" s="43" t="str">
        <x:v>Yes</x:v>
      </x:c>
      <x:c r="AX60" s="43" t="str">
        <x:v>Negative</x:v>
      </x:c>
      <x:c r="AY60" s="43" t="str"/>
      <x:c r="AZ60" s="43" t="str">
        <x:v>18.69</x:v>
      </x:c>
      <x:c r="BA60" s="43" t="str">
        <x:v>6.84</x:v>
      </x:c>
      <x:c r="BB60" s="43" t="str">
        <x:v>5</x:v>
      </x:c>
      <x:c r="BC60" s="43" t="str">
        <x:v>3.06</x:v>
      </x:c>
      <x:c r="BD60" s="43" t="str"/>
      <x:c r="BE60" s="43" t="str">
        <x:v>29.23</x:v>
      </x:c>
      <x:c r="BF60" s="43" t="str">
        <x:v>13.81</x:v>
      </x:c>
      <x:c r="BG60" s="43" t="str">
        <x:v>5</x:v>
      </x:c>
      <x:c r="BH60" s="43" t="str">
        <x:v>6.17</x:v>
      </x:c>
      <x:c r="BI60" s="43" t="str"/>
      <x:c r="BJ60" s="43" t="str"/>
      <x:c r="BK60" s="43" t="str"/>
      <x:c r="BL60" s="43" t="str"/>
      <x:c r="BM60" s="43" t="str"/>
      <x:c r="BN60" s="43" t="str"/>
      <x:c r="BO60" s="43" t="str"/>
      <x:c r="BP60" s="43" t="str"/>
      <x:c r="BQ60" s="43" t="str"/>
      <x:c r="BR60" s="43" t="str">
        <x:v>yes</x:v>
      </x:c>
      <x:c r="BS60" s="43" t="str"/>
      <x:c r="BT60" s="43" t="str"/>
      <x:c r="BU60" s="43" t="str"/>
      <x:c r="BV60" s="43" t="str">
        <x:v>3.06</x:v>
      </x:c>
      <x:c r="BW60" s="43" t="str">
        <x:v>3.06</x:v>
      </x:c>
      <x:c r="BX60" s="43" t="str">
        <x:v>Reported SEM; used unchanged for analysis</x:v>
      </x:c>
      <x:c r="BY60" s="43" t="str">
        <x:v>nishio_2006_intjdevlneur_fig2a; Fig. 2a</x:v>
      </x:c>
      <x:c r="BZ60" s="43" t="str">
        <x:v>6.17</x:v>
      </x:c>
      <x:c r="CA60" s="43" t="str">
        <x:v>6.17</x:v>
      </x:c>
      <x:c r="CB60" s="43" t="str">
        <x:v>Reported SEM; used unchanged for analysis</x:v>
      </x:c>
      <x:c r="CC60" s="43" t="str">
        <x:v>nishio_2006_intjdevlneur_fig2a; Fig. 2a</x:v>
      </x:c>
      <x:c r="CD60" s="43" t="str">
        <x:v>Verified – no change</x:v>
      </x:c>
      <x:c r="CE60" s="43" t="str"/>
      <x:c r="CF60" s="43" t="str"/>
    </x:row>
    <x:row r="61">
      <x:c r="A61" s="43" t="str">
        <x:v>61</x:v>
      </x:c>
      <x:c r="B61" s="43" t="str">
        <x:v>nishio_2006_intjdevlneur</x:v>
      </x:c>
      <x:c r="C61" s="43" t="str">
        <x:v>ex014</x:v>
      </x:c>
      <x:c r="D61" s="43" t="str">
        <x:v>con010</x:v>
      </x:c>
      <x:c r="E61" s="43" t="str">
        <x:v>out034</x:v>
      </x:c>
      <x:c r="F61" s="43" t="str">
        <x:v>es060</x:v>
      </x:c>
      <x:c r="G61" s="43" t="str">
        <x:v>Yes</x:v>
      </x:c>
      <x:c r="H61" s="43" t="str">
        <x:v>one female, one male and one control group per sex</x:v>
      </x:c>
      <x:c r="I61" s="43" t="str">
        <x:v>Effects of perinatal stress on the anxiety-related behavior of  the adolescence mouse</x:v>
      </x:c>
      <x:c r="J61" s="43" t="str">
        <x:v>10.1016/j.ijdevneu.2006.02.003</x:v>
      </x:c>
      <x:c r="K61" s="43" t="str">
        <x:v>International Journal of Developemental Neuroscience</x:v>
      </x:c>
      <x:c r="L61" s="43" t="str"/>
      <x:c r="M61" s="43" t="str">
        <x:v>Mus musculus</x:v>
      </x:c>
      <x:c r="N61" s="43" t="str">
        <x:v>albino house mouse</x:v>
      </x:c>
      <x:c r="O61" s="43" t="str">
        <x:v>ddY mice</x:v>
      </x:c>
      <x:c r="P61" s="43" t="str"/>
      <x:c r="Q61" s="43" t="str">
        <x:v>not reported</x:v>
      </x:c>
      <x:c r="R61" s="43" t="str">
        <x:v>mid, late</x:v>
      </x:c>
      <x:c r="S61" s="43" t="str">
        <x:v>day 10 to 18 </x:v>
      </x:c>
      <x:c r="T61" s="43" t="str">
        <x:v>9</x:v>
      </x:c>
      <x:c r="U61" s="43" t="str">
        <x:v>Intermitent</x:v>
      </x:c>
      <x:c r="V61" s="43" t="str">
        <x:v>0.25</x:v>
      </x:c>
      <x:c r="W61" s="43" t="str">
        <x:v>15 min</x:v>
      </x:c>
      <x:c r="X61" s="43" t="str">
        <x:v>Other/Unclear</x:v>
      </x:c>
      <x:c r="Y61" s="43" t="str">
        <x:v>Unclear</x:v>
      </x:c>
      <x:c r="Z61" s="43" t="str">
        <x:v>90</x:v>
      </x:c>
      <x:c r="AA61" s="43" t="str"/>
      <x:c r="AB61" s="43" t="str">
        <x:v>Unclear</x:v>
      </x:c>
      <x:c r="AC61" s="43" t="str"/>
      <x:c r="AD61" s="43" t="str">
        <x:v>No information</x:v>
      </x:c>
      <x:c r="AE61" s="43" t="str">
        <x:v>male</x:v>
      </x:c>
      <x:c r="AF61" s="43" t="str">
        <x:v>35</x:v>
      </x:c>
      <x:c r="AG61" s="43" t="str">
        <x:v>5 weeks</x:v>
      </x:c>
      <x:c r="AH61" s="43" t="str">
        <x:v>none</x:v>
      </x:c>
      <x:c r="AI61" s="43" t="str"/>
      <x:c r="AJ61" s="43" t="str">
        <x:v>Anxiety</x:v>
      </x:c>
      <x:c r="AK61" s="43" t="str">
        <x:v>Elevated Plus Maze (EPM)</x:v>
      </x:c>
      <x:c r="AL61" s="43" t="str"/>
      <x:c r="AM61" s="43" t="str">
        <x:v>Entries into open arms (OAE)</x:v>
      </x:c>
      <x:c r="AN61" s="43" t="str">
        <x:v>Percentage</x:v>
      </x:c>
      <x:c r="AO61" s="43" t="str">
        <x:v>%</x:v>
      </x:c>
      <x:c r="AP61" s="43" t="str">
        <x:v>Not reported</x:v>
      </x:c>
      <x:c r="AQ61" s="43" t="str">
        <x:v>Fig. 2b</x:v>
      </x:c>
      <x:c r="AR61" s="43" t="str">
        <x:v>nishio_2006_intjdevlneur_fig2b</x:v>
      </x:c>
      <x:c r="AS61" s="43" t="str">
        <x:v>pre_n_m_oae</x:v>
      </x:c>
      <x:c r="AT61" s="43" t="str">
        <x:v>pre_so_m_oae</x:v>
      </x:c>
      <x:c r="AU61" s="43" t="str">
        <x:v>pre_n_m_oae</x:v>
      </x:c>
      <x:c r="AV61" s="43" t="str">
        <x:v>Independent</x:v>
      </x:c>
      <x:c r="AW61" s="43" t="str">
        <x:v>Yes</x:v>
      </x:c>
      <x:c r="AX61" s="43" t="str">
        <x:v>Negative</x:v>
      </x:c>
      <x:c r="AY61" s="43" t="str"/>
      <x:c r="AZ61" s="43" t="str">
        <x:v>39.61</x:v>
      </x:c>
      <x:c r="BA61" s="43" t="str">
        <x:v>9.64</x:v>
      </x:c>
      <x:c r="BB61" s="43" t="str">
        <x:v>5</x:v>
      </x:c>
      <x:c r="BC61" s="43" t="str">
        <x:v>4.31</x:v>
      </x:c>
      <x:c r="BD61" s="43" t="str"/>
      <x:c r="BE61" s="43" t="str">
        <x:v>46.66</x:v>
      </x:c>
      <x:c r="BF61" s="43" t="str">
        <x:v>7.78</x:v>
      </x:c>
      <x:c r="BG61" s="43" t="str">
        <x:v>5</x:v>
      </x:c>
      <x:c r="BH61" s="43" t="str">
        <x:v>3.48</x:v>
      </x:c>
      <x:c r="BI61" s="43" t="str"/>
      <x:c r="BJ61" s="43" t="str"/>
      <x:c r="BK61" s="43" t="str"/>
      <x:c r="BL61" s="43" t="str"/>
      <x:c r="BM61" s="43" t="str"/>
      <x:c r="BN61" s="43" t="str"/>
      <x:c r="BO61" s="43" t="str"/>
      <x:c r="BP61" s="43" t="str"/>
      <x:c r="BQ61" s="43" t="str"/>
      <x:c r="BR61" s="43" t="str">
        <x:v>yes</x:v>
      </x:c>
      <x:c r="BS61" s="43" t="str"/>
      <x:c r="BT61" s="43" t="str"/>
      <x:c r="BU61" s="43" t="str"/>
      <x:c r="BV61" s="43" t="str">
        <x:v>4.31</x:v>
      </x:c>
      <x:c r="BW61" s="43" t="str">
        <x:v>4.31</x:v>
      </x:c>
      <x:c r="BX61" s="43" t="str">
        <x:v>Reported SEM; used unchanged for analysis</x:v>
      </x:c>
      <x:c r="BY61" s="43" t="str">
        <x:v>nishio_2006_intjdevlneur_fig2b; Fig. 2b</x:v>
      </x:c>
      <x:c r="BZ61" s="43" t="str">
        <x:v>3.48</x:v>
      </x:c>
      <x:c r="CA61" s="43" t="str">
        <x:v>3.48</x:v>
      </x:c>
      <x:c r="CB61" s="43" t="str">
        <x:v>Reported SEM; used unchanged for analysis</x:v>
      </x:c>
      <x:c r="CC61" s="43" t="str">
        <x:v>nishio_2006_intjdevlneur_fig2b; Fig. 2b</x:v>
      </x:c>
      <x:c r="CD61" s="43" t="str">
        <x:v>Verified – no change</x:v>
      </x:c>
      <x:c r="CE61" s="43" t="str"/>
      <x:c r="CF61" s="43" t="str"/>
    </x:row>
    <x:row r="62">
      <x:c r="A62" s="43" t="str">
        <x:v>62</x:v>
      </x:c>
      <x:c r="B62" s="43" t="str">
        <x:v>nishio_2006_intjdevlneur</x:v>
      </x:c>
      <x:c r="C62" s="43" t="str">
        <x:v>ex015</x:v>
      </x:c>
      <x:c r="D62" s="43" t="str">
        <x:v>con011</x:v>
      </x:c>
      <x:c r="E62" s="43" t="str">
        <x:v>out034</x:v>
      </x:c>
      <x:c r="F62" s="43" t="str">
        <x:v>es061</x:v>
      </x:c>
      <x:c r="G62" s="43" t="str">
        <x:v>Yes</x:v>
      </x:c>
      <x:c r="H62" s="43" t="str">
        <x:v>one female, one male and one control group per sex</x:v>
      </x:c>
      <x:c r="I62" s="43" t="str">
        <x:v>Effects of perinatal stress on the anxiety-related behavior of  the adolescence mouse</x:v>
      </x:c>
      <x:c r="J62" s="43" t="str">
        <x:v>10.1016/j.ijdevneu.2006.02.003</x:v>
      </x:c>
      <x:c r="K62" s="43" t="str">
        <x:v>International Journal of Developemental Neuroscience</x:v>
      </x:c>
      <x:c r="L62" s="43" t="str"/>
      <x:c r="M62" s="43" t="str">
        <x:v>Mus musculus</x:v>
      </x:c>
      <x:c r="N62" s="43" t="str">
        <x:v>albino house mouse</x:v>
      </x:c>
      <x:c r="O62" s="43" t="str">
        <x:v>ddY mice</x:v>
      </x:c>
      <x:c r="P62" s="43" t="str"/>
      <x:c r="Q62" s="43" t="str">
        <x:v>not reported</x:v>
      </x:c>
      <x:c r="R62" s="43" t="str">
        <x:v>mid, late</x:v>
      </x:c>
      <x:c r="S62" s="43" t="str">
        <x:v>day 10 to 18 </x:v>
      </x:c>
      <x:c r="T62" s="43" t="str">
        <x:v>9</x:v>
      </x:c>
      <x:c r="U62" s="43" t="str">
        <x:v>Intermitent</x:v>
      </x:c>
      <x:c r="V62" s="43" t="str">
        <x:v>0.25</x:v>
      </x:c>
      <x:c r="W62" s="43" t="str">
        <x:v>15 min</x:v>
      </x:c>
      <x:c r="X62" s="43" t="str">
        <x:v>Other/Unclear</x:v>
      </x:c>
      <x:c r="Y62" s="43" t="str">
        <x:v>Unclear</x:v>
      </x:c>
      <x:c r="Z62" s="43" t="str">
        <x:v>90</x:v>
      </x:c>
      <x:c r="AA62" s="43" t="str"/>
      <x:c r="AB62" s="43" t="str">
        <x:v>Unclear</x:v>
      </x:c>
      <x:c r="AC62" s="43" t="str"/>
      <x:c r="AD62" s="43" t="str">
        <x:v>No information</x:v>
      </x:c>
      <x:c r="AE62" s="43" t="str">
        <x:v>female</x:v>
      </x:c>
      <x:c r="AF62" s="43" t="str">
        <x:v>35</x:v>
      </x:c>
      <x:c r="AG62" s="43" t="str">
        <x:v>5 weeks</x:v>
      </x:c>
      <x:c r="AH62" s="43" t="str">
        <x:v>none</x:v>
      </x:c>
      <x:c r="AI62" s="43" t="str"/>
      <x:c r="AJ62" s="43" t="str">
        <x:v>Anxiety</x:v>
      </x:c>
      <x:c r="AK62" s="43" t="str">
        <x:v>Elevated Plus Maze (EPM)</x:v>
      </x:c>
      <x:c r="AL62" s="43" t="str"/>
      <x:c r="AM62" s="43" t="str">
        <x:v>Entries into open arms (OAE)</x:v>
      </x:c>
      <x:c r="AN62" s="43" t="str">
        <x:v>Percentage</x:v>
      </x:c>
      <x:c r="AO62" s="43" t="str">
        <x:v>%</x:v>
      </x:c>
      <x:c r="AP62" s="43" t="str">
        <x:v>Not reported</x:v>
      </x:c>
      <x:c r="AQ62" s="43" t="str">
        <x:v>Fig. 2b</x:v>
      </x:c>
      <x:c r="AR62" s="43" t="str">
        <x:v>nishio_2006_intjdevlneur_fig2b</x:v>
      </x:c>
      <x:c r="AS62" s="43" t="str">
        <x:v>pre_n_f_oae</x:v>
      </x:c>
      <x:c r="AT62" s="43" t="str">
        <x:v>pre_so_f_oae</x:v>
      </x:c>
      <x:c r="AU62" s="43" t="str">
        <x:v>pre_n_f_oae</x:v>
      </x:c>
      <x:c r="AV62" s="43" t="str">
        <x:v>Independent</x:v>
      </x:c>
      <x:c r="AW62" s="43" t="str">
        <x:v>Yes</x:v>
      </x:c>
      <x:c r="AX62" s="43" t="str">
        <x:v>Negative</x:v>
      </x:c>
      <x:c r="AY62" s="43" t="str"/>
      <x:c r="AZ62" s="43" t="str">
        <x:v>33.07</x:v>
      </x:c>
      <x:c r="BA62" s="43" t="str">
        <x:v>7.6</x:v>
      </x:c>
      <x:c r="BB62" s="43" t="str">
        <x:v>5</x:v>
      </x:c>
      <x:c r="BC62" s="43" t="str">
        <x:v>3.4</x:v>
      </x:c>
      <x:c r="BD62" s="43" t="str"/>
      <x:c r="BE62" s="43" t="str">
        <x:v>42.1</x:v>
      </x:c>
      <x:c r="BF62" s="43" t="str">
        <x:v>14.82</x:v>
      </x:c>
      <x:c r="BG62" s="43" t="str">
        <x:v>5</x:v>
      </x:c>
      <x:c r="BH62" s="43" t="str">
        <x:v>6.63</x:v>
      </x:c>
      <x:c r="BI62" s="43" t="str"/>
      <x:c r="BJ62" s="43" t="str"/>
      <x:c r="BK62" s="43" t="str"/>
      <x:c r="BL62" s="43" t="str"/>
      <x:c r="BM62" s="43" t="str"/>
      <x:c r="BN62" s="43" t="str"/>
      <x:c r="BO62" s="43" t="str"/>
      <x:c r="BP62" s="43" t="str"/>
      <x:c r="BQ62" s="43" t="str"/>
      <x:c r="BR62" s="43" t="str">
        <x:v>yes</x:v>
      </x:c>
      <x:c r="BS62" s="43" t="str"/>
      <x:c r="BT62" s="43" t="str"/>
      <x:c r="BU62" s="43" t="str"/>
      <x:c r="BV62" s="43" t="str">
        <x:v>3.4</x:v>
      </x:c>
      <x:c r="BW62" s="43" t="str">
        <x:v>3.4</x:v>
      </x:c>
      <x:c r="BX62" s="43" t="str">
        <x:v>Reported SEM; used unchanged for analysis</x:v>
      </x:c>
      <x:c r="BY62" s="43" t="str">
        <x:v>nishio_2006_intjdevlneur_fig2b; Fig. 2b</x:v>
      </x:c>
      <x:c r="BZ62" s="43" t="str">
        <x:v>6.63</x:v>
      </x:c>
      <x:c r="CA62" s="43" t="str">
        <x:v>6.63</x:v>
      </x:c>
      <x:c r="CB62" s="43" t="str">
        <x:v>Reported SEM; used unchanged for analysis</x:v>
      </x:c>
      <x:c r="CC62" s="43" t="str">
        <x:v>nishio_2006_intjdevlneur_fig2b; Fig. 2b</x:v>
      </x:c>
      <x:c r="CD62" s="43" t="str">
        <x:v>Verified – no change</x:v>
      </x:c>
      <x:c r="CE62" s="43" t="str"/>
      <x:c r="CF62" s="43" t="str"/>
    </x:row>
    <x:row r="63">
      <x:c r="A63" s="43" t="str">
        <x:v>63</x:v>
      </x:c>
      <x:c r="B63" s="43" t="str">
        <x:v>nishio_2006_intjdevlneur</x:v>
      </x:c>
      <x:c r="C63" s="43" t="str">
        <x:v>ex014</x:v>
      </x:c>
      <x:c r="D63" s="43" t="str">
        <x:v>con010</x:v>
      </x:c>
      <x:c r="E63" s="43" t="str">
        <x:v>out035</x:v>
      </x:c>
      <x:c r="F63" s="43" t="str">
        <x:v>es062</x:v>
      </x:c>
      <x:c r="G63" s="43" t="str">
        <x:v>Yes</x:v>
      </x:c>
      <x:c r="H63" s="43" t="str">
        <x:v>one female, one male and one control group per sex</x:v>
      </x:c>
      <x:c r="I63" s="43" t="str">
        <x:v>Effects of perinatal stress on the anxiety-related behavior of  the adolescence mouse</x:v>
      </x:c>
      <x:c r="J63" s="43" t="str">
        <x:v>10.1016/j.ijdevneu.2006.02.003</x:v>
      </x:c>
      <x:c r="K63" s="43" t="str">
        <x:v>International Journal of Developemental Neuroscience</x:v>
      </x:c>
      <x:c r="L63" s="43" t="str"/>
      <x:c r="M63" s="43" t="str">
        <x:v>Mus musculus</x:v>
      </x:c>
      <x:c r="N63" s="43" t="str">
        <x:v>albino house mouse</x:v>
      </x:c>
      <x:c r="O63" s="43" t="str">
        <x:v>ddY mice</x:v>
      </x:c>
      <x:c r="P63" s="43" t="str"/>
      <x:c r="Q63" s="43" t="str">
        <x:v>not reported</x:v>
      </x:c>
      <x:c r="R63" s="43" t="str">
        <x:v>mid, late</x:v>
      </x:c>
      <x:c r="S63" s="43" t="str">
        <x:v>day 10 to 18 </x:v>
      </x:c>
      <x:c r="T63" s="43" t="str">
        <x:v>9</x:v>
      </x:c>
      <x:c r="U63" s="43" t="str">
        <x:v>Intermitent</x:v>
      </x:c>
      <x:c r="V63" s="43" t="str">
        <x:v>0.25</x:v>
      </x:c>
      <x:c r="W63" s="43" t="str">
        <x:v>15 min</x:v>
      </x:c>
      <x:c r="X63" s="43" t="str">
        <x:v>Other/Unclear</x:v>
      </x:c>
      <x:c r="Y63" s="43" t="str">
        <x:v>Unclear</x:v>
      </x:c>
      <x:c r="Z63" s="43" t="str">
        <x:v>90</x:v>
      </x:c>
      <x:c r="AA63" s="43" t="str"/>
      <x:c r="AB63" s="43" t="str">
        <x:v>Unclear</x:v>
      </x:c>
      <x:c r="AC63" s="43" t="str"/>
      <x:c r="AD63" s="43" t="str">
        <x:v>No information</x:v>
      </x:c>
      <x:c r="AE63" s="43" t="str">
        <x:v>male</x:v>
      </x:c>
      <x:c r="AF63" s="43" t="str">
        <x:v>35</x:v>
      </x:c>
      <x:c r="AG63" s="43" t="str">
        <x:v>5 weeks</x:v>
      </x:c>
      <x:c r="AH63" s="43" t="str">
        <x:v>none</x:v>
      </x:c>
      <x:c r="AI63" s="43" t="str"/>
      <x:c r="AJ63" s="43" t="str">
        <x:v>Anxiety</x:v>
      </x:c>
      <x:c r="AK63" s="43" t="str">
        <x:v>Elevated Plus Maze (EPM)</x:v>
      </x:c>
      <x:c r="AL63" s="43" t="str"/>
      <x:c r="AM63" s="43" t="str">
        <x:v>Entries to closed arms</x:v>
      </x:c>
      <x:c r="AN63" s="43" t="str">
        <x:v>Count</x:v>
      </x:c>
      <x:c r="AO63" s="43" t="str">
        <x:v>Count</x:v>
      </x:c>
      <x:c r="AP63" s="43" t="str">
        <x:v>Not reported</x:v>
      </x:c>
      <x:c r="AQ63" s="43" t="str">
        <x:v>Fig. 2c</x:v>
      </x:c>
      <x:c r="AR63" s="43" t="str">
        <x:v>nishio_2006_intjdevlneur_fig2c</x:v>
      </x:c>
      <x:c r="AS63" s="43" t="str">
        <x:v>pre_n_m_cae</x:v>
      </x:c>
      <x:c r="AT63" s="43" t="str">
        <x:v>pre_so_m_cae</x:v>
      </x:c>
      <x:c r="AU63" s="43" t="str">
        <x:v>pre_n_m_cae</x:v>
      </x:c>
      <x:c r="AV63" s="43" t="str">
        <x:v>Independent</x:v>
      </x:c>
      <x:c r="AW63" s="43" t="str">
        <x:v>Yes</x:v>
      </x:c>
      <x:c r="AX63" s="43" t="str">
        <x:v>Negative</x:v>
      </x:c>
      <x:c r="AY63" s="43" t="str"/>
      <x:c r="AZ63" s="43" t="str">
        <x:v>3.97</x:v>
      </x:c>
      <x:c r="BA63" s="43" t="str">
        <x:v>1.71</x:v>
      </x:c>
      <x:c r="BB63" s="43" t="str">
        <x:v>5</x:v>
      </x:c>
      <x:c r="BC63" s="43" t="str">
        <x:v>0.76</x:v>
      </x:c>
      <x:c r="BD63" s="43" t="str"/>
      <x:c r="BE63" s="43" t="str">
        <x:v>3.58</x:v>
      </x:c>
      <x:c r="BF63" s="43" t="str">
        <x:v>1.18</x:v>
      </x:c>
      <x:c r="BG63" s="43" t="str">
        <x:v>5</x:v>
      </x:c>
      <x:c r="BH63" s="43" t="str">
        <x:v>0.53</x:v>
      </x:c>
      <x:c r="BI63" s="43" t="str"/>
      <x:c r="BJ63" s="43" t="str"/>
      <x:c r="BK63" s="43" t="str"/>
      <x:c r="BL63" s="43" t="str"/>
      <x:c r="BM63" s="43" t="str"/>
      <x:c r="BN63" s="43" t="str"/>
      <x:c r="BO63" s="43" t="str"/>
      <x:c r="BP63" s="43" t="str"/>
      <x:c r="BQ63" s="43" t="str"/>
      <x:c r="BR63" s="43" t="str">
        <x:v>yes</x:v>
      </x:c>
      <x:c r="BS63" s="43" t="str"/>
      <x:c r="BT63" s="43" t="str"/>
      <x:c r="BU63" s="43" t="str"/>
      <x:c r="BV63" s="43" t="str">
        <x:v>0.76</x:v>
      </x:c>
      <x:c r="BW63" s="43" t="str">
        <x:v>0.76</x:v>
      </x:c>
      <x:c r="BX63" s="43" t="str">
        <x:v>Reported SEM; used unchanged for analysis</x:v>
      </x:c>
      <x:c r="BY63" s="43" t="str">
        <x:v>nishio_2006_intjdevlneur_fig2c; Fig. 2c</x:v>
      </x:c>
      <x:c r="BZ63" s="43" t="str">
        <x:v>0.53</x:v>
      </x:c>
      <x:c r="CA63" s="43" t="str">
        <x:v>0.53</x:v>
      </x:c>
      <x:c r="CB63" s="43" t="str">
        <x:v>Reported SEM; used unchanged for analysis</x:v>
      </x:c>
      <x:c r="CC63" s="43" t="str">
        <x:v>nishio_2006_intjdevlneur_fig2c; Fig. 2c</x:v>
      </x:c>
      <x:c r="CD63" s="43" t="str">
        <x:v>Verified – no change</x:v>
      </x:c>
      <x:c r="CE63" s="43" t="str"/>
      <x:c r="CF63" s="43" t="str"/>
    </x:row>
    <x:row r="64">
      <x:c r="A64" s="43" t="str">
        <x:v>64</x:v>
      </x:c>
      <x:c r="B64" s="43" t="str">
        <x:v>nishio_2006_intjdevlneur</x:v>
      </x:c>
      <x:c r="C64" s="43" t="str">
        <x:v>ex015</x:v>
      </x:c>
      <x:c r="D64" s="43" t="str">
        <x:v>con011</x:v>
      </x:c>
      <x:c r="E64" s="43" t="str">
        <x:v>out035</x:v>
      </x:c>
      <x:c r="F64" s="43" t="str">
        <x:v>es063</x:v>
      </x:c>
      <x:c r="G64" s="43" t="str">
        <x:v>Yes</x:v>
      </x:c>
      <x:c r="H64" s="43" t="str">
        <x:v>one female, one male and one control group per sex</x:v>
      </x:c>
      <x:c r="I64" s="43" t="str">
        <x:v>Effects of perinatal stress on the anxiety-related behavior of  the adolescence mouse</x:v>
      </x:c>
      <x:c r="J64" s="43" t="str">
        <x:v>10.1016/j.ijdevneu.2006.02.003</x:v>
      </x:c>
      <x:c r="K64" s="43" t="str">
        <x:v>International Journal of Developemental Neuroscience</x:v>
      </x:c>
      <x:c r="L64" s="43" t="str"/>
      <x:c r="M64" s="43" t="str">
        <x:v>Mus musculus</x:v>
      </x:c>
      <x:c r="N64" s="43" t="str">
        <x:v>albino house mouse</x:v>
      </x:c>
      <x:c r="O64" s="43" t="str">
        <x:v>ddY mice</x:v>
      </x:c>
      <x:c r="P64" s="43" t="str"/>
      <x:c r="Q64" s="43" t="str">
        <x:v>not reported</x:v>
      </x:c>
      <x:c r="R64" s="43" t="str">
        <x:v>mid, late</x:v>
      </x:c>
      <x:c r="S64" s="43" t="str">
        <x:v>day 10 to 18 </x:v>
      </x:c>
      <x:c r="T64" s="43" t="str">
        <x:v>9</x:v>
      </x:c>
      <x:c r="U64" s="43" t="str">
        <x:v>Intermitent</x:v>
      </x:c>
      <x:c r="V64" s="43" t="str">
        <x:v>0.25</x:v>
      </x:c>
      <x:c r="W64" s="43" t="str">
        <x:v>15 min</x:v>
      </x:c>
      <x:c r="X64" s="43" t="str">
        <x:v>Other/Unclear</x:v>
      </x:c>
      <x:c r="Y64" s="43" t="str">
        <x:v>Unclear</x:v>
      </x:c>
      <x:c r="Z64" s="43" t="str">
        <x:v>90</x:v>
      </x:c>
      <x:c r="AA64" s="43" t="str"/>
      <x:c r="AB64" s="43" t="str">
        <x:v>Unclear</x:v>
      </x:c>
      <x:c r="AC64" s="43" t="str"/>
      <x:c r="AD64" s="43" t="str">
        <x:v>No information</x:v>
      </x:c>
      <x:c r="AE64" s="43" t="str">
        <x:v>female</x:v>
      </x:c>
      <x:c r="AF64" s="43" t="str">
        <x:v>35</x:v>
      </x:c>
      <x:c r="AG64" s="43" t="str">
        <x:v>5 weeks</x:v>
      </x:c>
      <x:c r="AH64" s="43" t="str">
        <x:v>none</x:v>
      </x:c>
      <x:c r="AI64" s="43" t="str"/>
      <x:c r="AJ64" s="43" t="str">
        <x:v>Anxiety</x:v>
      </x:c>
      <x:c r="AK64" s="43" t="str">
        <x:v>Elevated Plus Maze (EPM)</x:v>
      </x:c>
      <x:c r="AL64" s="43" t="str"/>
      <x:c r="AM64" s="43" t="str">
        <x:v>Entries to closed arms</x:v>
      </x:c>
      <x:c r="AN64" s="43" t="str">
        <x:v>Count</x:v>
      </x:c>
      <x:c r="AO64" s="43" t="str">
        <x:v>Count</x:v>
      </x:c>
      <x:c r="AP64" s="43" t="str">
        <x:v>Not reported</x:v>
      </x:c>
      <x:c r="AQ64" s="43" t="str">
        <x:v>Fig. 2c</x:v>
      </x:c>
      <x:c r="AR64" s="43" t="str">
        <x:v>nishio_2006_intjdevlneur_fig2c</x:v>
      </x:c>
      <x:c r="AS64" s="43" t="str">
        <x:v>pre_n_f_cae</x:v>
      </x:c>
      <x:c r="AT64" s="43" t="str">
        <x:v>pre_so_f_cae</x:v>
      </x:c>
      <x:c r="AU64" s="43" t="str">
        <x:v>pre_n_f_cae</x:v>
      </x:c>
      <x:c r="AV64" s="43" t="str">
        <x:v>Independent</x:v>
      </x:c>
      <x:c r="AW64" s="43" t="str">
        <x:v>Yes</x:v>
      </x:c>
      <x:c r="AX64" s="43" t="str">
        <x:v>Negative</x:v>
      </x:c>
      <x:c r="AY64" s="43" t="str"/>
      <x:c r="AZ64" s="43" t="str">
        <x:v>6.68</x:v>
      </x:c>
      <x:c r="BA64" s="43" t="str">
        <x:v>2.41</x:v>
      </x:c>
      <x:c r="BB64" s="43" t="str">
        <x:v>5</x:v>
      </x:c>
      <x:c r="BC64" s="43" t="str">
        <x:v>1.08</x:v>
      </x:c>
      <x:c r="BD64" s="43" t="str"/>
      <x:c r="BE64" s="43" t="str">
        <x:v>4.55</x:v>
      </x:c>
      <x:c r="BF64" s="43" t="str">
        <x:v>1.15</x:v>
      </x:c>
      <x:c r="BG64" s="43" t="str">
        <x:v>5</x:v>
      </x:c>
      <x:c r="BH64" s="43" t="str">
        <x:v>0.51</x:v>
      </x:c>
      <x:c r="BI64" s="43" t="str"/>
      <x:c r="BJ64" s="43" t="str"/>
      <x:c r="BK64" s="43" t="str"/>
      <x:c r="BL64" s="43" t="str"/>
      <x:c r="BM64" s="43" t="str"/>
      <x:c r="BN64" s="43" t="str"/>
      <x:c r="BO64" s="43" t="str"/>
      <x:c r="BP64" s="43" t="str"/>
      <x:c r="BQ64" s="43" t="str"/>
      <x:c r="BR64" s="43" t="str">
        <x:v>yes</x:v>
      </x:c>
      <x:c r="BS64" s="43" t="str"/>
      <x:c r="BT64" s="43" t="str"/>
      <x:c r="BU64" s="43" t="str"/>
      <x:c r="BV64" s="43" t="str">
        <x:v>1.08</x:v>
      </x:c>
      <x:c r="BW64" s="43" t="str">
        <x:v>1.08</x:v>
      </x:c>
      <x:c r="BX64" s="43" t="str">
        <x:v>Reported SEM; used unchanged for analysis</x:v>
      </x:c>
      <x:c r="BY64" s="43" t="str">
        <x:v>nishio_2006_intjdevlneur_fig2c; Fig. 2c</x:v>
      </x:c>
      <x:c r="BZ64" s="43" t="str">
        <x:v>0.51</x:v>
      </x:c>
      <x:c r="CA64" s="43" t="str">
        <x:v>0.51</x:v>
      </x:c>
      <x:c r="CB64" s="43" t="str">
        <x:v>Reported SEM; used unchanged for analysis</x:v>
      </x:c>
      <x:c r="CC64" s="43" t="str">
        <x:v>nishio_2006_intjdevlneur_fig2c; Fig. 2c</x:v>
      </x:c>
      <x:c r="CD64" s="43" t="str">
        <x:v>Verified – no change</x:v>
      </x:c>
      <x:c r="CE64" s="43" t="str"/>
      <x:c r="CF64" s="43" t="str"/>
    </x:row>
    <x:row r="65">
      <x:c r="A65" s="43" t="str">
        <x:v>65</x:v>
      </x:c>
      <x:c r="B65" s="43" t="str">
        <x:v>uygur_2011_ankarauniv</x:v>
      </x:c>
      <x:c r="C65" s="43" t="str">
        <x:v>ex016</x:v>
      </x:c>
      <x:c r="D65" s="43" t="str">
        <x:v>con012</x:v>
      </x:c>
      <x:c r="E65" s="43" t="str">
        <x:v>out036</x:v>
      </x:c>
      <x:c r="F65" s="43" t="str">
        <x:v>es064</x:v>
      </x:c>
      <x:c r="G65" s="43" t="str">
        <x:v>Yes</x:v>
      </x:c>
      <x:c r="H65" s="43" t="str">
        <x:v>One treatmentent group and one control</x:v>
      </x:c>
      <x:c r="I65" s="43" t="str">
        <x:v>Investigation of the long term effects of chronic white noise stress on learning in radial arm maze and behaviors in forced swim test</x:v>
      </x:c>
      <x:c r="J65" s="43" t="str">
        <x:v>10.1501/Vetfak_0000002481</x:v>
      </x:c>
      <x:c r="K65" s="43" t="str">
        <x:v>Ankara Üniv Vet Fak Derg</x:v>
      </x:c>
      <x:c r="L65" s="43" t="str"/>
      <x:c r="M65" s="43" t="str">
        <x:v>Rattus norvegicus</x:v>
      </x:c>
      <x:c r="N65" s="43" t="str">
        <x:v>albino rat</x:v>
      </x:c>
      <x:c r="O65" s="43" t="str">
        <x:v>Sprague-Dawley</x:v>
      </x:c>
      <x:c r="P65" s="43" t="str"/>
      <x:c r="Q65" s="43" t="str">
        <x:v>205±3 g body weight</x:v>
      </x:c>
      <x:c r="R65" s="43" t="str">
        <x:v>mid, late</x:v>
      </x:c>
      <x:c r="S65" s="43" t="str">
        <x:v>day 14 to 21</x:v>
      </x:c>
      <x:c r="T65" s="43" t="str">
        <x:v>9</x:v>
      </x:c>
      <x:c r="U65" s="43" t="str">
        <x:v>Intermitent</x:v>
      </x:c>
      <x:c r="V65" s="43" t="str">
        <x:v>0.75</x:v>
      </x:c>
      <x:c r="W65" s="43" t="str">
        <x:v>45 min</x:v>
      </x:c>
      <x:c r="X65" s="43" t="str">
        <x:v>White noise</x:v>
      </x:c>
      <x:c r="Y65" s="43" t="str">
        <x:v>Audible</x:v>
      </x:c>
      <x:c r="Z65" s="43" t="str">
        <x:v>100</x:v>
      </x:c>
      <x:c r="AA65" s="43" t="str"/>
      <x:c r="AB65" s="43" t="str">
        <x:v>Unclear</x:v>
      </x:c>
      <x:c r="AC65" s="43" t="str"/>
      <x:c r="AD65" s="43" t="str">
        <x:v>PC group remained undisturbed</x:v>
      </x:c>
      <x:c r="AE65" s="43" t="str">
        <x:v>male</x:v>
      </x:c>
      <x:c r="AF65" s="43" t="str">
        <x:v>70</x:v>
      </x:c>
      <x:c r="AG65" s="43" t="str"/>
      <x:c r="AH65" s="43" t="str">
        <x:v>none</x:v>
      </x:c>
      <x:c r="AI65" s="43" t="str"/>
      <x:c r="AJ65" s="43" t="str">
        <x:v>Depression</x:v>
      </x:c>
      <x:c r="AK65" s="43" t="str">
        <x:v>Forced Swimming Test (FST)</x:v>
      </x:c>
      <x:c r="AL65" s="43" t="str">
        <x:v>Placed individually into cylinder, swam 15 min first day, 5 mins second day</x:v>
      </x:c>
      <x:c r="AM65" s="43" t="str">
        <x:v>Total immobility time</x:v>
      </x:c>
      <x:c r="AN65" s="43" t="str">
        <x:v>Time</x:v>
      </x:c>
      <x:c r="AO65" s="43" t="str">
        <x:v>s</x:v>
      </x:c>
      <x:c r="AP65" s="43" t="str">
        <x:v>Light phase</x:v>
      </x:c>
      <x:c r="AQ65" s="43" t="str">
        <x:v>In paper: Table 2.</x:v>
      </x:c>
      <x:c r="AR65" s="43" t="str">
        <x:v>uygur_2011_ankarauniv.pdf</x:v>
      </x:c>
      <x:c r="AS65" s="43" t="str">
        <x:v>CON_in</x:v>
      </x:c>
      <x:c r="AT65" s="43" t="str">
        <x:v>PSN_in</x:v>
      </x:c>
      <x:c r="AU65" s="43" t="str">
        <x:v>CON_PSN_in1</x:v>
      </x:c>
      <x:c r="AV65" s="43" t="str">
        <x:v>Independent</x:v>
      </x:c>
      <x:c r="AW65" s="43" t="str">
        <x:v>No</x:v>
      </x:c>
      <x:c r="AX65" s="43" t="str">
        <x:v>Positive</x:v>
      </x:c>
      <x:c r="AY65" s="43" t="str"/>
      <x:c r="AZ65" s="43" t="str">
        <x:v>45.87</x:v>
      </x:c>
      <x:c r="BA65" s="43" t="str"/>
      <x:c r="BB65" s="43" t="str">
        <x:v>9</x:v>
      </x:c>
      <x:c r="BC65" s="43" t="str">
        <x:v>8.29</x:v>
      </x:c>
      <x:c r="BD65" s="43" t="str"/>
      <x:c r="BE65" s="43" t="str">
        <x:v>26.79</x:v>
      </x:c>
      <x:c r="BF65" s="43" t="str"/>
      <x:c r="BG65" s="43" t="str">
        <x:v>10</x:v>
      </x:c>
      <x:c r="BH65" s="43" t="str">
        <x:v>7.86</x:v>
      </x:c>
      <x:c r="BI65" s="43" t="str"/>
      <x:c r="BJ65" s="43" t="str"/>
      <x:c r="BK65" s="43" t="str">
        <x:v>1st day</x:v>
      </x:c>
      <x:c r="BL65" s="43" t="str"/>
      <x:c r="BM65" s="43" t="str"/>
      <x:c r="BN65" s="43" t="str"/>
      <x:c r="BO65" s="43" t="str"/>
      <x:c r="BP65" s="43" t="str"/>
      <x:c r="BQ65" s="43" t="str"/>
      <x:c r="BR65" s="43" t="str">
        <x:v>yes</x:v>
      </x:c>
      <x:c r="BS65" s="43" t="str"/>
      <x:c r="BT65" s="43" t="str"/>
      <x:c r="BU65" s="43" t="str"/>
      <x:c r="BV65" s="43" t="str">
        <x:v>8.29</x:v>
      </x:c>
      <x:c r="BW65" s="43" t="str">
        <x:v>8.29</x:v>
      </x:c>
      <x:c r="BX65" s="43" t="str">
        <x:v>Reported SEM; used unchanged for analysis</x:v>
      </x:c>
      <x:c r="BY65" s="43" t="str">
        <x:v>uygur_2011_ankarauniv.pdf; In paper: Table 2.</x:v>
      </x:c>
      <x:c r="BZ65" s="43" t="str">
        <x:v>7.86</x:v>
      </x:c>
      <x:c r="CA65" s="43" t="str">
        <x:v>7.86</x:v>
      </x:c>
      <x:c r="CB65" s="43" t="str">
        <x:v>Reported SEM; used unchanged for analysis</x:v>
      </x:c>
      <x:c r="CC65" s="43" t="str">
        <x:v>uygur_2011_ankarauniv.pdf; In paper: Table 2.</x:v>
      </x:c>
      <x:c r="CD65" s="43" t="str">
        <x:v>Verified – no change</x:v>
      </x:c>
      <x:c r="CE65" s="43" t="str"/>
      <x:c r="CF65" s="43" t="str"/>
    </x:row>
    <x:row r="66">
      <x:c r="A66" s="43" t="str">
        <x:v>66</x:v>
      </x:c>
      <x:c r="B66" s="43" t="str">
        <x:v>uygur_2011_ankarauniv</x:v>
      </x:c>
      <x:c r="C66" s="43" t="str">
        <x:v>ex016</x:v>
      </x:c>
      <x:c r="D66" s="43" t="str">
        <x:v>con012</x:v>
      </x:c>
      <x:c r="E66" s="43" t="str">
        <x:v>out036</x:v>
      </x:c>
      <x:c r="F66" s="43" t="str">
        <x:v>es065</x:v>
      </x:c>
      <x:c r="G66" s="43" t="str">
        <x:v>Yes</x:v>
      </x:c>
      <x:c r="H66" s="43" t="str">
        <x:v>One treatmentent group and one control</x:v>
      </x:c>
      <x:c r="I66" s="43" t="str">
        <x:v>Investigation of the long term effects of chronic white noise stress on learning in radial arm maze and behaviors in forced swim test</x:v>
      </x:c>
      <x:c r="J66" s="43" t="str">
        <x:v>10.1501/Vetfak_0000002481</x:v>
      </x:c>
      <x:c r="K66" s="43" t="str">
        <x:v>Ankara Üniv Vet Fak Derg</x:v>
      </x:c>
      <x:c r="L66" s="43" t="str"/>
      <x:c r="M66" s="43" t="str">
        <x:v>Rattus norvegicus</x:v>
      </x:c>
      <x:c r="N66" s="43" t="str">
        <x:v>albino rat</x:v>
      </x:c>
      <x:c r="O66" s="43" t="str">
        <x:v>Sprague-Dawley</x:v>
      </x:c>
      <x:c r="P66" s="43" t="str"/>
      <x:c r="Q66" s="43" t="str">
        <x:v>205±3 g body weight</x:v>
      </x:c>
      <x:c r="R66" s="43" t="str">
        <x:v>mid, late</x:v>
      </x:c>
      <x:c r="S66" s="43" t="str">
        <x:v>day 14 to 21</x:v>
      </x:c>
      <x:c r="T66" s="43" t="str">
        <x:v>9</x:v>
      </x:c>
      <x:c r="U66" s="43" t="str">
        <x:v>Intermitent</x:v>
      </x:c>
      <x:c r="V66" s="43" t="str">
        <x:v>0.75</x:v>
      </x:c>
      <x:c r="W66" s="43" t="str">
        <x:v>45 min</x:v>
      </x:c>
      <x:c r="X66" s="43" t="str">
        <x:v>White noise</x:v>
      </x:c>
      <x:c r="Y66" s="43" t="str">
        <x:v>Audible</x:v>
      </x:c>
      <x:c r="Z66" s="43" t="str">
        <x:v>100</x:v>
      </x:c>
      <x:c r="AA66" s="43" t="str"/>
      <x:c r="AB66" s="43" t="str">
        <x:v>Unclear</x:v>
      </x:c>
      <x:c r="AC66" s="43" t="str"/>
      <x:c r="AD66" s="43" t="str">
        <x:v>PC group remained undisturbed</x:v>
      </x:c>
      <x:c r="AE66" s="43" t="str">
        <x:v>male</x:v>
      </x:c>
      <x:c r="AF66" s="43" t="str">
        <x:v>70</x:v>
      </x:c>
      <x:c r="AG66" s="43" t="str"/>
      <x:c r="AH66" s="43" t="str">
        <x:v>none</x:v>
      </x:c>
      <x:c r="AI66" s="43" t="str"/>
      <x:c r="AJ66" s="43" t="str">
        <x:v>Depression</x:v>
      </x:c>
      <x:c r="AK66" s="43" t="str">
        <x:v>Forced Swimming Test (FST)</x:v>
      </x:c>
      <x:c r="AL66" s="43" t="str">
        <x:v>Placed individually into cylinder, swam 15 min first day, 5 mins second day</x:v>
      </x:c>
      <x:c r="AM66" s="43" t="str">
        <x:v>Total immobility time</x:v>
      </x:c>
      <x:c r="AN66" s="43" t="str">
        <x:v>Time</x:v>
      </x:c>
      <x:c r="AO66" s="43" t="str">
        <x:v>s</x:v>
      </x:c>
      <x:c r="AP66" s="43" t="str">
        <x:v>Light phase</x:v>
      </x:c>
      <x:c r="AQ66" s="43" t="str">
        <x:v>In paper: Table 2.</x:v>
      </x:c>
      <x:c r="AR66" s="43" t="str">
        <x:v>uygur_2011_ankarauniv.pdf</x:v>
      </x:c>
      <x:c r="AS66" s="43" t="str">
        <x:v>CON_in</x:v>
      </x:c>
      <x:c r="AT66" s="43" t="str">
        <x:v>PSN_in</x:v>
      </x:c>
      <x:c r="AU66" s="43" t="str">
        <x:v>CON_PSN_in2</x:v>
      </x:c>
      <x:c r="AV66" s="43" t="str">
        <x:v>Independent</x:v>
      </x:c>
      <x:c r="AW66" s="43" t="str">
        <x:v>No</x:v>
      </x:c>
      <x:c r="AX66" s="43" t="str">
        <x:v>Positive</x:v>
      </x:c>
      <x:c r="AY66" s="43" t="str"/>
      <x:c r="AZ66" s="43" t="str">
        <x:v>79.05</x:v>
      </x:c>
      <x:c r="BA66" s="43" t="str"/>
      <x:c r="BB66" s="43" t="str">
        <x:v>9</x:v>
      </x:c>
      <x:c r="BC66" s="43" t="str">
        <x:v>13.52</x:v>
      </x:c>
      <x:c r="BD66" s="43" t="str"/>
      <x:c r="BE66" s="43" t="str">
        <x:v>48.87</x:v>
      </x:c>
      <x:c r="BF66" s="43" t="str"/>
      <x:c r="BG66" s="43" t="str">
        <x:v>10</x:v>
      </x:c>
      <x:c r="BH66" s="43" t="str">
        <x:v>12.83</x:v>
      </x:c>
      <x:c r="BI66" s="43" t="str"/>
      <x:c r="BJ66" s="43" t="str"/>
      <x:c r="BK66" s="43" t="str">
        <x:v>2nd day</x:v>
      </x:c>
      <x:c r="BL66" s="43" t="str"/>
      <x:c r="BM66" s="43" t="str"/>
      <x:c r="BN66" s="43" t="str"/>
      <x:c r="BO66" s="43" t="str"/>
      <x:c r="BP66" s="43" t="str"/>
      <x:c r="BQ66" s="43" t="str"/>
      <x:c r="BR66" s="43" t="str">
        <x:v>yes</x:v>
      </x:c>
      <x:c r="BS66" s="43" t="str"/>
      <x:c r="BT66" s="43" t="str"/>
      <x:c r="BU66" s="43" t="str"/>
      <x:c r="BV66" s="43" t="str">
        <x:v>13.52</x:v>
      </x:c>
      <x:c r="BW66" s="43" t="str">
        <x:v>13.52</x:v>
      </x:c>
      <x:c r="BX66" s="43" t="str">
        <x:v>Reported SEM; used unchanged for analysis</x:v>
      </x:c>
      <x:c r="BY66" s="43" t="str">
        <x:v>uygur_2011_ankarauniv.pdf; In paper: Table 2.</x:v>
      </x:c>
      <x:c r="BZ66" s="43" t="str">
        <x:v>12.83</x:v>
      </x:c>
      <x:c r="CA66" s="43" t="str">
        <x:v>12.83</x:v>
      </x:c>
      <x:c r="CB66" s="43" t="str">
        <x:v>Reported SEM; used unchanged for analysis</x:v>
      </x:c>
      <x:c r="CC66" s="43" t="str">
        <x:v>uygur_2011_ankarauniv.pdf; In paper: Table 2.</x:v>
      </x:c>
      <x:c r="CD66" s="43" t="str">
        <x:v>Verified – no change</x:v>
      </x:c>
      <x:c r="CE66" s="43" t="str"/>
      <x:c r="CF66" s="43" t="str"/>
    </x:row>
    <x:row r="67">
      <x:c r="A67" s="43" t="str">
        <x:v>67</x:v>
      </x:c>
      <x:c r="B67" s="43" t="str">
        <x:v>uygur_2011_ankarauniv</x:v>
      </x:c>
      <x:c r="C67" s="43" t="str">
        <x:v>ex016</x:v>
      </x:c>
      <x:c r="D67" s="43" t="str">
        <x:v>con012</x:v>
      </x:c>
      <x:c r="E67" s="43" t="str">
        <x:v>out037</x:v>
      </x:c>
      <x:c r="F67" s="43" t="str">
        <x:v>es066</x:v>
      </x:c>
      <x:c r="G67" s="43" t="str">
        <x:v>Yes</x:v>
      </x:c>
      <x:c r="H67" s="43" t="str">
        <x:v>One treatmentent group and one control</x:v>
      </x:c>
      <x:c r="I67" s="43" t="str">
        <x:v>Investigation of the long term effects of chronic white noise stress on learning in radial arm maze and behaviors in forced swim test</x:v>
      </x:c>
      <x:c r="J67" s="43" t="str">
        <x:v>10.1501/Vetfak_0000002481</x:v>
      </x:c>
      <x:c r="K67" s="43" t="str">
        <x:v>Ankara Üniv Vet Fak Derg</x:v>
      </x:c>
      <x:c r="L67" s="43" t="str"/>
      <x:c r="M67" s="43" t="str">
        <x:v>Rattus norvegicus</x:v>
      </x:c>
      <x:c r="N67" s="43" t="str">
        <x:v>albino rat</x:v>
      </x:c>
      <x:c r="O67" s="43" t="str">
        <x:v>Sprague-Dawley</x:v>
      </x:c>
      <x:c r="P67" s="43" t="str"/>
      <x:c r="Q67" s="43" t="str">
        <x:v>205±3 g body weight</x:v>
      </x:c>
      <x:c r="R67" s="43" t="str">
        <x:v>mid, late</x:v>
      </x:c>
      <x:c r="S67" s="43" t="str">
        <x:v>day 14 to 21</x:v>
      </x:c>
      <x:c r="T67" s="43" t="str">
        <x:v>9</x:v>
      </x:c>
      <x:c r="U67" s="43" t="str">
        <x:v>Intermitent</x:v>
      </x:c>
      <x:c r="V67" s="43" t="str">
        <x:v>0.75</x:v>
      </x:c>
      <x:c r="W67" s="43" t="str">
        <x:v>45 min</x:v>
      </x:c>
      <x:c r="X67" s="43" t="str">
        <x:v>White noise</x:v>
      </x:c>
      <x:c r="Y67" s="43" t="str">
        <x:v>Audible</x:v>
      </x:c>
      <x:c r="Z67" s="43" t="str">
        <x:v>100</x:v>
      </x:c>
      <x:c r="AA67" s="43" t="str"/>
      <x:c r="AB67" s="43" t="str">
        <x:v>Unclear</x:v>
      </x:c>
      <x:c r="AC67" s="43" t="str"/>
      <x:c r="AD67" s="43" t="str">
        <x:v>PC group remained undisturbed</x:v>
      </x:c>
      <x:c r="AE67" s="43" t="str">
        <x:v>male</x:v>
      </x:c>
      <x:c r="AF67" s="43" t="str">
        <x:v>70</x:v>
      </x:c>
      <x:c r="AG67" s="43" t="str"/>
      <x:c r="AH67" s="43" t="str">
        <x:v>none</x:v>
      </x:c>
      <x:c r="AI67" s="43" t="str"/>
      <x:c r="AJ67" s="43" t="str">
        <x:v>Depression</x:v>
      </x:c>
      <x:c r="AK67" s="43" t="str">
        <x:v>Forced Swimming Test (FST)</x:v>
      </x:c>
      <x:c r="AL67" s="43" t="str">
        <x:v>Placed individually into cylinder, swam 15 min first day, 5 mins second day</x:v>
      </x:c>
      <x:c r="AM67" s="43" t="str">
        <x:v>Total swimming time</x:v>
      </x:c>
      <x:c r="AN67" s="43" t="str">
        <x:v>Time</x:v>
      </x:c>
      <x:c r="AO67" s="43" t="str">
        <x:v>s</x:v>
      </x:c>
      <x:c r="AP67" s="43" t="str">
        <x:v>Light phase</x:v>
      </x:c>
      <x:c r="AQ67" s="43" t="str">
        <x:v>In paper: Table 2.</x:v>
      </x:c>
      <x:c r="AR67" s="43" t="str">
        <x:v>uygur_2011_ankarauniv.pdf</x:v>
      </x:c>
      <x:c r="AS67" s="43" t="str">
        <x:v>CON_sw</x:v>
      </x:c>
      <x:c r="AT67" s="43" t="str">
        <x:v>PSN_sw</x:v>
      </x:c>
      <x:c r="AU67" s="43" t="str">
        <x:v>CON_PSN_sw1</x:v>
      </x:c>
      <x:c r="AV67" s="43" t="str">
        <x:v>Independent</x:v>
      </x:c>
      <x:c r="AW67" s="43" t="str">
        <x:v>Yes</x:v>
      </x:c>
      <x:c r="AX67" s="43" t="str">
        <x:v>Negative</x:v>
      </x:c>
      <x:c r="AY67" s="43" t="str"/>
      <x:c r="AZ67" s="43" t="str">
        <x:v>20.09</x:v>
      </x:c>
      <x:c r="BA67" s="43" t="str"/>
      <x:c r="BB67" s="43" t="str">
        <x:v>9</x:v>
      </x:c>
      <x:c r="BC67" s="43" t="str">
        <x:v>6.28</x:v>
      </x:c>
      <x:c r="BD67" s="43" t="str"/>
      <x:c r="BE67" s="43" t="str">
        <x:v>39.08</x:v>
      </x:c>
      <x:c r="BF67" s="43" t="str"/>
      <x:c r="BG67" s="43" t="str">
        <x:v>10</x:v>
      </x:c>
      <x:c r="BH67" s="43" t="str">
        <x:v>5.96</x:v>
      </x:c>
      <x:c r="BI67" s="43" t="str"/>
      <x:c r="BJ67" s="43" t="str"/>
      <x:c r="BK67" s="43" t="str">
        <x:v>1st day</x:v>
      </x:c>
      <x:c r="BL67" s="43" t="str"/>
      <x:c r="BM67" s="43" t="str"/>
      <x:c r="BN67" s="43" t="str"/>
      <x:c r="BO67" s="43" t="str"/>
      <x:c r="BP67" s="43" t="str"/>
      <x:c r="BQ67" s="43" t="str"/>
      <x:c r="BR67" s="43" t="str">
        <x:v>yes</x:v>
      </x:c>
      <x:c r="BS67" s="43" t="str"/>
      <x:c r="BT67" s="43" t="str"/>
      <x:c r="BU67" s="43" t="str"/>
      <x:c r="BV67" s="43" t="str">
        <x:v>6.28</x:v>
      </x:c>
      <x:c r="BW67" s="43" t="str">
        <x:v>6.28</x:v>
      </x:c>
      <x:c r="BX67" s="43" t="str">
        <x:v>Reported SEM; used unchanged for analysis</x:v>
      </x:c>
      <x:c r="BY67" s="43" t="str">
        <x:v>uygur_2011_ankarauniv.pdf; In paper: Table 2.</x:v>
      </x:c>
      <x:c r="BZ67" s="43" t="str">
        <x:v>5.96</x:v>
      </x:c>
      <x:c r="CA67" s="43" t="str">
        <x:v>5.96</x:v>
      </x:c>
      <x:c r="CB67" s="43" t="str">
        <x:v>Reported SEM; used unchanged for analysis</x:v>
      </x:c>
      <x:c r="CC67" s="43" t="str">
        <x:v>uygur_2011_ankarauniv.pdf; In paper: Table 2.</x:v>
      </x:c>
      <x:c r="CD67" s="43" t="str">
        <x:v>Verified – no change</x:v>
      </x:c>
      <x:c r="CE67" s="43" t="str"/>
      <x:c r="CF67" s="43" t="str"/>
    </x:row>
    <x:row r="68">
      <x:c r="A68" s="43" t="str">
        <x:v>68</x:v>
      </x:c>
      <x:c r="B68" s="43" t="str">
        <x:v>uygur_2011_ankarauniv</x:v>
      </x:c>
      <x:c r="C68" s="43" t="str">
        <x:v>ex016</x:v>
      </x:c>
      <x:c r="D68" s="43" t="str">
        <x:v>con012</x:v>
      </x:c>
      <x:c r="E68" s="43" t="str">
        <x:v>out037</x:v>
      </x:c>
      <x:c r="F68" s="43" t="str">
        <x:v>es067</x:v>
      </x:c>
      <x:c r="G68" s="43" t="str">
        <x:v>Yes</x:v>
      </x:c>
      <x:c r="H68" s="43" t="str">
        <x:v>One treatmentent group and one control</x:v>
      </x:c>
      <x:c r="I68" s="43" t="str">
        <x:v>Investigation of the long term effects of chronic white noise stress on learning in radial arm maze and behaviors in forced swim test</x:v>
      </x:c>
      <x:c r="J68" s="43" t="str">
        <x:v>10.1501/Vetfak_0000002481</x:v>
      </x:c>
      <x:c r="K68" s="43" t="str">
        <x:v>Ankara Üniv Vet Fak Derg</x:v>
      </x:c>
      <x:c r="L68" s="43" t="str"/>
      <x:c r="M68" s="43" t="str">
        <x:v>Rattus norvegicus</x:v>
      </x:c>
      <x:c r="N68" s="43" t="str">
        <x:v>albino rat</x:v>
      </x:c>
      <x:c r="O68" s="43" t="str">
        <x:v>Sprague-Dawley</x:v>
      </x:c>
      <x:c r="P68" s="43" t="str"/>
      <x:c r="Q68" s="43" t="str">
        <x:v>205±3 g body weight</x:v>
      </x:c>
      <x:c r="R68" s="43" t="str">
        <x:v>mid, late</x:v>
      </x:c>
      <x:c r="S68" s="43" t="str">
        <x:v>day 14 to 21</x:v>
      </x:c>
      <x:c r="T68" s="43" t="str">
        <x:v>9</x:v>
      </x:c>
      <x:c r="U68" s="43" t="str">
        <x:v>Intermitent</x:v>
      </x:c>
      <x:c r="V68" s="43" t="str">
        <x:v>0.75</x:v>
      </x:c>
      <x:c r="W68" s="43" t="str">
        <x:v>45 min</x:v>
      </x:c>
      <x:c r="X68" s="43" t="str">
        <x:v>White noise</x:v>
      </x:c>
      <x:c r="Y68" s="43" t="str">
        <x:v>Audible</x:v>
      </x:c>
      <x:c r="Z68" s="43" t="str">
        <x:v>100</x:v>
      </x:c>
      <x:c r="AA68" s="43" t="str"/>
      <x:c r="AB68" s="43" t="str">
        <x:v>Unclear</x:v>
      </x:c>
      <x:c r="AC68" s="43" t="str"/>
      <x:c r="AD68" s="43" t="str">
        <x:v>PC group remained undisturbed</x:v>
      </x:c>
      <x:c r="AE68" s="43" t="str">
        <x:v>male</x:v>
      </x:c>
      <x:c r="AF68" s="43" t="str">
        <x:v>70</x:v>
      </x:c>
      <x:c r="AG68" s="43" t="str"/>
      <x:c r="AH68" s="43" t="str">
        <x:v>none</x:v>
      </x:c>
      <x:c r="AI68" s="43" t="str"/>
      <x:c r="AJ68" s="43" t="str">
        <x:v>Depression</x:v>
      </x:c>
      <x:c r="AK68" s="43" t="str">
        <x:v>Forced Swimming Test (FST)</x:v>
      </x:c>
      <x:c r="AL68" s="43" t="str">
        <x:v>Placed individually into cylinder, swam 15 min first day, 5 mins second day</x:v>
      </x:c>
      <x:c r="AM68" s="43" t="str">
        <x:v>Total swimming time</x:v>
      </x:c>
      <x:c r="AN68" s="43" t="str">
        <x:v>Time</x:v>
      </x:c>
      <x:c r="AO68" s="43" t="str">
        <x:v>s</x:v>
      </x:c>
      <x:c r="AP68" s="43" t="str">
        <x:v>Light phase</x:v>
      </x:c>
      <x:c r="AQ68" s="43" t="str">
        <x:v>In paper: Table 2.</x:v>
      </x:c>
      <x:c r="AR68" s="43" t="str">
        <x:v>uygur_2011_ankarauniv.pdf</x:v>
      </x:c>
      <x:c r="AS68" s="43" t="str">
        <x:v>CON_sw</x:v>
      </x:c>
      <x:c r="AT68" s="43" t="str">
        <x:v>PSN_sw</x:v>
      </x:c>
      <x:c r="AU68" s="43" t="str">
        <x:v>CON_PSN_sw2</x:v>
      </x:c>
      <x:c r="AV68" s="43" t="str">
        <x:v>Independent</x:v>
      </x:c>
      <x:c r="AW68" s="43" t="str">
        <x:v>Yes</x:v>
      </x:c>
      <x:c r="AX68" s="43" t="str">
        <x:v>Negative</x:v>
      </x:c>
      <x:c r="AY68" s="43" t="str"/>
      <x:c r="AZ68" s="43" t="str">
        <x:v>31.89</x:v>
      </x:c>
      <x:c r="BA68" s="43" t="str"/>
      <x:c r="BB68" s="43" t="str">
        <x:v>9</x:v>
      </x:c>
      <x:c r="BC68" s="43" t="str">
        <x:v>13.15</x:v>
      </x:c>
      <x:c r="BD68" s="43" t="str"/>
      <x:c r="BE68" s="43" t="str">
        <x:v>33.44</x:v>
      </x:c>
      <x:c r="BF68" s="43" t="str"/>
      <x:c r="BG68" s="43" t="str">
        <x:v>10</x:v>
      </x:c>
      <x:c r="BH68" s="43" t="str">
        <x:v>12.48</x:v>
      </x:c>
      <x:c r="BI68" s="43" t="str"/>
      <x:c r="BJ68" s="43" t="str"/>
      <x:c r="BK68" s="43" t="str">
        <x:v>2nd day</x:v>
      </x:c>
      <x:c r="BL68" s="43" t="str"/>
      <x:c r="BM68" s="43" t="str"/>
      <x:c r="BN68" s="43" t="str"/>
      <x:c r="BO68" s="43" t="str"/>
      <x:c r="BP68" s="43" t="str"/>
      <x:c r="BQ68" s="43" t="str"/>
      <x:c r="BR68" s="43" t="str">
        <x:v>yes</x:v>
      </x:c>
      <x:c r="BS68" s="43" t="str"/>
      <x:c r="BT68" s="43" t="str"/>
      <x:c r="BU68" s="43" t="str"/>
      <x:c r="BV68" s="43" t="str">
        <x:v>13.15</x:v>
      </x:c>
      <x:c r="BW68" s="43" t="str">
        <x:v>13.15</x:v>
      </x:c>
      <x:c r="BX68" s="43" t="str">
        <x:v>Reported SEM; used unchanged for analysis</x:v>
      </x:c>
      <x:c r="BY68" s="43" t="str">
        <x:v>uygur_2011_ankarauniv.pdf; In paper: Table 2.</x:v>
      </x:c>
      <x:c r="BZ68" s="43" t="str">
        <x:v>12.48</x:v>
      </x:c>
      <x:c r="CA68" s="43" t="str">
        <x:v>12.48</x:v>
      </x:c>
      <x:c r="CB68" s="43" t="str">
        <x:v>Reported SEM; used unchanged for analysis</x:v>
      </x:c>
      <x:c r="CC68" s="43" t="str">
        <x:v>uygur_2011_ankarauniv.pdf; In paper: Table 2.</x:v>
      </x:c>
      <x:c r="CD68" s="43" t="str">
        <x:v>Verified – no change</x:v>
      </x:c>
      <x:c r="CE68" s="43" t="str"/>
      <x:c r="CF68" s="43" t="str"/>
    </x:row>
    <x:row r="69">
      <x:c r="A69" s="43" t="str">
        <x:v>69</x:v>
      </x:c>
      <x:c r="B69" s="43" t="str">
        <x:v>uygur_2011_ankarauniv</x:v>
      </x:c>
      <x:c r="C69" s="43" t="str">
        <x:v>ex016</x:v>
      </x:c>
      <x:c r="D69" s="43" t="str">
        <x:v>con012</x:v>
      </x:c>
      <x:c r="E69" s="43" t="str">
        <x:v>out038</x:v>
      </x:c>
      <x:c r="F69" s="43" t="str">
        <x:v>es068</x:v>
      </x:c>
      <x:c r="G69" s="43" t="str">
        <x:v>Yes</x:v>
      </x:c>
      <x:c r="H69" s="43" t="str">
        <x:v>One treatmentent group and one control</x:v>
      </x:c>
      <x:c r="I69" s="43" t="str">
        <x:v>Investigation of the long term effects of chronic white noise stress on learning in radial arm maze and behaviors in forced swim test</x:v>
      </x:c>
      <x:c r="J69" s="43" t="str">
        <x:v>10.1501/Vetfak_0000002481</x:v>
      </x:c>
      <x:c r="K69" s="43" t="str">
        <x:v>Ankara Üniv Vet Fak Derg</x:v>
      </x:c>
      <x:c r="L69" s="43" t="str"/>
      <x:c r="M69" s="43" t="str">
        <x:v>Rattus norvegicus</x:v>
      </x:c>
      <x:c r="N69" s="43" t="str">
        <x:v>albino rat</x:v>
      </x:c>
      <x:c r="O69" s="43" t="str">
        <x:v>Sprague-Dawley</x:v>
      </x:c>
      <x:c r="P69" s="43" t="str"/>
      <x:c r="Q69" s="43" t="str">
        <x:v>205±3 g body weight</x:v>
      </x:c>
      <x:c r="R69" s="43" t="str">
        <x:v>mid, late</x:v>
      </x:c>
      <x:c r="S69" s="43" t="str">
        <x:v>day 14 to 21</x:v>
      </x:c>
      <x:c r="T69" s="43" t="str">
        <x:v>9</x:v>
      </x:c>
      <x:c r="U69" s="43" t="str">
        <x:v>Intermitent</x:v>
      </x:c>
      <x:c r="V69" s="43" t="str">
        <x:v>0.75</x:v>
      </x:c>
      <x:c r="W69" s="43" t="str">
        <x:v>45 min</x:v>
      </x:c>
      <x:c r="X69" s="43" t="str">
        <x:v>White noise</x:v>
      </x:c>
      <x:c r="Y69" s="43" t="str">
        <x:v>Audible</x:v>
      </x:c>
      <x:c r="Z69" s="43" t="str">
        <x:v>100</x:v>
      </x:c>
      <x:c r="AA69" s="43" t="str"/>
      <x:c r="AB69" s="43" t="str">
        <x:v>Unclear</x:v>
      </x:c>
      <x:c r="AC69" s="43" t="str"/>
      <x:c r="AD69" s="43" t="str">
        <x:v>PC group remained undisturbed</x:v>
      </x:c>
      <x:c r="AE69" s="43" t="str">
        <x:v>male</x:v>
      </x:c>
      <x:c r="AF69" s="43" t="str">
        <x:v>70</x:v>
      </x:c>
      <x:c r="AG69" s="43" t="str"/>
      <x:c r="AH69" s="43" t="str">
        <x:v>none</x:v>
      </x:c>
      <x:c r="AI69" s="43" t="str"/>
      <x:c r="AJ69" s="43" t="str">
        <x:v>Depression</x:v>
      </x:c>
      <x:c r="AK69" s="43" t="str">
        <x:v>Forced Swimming Test (FST)</x:v>
      </x:c>
      <x:c r="AL69" s="43" t="str">
        <x:v>Placed individually into cylinder, swam 15 min first day, 5 mins second day</x:v>
      </x:c>
      <x:c r="AM69" s="43" t="str">
        <x:v>Total diving time</x:v>
      </x:c>
      <x:c r="AN69" s="43" t="str">
        <x:v>Time</x:v>
      </x:c>
      <x:c r="AO69" s="43" t="str">
        <x:v>s</x:v>
      </x:c>
      <x:c r="AP69" s="43" t="str">
        <x:v>Light phase</x:v>
      </x:c>
      <x:c r="AQ69" s="43" t="str">
        <x:v>In paper: Table 2.</x:v>
      </x:c>
      <x:c r="AR69" s="43" t="str">
        <x:v>uygur_2011_ankarauniv.pdf</x:v>
      </x:c>
      <x:c r="AS69" s="43" t="str">
        <x:v>CON_di</x:v>
      </x:c>
      <x:c r="AT69" s="43" t="str">
        <x:v>PSN_di</x:v>
      </x:c>
      <x:c r="AU69" s="43" t="str">
        <x:v>CON_PSN_di1</x:v>
      </x:c>
      <x:c r="AV69" s="43" t="str">
        <x:v>Independent</x:v>
      </x:c>
      <x:c r="AW69" s="43" t="str">
        <x:v>Yes</x:v>
      </x:c>
      <x:c r="AX69" s="43" t="str">
        <x:v>Negative</x:v>
      </x:c>
      <x:c r="AY69" s="43" t="str"/>
      <x:c r="AZ69" s="43" t="str">
        <x:v>5.44</x:v>
      </x:c>
      <x:c r="BA69" s="43" t="str"/>
      <x:c r="BB69" s="43" t="str">
        <x:v>9</x:v>
      </x:c>
      <x:c r="BC69" s="43" t="str">
        <x:v>1.49</x:v>
      </x:c>
      <x:c r="BD69" s="43" t="str"/>
      <x:c r="BE69" s="43" t="str">
        <x:v>6.2</x:v>
      </x:c>
      <x:c r="BF69" s="43" t="str"/>
      <x:c r="BG69" s="43" t="str">
        <x:v>10</x:v>
      </x:c>
      <x:c r="BH69" s="43" t="str">
        <x:v>1.42</x:v>
      </x:c>
      <x:c r="BI69" s="43" t="str"/>
      <x:c r="BJ69" s="43" t="str"/>
      <x:c r="BK69" s="43" t="str">
        <x:v>1st day</x:v>
      </x:c>
      <x:c r="BL69" s="43" t="str"/>
      <x:c r="BM69" s="43" t="str"/>
      <x:c r="BN69" s="43" t="str"/>
      <x:c r="BO69" s="43" t="str"/>
      <x:c r="BP69" s="43" t="str"/>
      <x:c r="BQ69" s="43" t="str"/>
      <x:c r="BR69" s="43" t="str">
        <x:v>yes</x:v>
      </x:c>
      <x:c r="BS69" s="43" t="str"/>
      <x:c r="BT69" s="43" t="str"/>
      <x:c r="BU69" s="43" t="str"/>
      <x:c r="BV69" s="43" t="str">
        <x:v>1.49</x:v>
      </x:c>
      <x:c r="BW69" s="43" t="str">
        <x:v>1.49</x:v>
      </x:c>
      <x:c r="BX69" s="43" t="str">
        <x:v>Reported SEM; used unchanged for analysis</x:v>
      </x:c>
      <x:c r="BY69" s="43" t="str">
        <x:v>uygur_2011_ankarauniv.pdf; In paper: Table 2.</x:v>
      </x:c>
      <x:c r="BZ69" s="43" t="str">
        <x:v>1.42</x:v>
      </x:c>
      <x:c r="CA69" s="43" t="str">
        <x:v>1.42</x:v>
      </x:c>
      <x:c r="CB69" s="43" t="str">
        <x:v>Reported SEM; used unchanged for analysis</x:v>
      </x:c>
      <x:c r="CC69" s="43" t="str">
        <x:v>uygur_2011_ankarauniv.pdf; In paper: Table 2.</x:v>
      </x:c>
      <x:c r="CD69" s="43" t="str">
        <x:v>Corrected transcription</x:v>
      </x:c>
      <x:c r="CE69" s="43" t="str">
        <x:v>1 – Uygur 2011 outcome units</x:v>
      </x:c>
      <x:c r="CF69" s="43" t="str">
        <x:v>The paper reports total time spent in diving or jumping, not event counts. | The outcome is a duration in seconds.</x:v>
      </x:c>
    </x:row>
    <x:row r="70">
      <x:c r="A70" s="43" t="str">
        <x:v>70</x:v>
      </x:c>
      <x:c r="B70" s="43" t="str">
        <x:v>uygur_2011_ankarauniv</x:v>
      </x:c>
      <x:c r="C70" s="43" t="str">
        <x:v>ex016</x:v>
      </x:c>
      <x:c r="D70" s="43" t="str">
        <x:v>con012</x:v>
      </x:c>
      <x:c r="E70" s="43" t="str">
        <x:v>out038</x:v>
      </x:c>
      <x:c r="F70" s="43" t="str">
        <x:v>es069</x:v>
      </x:c>
      <x:c r="G70" s="43" t="str">
        <x:v>Yes</x:v>
      </x:c>
      <x:c r="H70" s="43" t="str">
        <x:v>One treatmentent group and one control</x:v>
      </x:c>
      <x:c r="I70" s="43" t="str">
        <x:v>Investigation of the long term effects of chronic white noise stress on learning in radial arm maze and behaviors in forced swim test</x:v>
      </x:c>
      <x:c r="J70" s="43" t="str">
        <x:v>10.1501/Vetfak_0000002481</x:v>
      </x:c>
      <x:c r="K70" s="43" t="str">
        <x:v>Ankara Üniv Vet Fak Derg</x:v>
      </x:c>
      <x:c r="L70" s="43" t="str"/>
      <x:c r="M70" s="43" t="str">
        <x:v>Rattus norvegicus</x:v>
      </x:c>
      <x:c r="N70" s="43" t="str">
        <x:v>albino rat</x:v>
      </x:c>
      <x:c r="O70" s="43" t="str">
        <x:v>Sprague-Dawley</x:v>
      </x:c>
      <x:c r="P70" s="43" t="str"/>
      <x:c r="Q70" s="43" t="str">
        <x:v>205±3 g body weight</x:v>
      </x:c>
      <x:c r="R70" s="43" t="str">
        <x:v>mid, late</x:v>
      </x:c>
      <x:c r="S70" s="43" t="str">
        <x:v>day 14 to 21</x:v>
      </x:c>
      <x:c r="T70" s="43" t="str">
        <x:v>9</x:v>
      </x:c>
      <x:c r="U70" s="43" t="str">
        <x:v>Intermitent</x:v>
      </x:c>
      <x:c r="V70" s="43" t="str">
        <x:v>0.75</x:v>
      </x:c>
      <x:c r="W70" s="43" t="str">
        <x:v>45 min</x:v>
      </x:c>
      <x:c r="X70" s="43" t="str">
        <x:v>White noise</x:v>
      </x:c>
      <x:c r="Y70" s="43" t="str">
        <x:v>Audible</x:v>
      </x:c>
      <x:c r="Z70" s="43" t="str">
        <x:v>100</x:v>
      </x:c>
      <x:c r="AA70" s="43" t="str"/>
      <x:c r="AB70" s="43" t="str">
        <x:v>Unclear</x:v>
      </x:c>
      <x:c r="AC70" s="43" t="str"/>
      <x:c r="AD70" s="43" t="str">
        <x:v>PC group remained undisturbed</x:v>
      </x:c>
      <x:c r="AE70" s="43" t="str">
        <x:v>male</x:v>
      </x:c>
      <x:c r="AF70" s="43" t="str">
        <x:v>70</x:v>
      </x:c>
      <x:c r="AG70" s="43" t="str"/>
      <x:c r="AH70" s="43" t="str">
        <x:v>none</x:v>
      </x:c>
      <x:c r="AI70" s="43" t="str"/>
      <x:c r="AJ70" s="43" t="str">
        <x:v>Depression</x:v>
      </x:c>
      <x:c r="AK70" s="43" t="str">
        <x:v>Forced Swimming Test (FST)</x:v>
      </x:c>
      <x:c r="AL70" s="43" t="str">
        <x:v>Placed individually into cylinder, swam 15 min first day, 5 mins second day</x:v>
      </x:c>
      <x:c r="AM70" s="43" t="str">
        <x:v>Total diving time</x:v>
      </x:c>
      <x:c r="AN70" s="43" t="str">
        <x:v>Time</x:v>
      </x:c>
      <x:c r="AO70" s="43" t="str">
        <x:v>s</x:v>
      </x:c>
      <x:c r="AP70" s="43" t="str">
        <x:v>Light phase</x:v>
      </x:c>
      <x:c r="AQ70" s="43" t="str">
        <x:v>In paper: Table 2.</x:v>
      </x:c>
      <x:c r="AR70" s="43" t="str">
        <x:v>uygur_2011_ankarauniv.pdf</x:v>
      </x:c>
      <x:c r="AS70" s="43" t="str">
        <x:v>CON_di</x:v>
      </x:c>
      <x:c r="AT70" s="43" t="str">
        <x:v>PSN_di</x:v>
      </x:c>
      <x:c r="AU70" s="43" t="str">
        <x:v>CON_PSN_di2</x:v>
      </x:c>
      <x:c r="AV70" s="43" t="str">
        <x:v>Independent</x:v>
      </x:c>
      <x:c r="AW70" s="43" t="str">
        <x:v>Yes</x:v>
      </x:c>
      <x:c r="AX70" s="43" t="str">
        <x:v>Negative</x:v>
      </x:c>
      <x:c r="AY70" s="43" t="str"/>
      <x:c r="AZ70" s="43" t="str">
        <x:v>2.56</x:v>
      </x:c>
      <x:c r="BA70" s="43" t="str"/>
      <x:c r="BB70" s="43" t="str">
        <x:v>9</x:v>
      </x:c>
      <x:c r="BC70" s="43" t="str">
        <x:v>0.95</x:v>
      </x:c>
      <x:c r="BD70" s="43" t="str"/>
      <x:c r="BE70" s="43" t="str">
        <x:v>1.7</x:v>
      </x:c>
      <x:c r="BF70" s="43" t="str"/>
      <x:c r="BG70" s="43" t="str">
        <x:v>10</x:v>
      </x:c>
      <x:c r="BH70" s="43" t="str">
        <x:v>0.9</x:v>
      </x:c>
      <x:c r="BI70" s="43" t="str"/>
      <x:c r="BJ70" s="43" t="str"/>
      <x:c r="BK70" s="43" t="str">
        <x:v>2nd day</x:v>
      </x:c>
      <x:c r="BL70" s="43" t="str"/>
      <x:c r="BM70" s="43" t="str"/>
      <x:c r="BN70" s="43" t="str"/>
      <x:c r="BO70" s="43" t="str"/>
      <x:c r="BP70" s="43" t="str"/>
      <x:c r="BQ70" s="43" t="str"/>
      <x:c r="BR70" s="43" t="str">
        <x:v>yes</x:v>
      </x:c>
      <x:c r="BS70" s="43" t="str"/>
      <x:c r="BT70" s="43" t="str"/>
      <x:c r="BU70" s="43" t="str"/>
      <x:c r="BV70" s="43" t="str">
        <x:v>0.95</x:v>
      </x:c>
      <x:c r="BW70" s="43" t="str">
        <x:v>0.95</x:v>
      </x:c>
      <x:c r="BX70" s="43" t="str">
        <x:v>Reported SEM; used unchanged for analysis</x:v>
      </x:c>
      <x:c r="BY70" s="43" t="str">
        <x:v>uygur_2011_ankarauniv.pdf; In paper: Table 2.</x:v>
      </x:c>
      <x:c r="BZ70" s="43" t="str">
        <x:v>0.9</x:v>
      </x:c>
      <x:c r="CA70" s="43" t="str">
        <x:v>0.9</x:v>
      </x:c>
      <x:c r="CB70" s="43" t="str">
        <x:v>Reported SEM; used unchanged for analysis</x:v>
      </x:c>
      <x:c r="CC70" s="43" t="str">
        <x:v>uygur_2011_ankarauniv.pdf; In paper: Table 2.</x:v>
      </x:c>
      <x:c r="CD70" s="43" t="str">
        <x:v>Corrected transcription</x:v>
      </x:c>
      <x:c r="CE70" s="43" t="str">
        <x:v>1 – Uygur 2011 outcome units</x:v>
      </x:c>
      <x:c r="CF70" s="43" t="str">
        <x:v>The paper reports total time spent in diving or jumping, not event counts. | The outcome is a duration in seconds.</x:v>
      </x:c>
    </x:row>
    <x:row r="71">
      <x:c r="A71" s="43" t="str">
        <x:v>71</x:v>
      </x:c>
      <x:c r="B71" s="43" t="str">
        <x:v>uygur_2011_ankarauniv</x:v>
      </x:c>
      <x:c r="C71" s="43" t="str">
        <x:v>ex016</x:v>
      </x:c>
      <x:c r="D71" s="43" t="str">
        <x:v>con012</x:v>
      </x:c>
      <x:c r="E71" s="43" t="str">
        <x:v>out039</x:v>
      </x:c>
      <x:c r="F71" s="43" t="str">
        <x:v>es070</x:v>
      </x:c>
      <x:c r="G71" s="43" t="str">
        <x:v>Yes</x:v>
      </x:c>
      <x:c r="H71" s="43" t="str">
        <x:v>One treatmentent group and one control</x:v>
      </x:c>
      <x:c r="I71" s="43" t="str">
        <x:v>Investigation of the long term effects of chronic white noise stress on learning in radial arm maze and behaviors in forced swim test</x:v>
      </x:c>
      <x:c r="J71" s="43" t="str">
        <x:v>10.1501/Vetfak_0000002481</x:v>
      </x:c>
      <x:c r="K71" s="43" t="str">
        <x:v>Ankara Üniv Vet Fak Derg</x:v>
      </x:c>
      <x:c r="L71" s="43" t="str"/>
      <x:c r="M71" s="43" t="str">
        <x:v>Rattus norvegicus</x:v>
      </x:c>
      <x:c r="N71" s="43" t="str">
        <x:v>albino rat</x:v>
      </x:c>
      <x:c r="O71" s="43" t="str">
        <x:v>Sprague-Dawley</x:v>
      </x:c>
      <x:c r="P71" s="43" t="str"/>
      <x:c r="Q71" s="43" t="str">
        <x:v>205±3 g body weight</x:v>
      </x:c>
      <x:c r="R71" s="43" t="str">
        <x:v>mid, late</x:v>
      </x:c>
      <x:c r="S71" s="43" t="str">
        <x:v>day 14 to 21</x:v>
      </x:c>
      <x:c r="T71" s="43" t="str">
        <x:v>9</x:v>
      </x:c>
      <x:c r="U71" s="43" t="str">
        <x:v>Intermitent</x:v>
      </x:c>
      <x:c r="V71" s="43" t="str">
        <x:v>0.75</x:v>
      </x:c>
      <x:c r="W71" s="43" t="str">
        <x:v>45 min</x:v>
      </x:c>
      <x:c r="X71" s="43" t="str">
        <x:v>White noise</x:v>
      </x:c>
      <x:c r="Y71" s="43" t="str">
        <x:v>Audible</x:v>
      </x:c>
      <x:c r="Z71" s="43" t="str">
        <x:v>100</x:v>
      </x:c>
      <x:c r="AA71" s="43" t="str"/>
      <x:c r="AB71" s="43" t="str">
        <x:v>Unclear</x:v>
      </x:c>
      <x:c r="AC71" s="43" t="str"/>
      <x:c r="AD71" s="43" t="str">
        <x:v>PC group remained undisturbed</x:v>
      </x:c>
      <x:c r="AE71" s="43" t="str">
        <x:v>male</x:v>
      </x:c>
      <x:c r="AF71" s="43" t="str">
        <x:v>70</x:v>
      </x:c>
      <x:c r="AG71" s="43" t="str"/>
      <x:c r="AH71" s="43" t="str">
        <x:v>none</x:v>
      </x:c>
      <x:c r="AI71" s="43" t="str"/>
      <x:c r="AJ71" s="43" t="str">
        <x:v>Depression</x:v>
      </x:c>
      <x:c r="AK71" s="43" t="str">
        <x:v>Forced Swimming Test (FST)</x:v>
      </x:c>
      <x:c r="AL71" s="43" t="str">
        <x:v>Placed individually into cylinder, swam 15 min first day, 5 mins second day</x:v>
      </x:c>
      <x:c r="AM71" s="43" t="str">
        <x:v>Total jumping time</x:v>
      </x:c>
      <x:c r="AN71" s="43" t="str">
        <x:v>Time</x:v>
      </x:c>
      <x:c r="AO71" s="43" t="str">
        <x:v>s</x:v>
      </x:c>
      <x:c r="AP71" s="43" t="str">
        <x:v>Light phase</x:v>
      </x:c>
      <x:c r="AQ71" s="43" t="str">
        <x:v>In paper: Table 2.</x:v>
      </x:c>
      <x:c r="AR71" s="43" t="str">
        <x:v>uygur_2011_ankarauniv.pdf</x:v>
      </x:c>
      <x:c r="AS71" s="43" t="str">
        <x:v>CON_ju</x:v>
      </x:c>
      <x:c r="AT71" s="43" t="str">
        <x:v>PSN_ju</x:v>
      </x:c>
      <x:c r="AU71" s="43" t="str">
        <x:v>CON_PSN_ju1</x:v>
      </x:c>
      <x:c r="AV71" s="43" t="str">
        <x:v>Independent</x:v>
      </x:c>
      <x:c r="AW71" s="43" t="str">
        <x:v>Yes</x:v>
      </x:c>
      <x:c r="AX71" s="43" t="str">
        <x:v>Negative</x:v>
      </x:c>
      <x:c r="AY71" s="43" t="str"/>
      <x:c r="AZ71" s="43" t="str">
        <x:v>26.78</x:v>
      </x:c>
      <x:c r="BA71" s="43" t="str"/>
      <x:c r="BB71" s="43" t="str">
        <x:v>9</x:v>
      </x:c>
      <x:c r="BC71" s="43" t="str">
        <x:v>4.89</x:v>
      </x:c>
      <x:c r="BD71" s="43" t="str"/>
      <x:c r="BE71" s="43" t="str">
        <x:v>23.0</x:v>
      </x:c>
      <x:c r="BF71" s="43" t="str"/>
      <x:c r="BG71" s="43" t="str">
        <x:v>10</x:v>
      </x:c>
      <x:c r="BH71" s="43" t="str">
        <x:v>4.64</x:v>
      </x:c>
      <x:c r="BI71" s="43" t="str"/>
      <x:c r="BJ71" s="43" t="str"/>
      <x:c r="BK71" s="43" t="str">
        <x:v>1st day</x:v>
      </x:c>
      <x:c r="BL71" s="43" t="str"/>
      <x:c r="BM71" s="43" t="str"/>
      <x:c r="BN71" s="43" t="str"/>
      <x:c r="BO71" s="43" t="str"/>
      <x:c r="BP71" s="43" t="str"/>
      <x:c r="BQ71" s="43" t="str"/>
      <x:c r="BR71" s="43" t="str">
        <x:v>yes</x:v>
      </x:c>
      <x:c r="BS71" s="43" t="str"/>
      <x:c r="BT71" s="43" t="str"/>
      <x:c r="BU71" s="43" t="str"/>
      <x:c r="BV71" s="43" t="str">
        <x:v>4.89</x:v>
      </x:c>
      <x:c r="BW71" s="43" t="str">
        <x:v>4.89</x:v>
      </x:c>
      <x:c r="BX71" s="43" t="str">
        <x:v>Reported SEM; used unchanged for analysis</x:v>
      </x:c>
      <x:c r="BY71" s="43" t="str">
        <x:v>uygur_2011_ankarauniv.pdf; In paper: Table 2.</x:v>
      </x:c>
      <x:c r="BZ71" s="43" t="str">
        <x:v>4.64</x:v>
      </x:c>
      <x:c r="CA71" s="43" t="str">
        <x:v>4.64</x:v>
      </x:c>
      <x:c r="CB71" s="43" t="str">
        <x:v>Reported SEM; used unchanged for analysis</x:v>
      </x:c>
      <x:c r="CC71" s="43" t="str">
        <x:v>uygur_2011_ankarauniv.pdf; In paper: Table 2.</x:v>
      </x:c>
      <x:c r="CD71" s="43" t="str">
        <x:v>Corrected transcription</x:v>
      </x:c>
      <x:c r="CE71" s="43" t="str">
        <x:v>1 – Uygur 2011 outcome units</x:v>
      </x:c>
      <x:c r="CF71" s="43" t="str">
        <x:v>The paper reports total time spent in diving or jumping, not event counts. | The outcome is a duration in seconds.</x:v>
      </x:c>
    </x:row>
    <x:row r="72">
      <x:c r="A72" s="43" t="str">
        <x:v>72</x:v>
      </x:c>
      <x:c r="B72" s="43" t="str">
        <x:v>uygur_2011_ankarauniv</x:v>
      </x:c>
      <x:c r="C72" s="43" t="str">
        <x:v>ex016</x:v>
      </x:c>
      <x:c r="D72" s="43" t="str">
        <x:v>con012</x:v>
      </x:c>
      <x:c r="E72" s="43" t="str">
        <x:v>out039</x:v>
      </x:c>
      <x:c r="F72" s="43" t="str">
        <x:v>es071</x:v>
      </x:c>
      <x:c r="G72" s="43" t="str">
        <x:v>Yes</x:v>
      </x:c>
      <x:c r="H72" s="43" t="str">
        <x:v>One treatmentent group and one control</x:v>
      </x:c>
      <x:c r="I72" s="43" t="str">
        <x:v>Investigation of the long term effects of chronic white noise stress on learning in radial arm maze and behaviors in forced swim test</x:v>
      </x:c>
      <x:c r="J72" s="43" t="str">
        <x:v>10.1501/Vetfak_0000002481</x:v>
      </x:c>
      <x:c r="K72" s="43" t="str">
        <x:v>Ankara Üniv Vet Fak Derg</x:v>
      </x:c>
      <x:c r="L72" s="43" t="str"/>
      <x:c r="M72" s="43" t="str">
        <x:v>Rattus norvegicus</x:v>
      </x:c>
      <x:c r="N72" s="43" t="str">
        <x:v>albino rat</x:v>
      </x:c>
      <x:c r="O72" s="43" t="str">
        <x:v>Sprague-Dawley</x:v>
      </x:c>
      <x:c r="P72" s="43" t="str"/>
      <x:c r="Q72" s="43" t="str">
        <x:v>205±3 g body weight</x:v>
      </x:c>
      <x:c r="R72" s="43" t="str">
        <x:v>mid, late</x:v>
      </x:c>
      <x:c r="S72" s="43" t="str">
        <x:v>day 14 to 21</x:v>
      </x:c>
      <x:c r="T72" s="43" t="str">
        <x:v>9</x:v>
      </x:c>
      <x:c r="U72" s="43" t="str">
        <x:v>Intermitent</x:v>
      </x:c>
      <x:c r="V72" s="43" t="str">
        <x:v>0.75</x:v>
      </x:c>
      <x:c r="W72" s="43" t="str">
        <x:v>45 min</x:v>
      </x:c>
      <x:c r="X72" s="43" t="str">
        <x:v>White noise</x:v>
      </x:c>
      <x:c r="Y72" s="43" t="str">
        <x:v>Audible</x:v>
      </x:c>
      <x:c r="Z72" s="43" t="str">
        <x:v>100</x:v>
      </x:c>
      <x:c r="AA72" s="43" t="str"/>
      <x:c r="AB72" s="43" t="str">
        <x:v>Unclear</x:v>
      </x:c>
      <x:c r="AC72" s="43" t="str"/>
      <x:c r="AD72" s="43" t="str">
        <x:v>PC group remained undisturbed</x:v>
      </x:c>
      <x:c r="AE72" s="43" t="str">
        <x:v>male</x:v>
      </x:c>
      <x:c r="AF72" s="43" t="str">
        <x:v>70</x:v>
      </x:c>
      <x:c r="AG72" s="43" t="str"/>
      <x:c r="AH72" s="43" t="str">
        <x:v>none</x:v>
      </x:c>
      <x:c r="AI72" s="43" t="str"/>
      <x:c r="AJ72" s="43" t="str">
        <x:v>Depression</x:v>
      </x:c>
      <x:c r="AK72" s="43" t="str">
        <x:v>Forced Swimming Test (FST)</x:v>
      </x:c>
      <x:c r="AL72" s="43" t="str">
        <x:v>Placed individually into cylinder, swam 15 min first day, 5 mins second day</x:v>
      </x:c>
      <x:c r="AM72" s="43" t="str">
        <x:v>Total jumping time</x:v>
      </x:c>
      <x:c r="AN72" s="43" t="str">
        <x:v>Time</x:v>
      </x:c>
      <x:c r="AO72" s="43" t="str">
        <x:v>s</x:v>
      </x:c>
      <x:c r="AP72" s="43" t="str">
        <x:v>Light phase</x:v>
      </x:c>
      <x:c r="AQ72" s="43" t="str">
        <x:v>In paper: Table 2.</x:v>
      </x:c>
      <x:c r="AR72" s="43" t="str">
        <x:v>uygur_2011_ankarauniv.pdf</x:v>
      </x:c>
      <x:c r="AS72" s="43" t="str">
        <x:v>CON_ju</x:v>
      </x:c>
      <x:c r="AT72" s="43" t="str">
        <x:v>PSN_ju</x:v>
      </x:c>
      <x:c r="AU72" s="43" t="str">
        <x:v>CON_PSN_ju2</x:v>
      </x:c>
      <x:c r="AV72" s="43" t="str">
        <x:v>Independent</x:v>
      </x:c>
      <x:c r="AW72" s="43" t="str">
        <x:v>Yes</x:v>
      </x:c>
      <x:c r="AX72" s="43" t="str">
        <x:v>Negative</x:v>
      </x:c>
      <x:c r="AY72" s="43" t="str"/>
      <x:c r="AZ72" s="43" t="str">
        <x:v>16.0</x:v>
      </x:c>
      <x:c r="BA72" s="43" t="str"/>
      <x:c r="BB72" s="43" t="str">
        <x:v>9</x:v>
      </x:c>
      <x:c r="BC72" s="43" t="str">
        <x:v>3.93</x:v>
      </x:c>
      <x:c r="BD72" s="43" t="str"/>
      <x:c r="BE72" s="43" t="str">
        <x:v>18.4</x:v>
      </x:c>
      <x:c r="BF72" s="43" t="str"/>
      <x:c r="BG72" s="43" t="str">
        <x:v>10</x:v>
      </x:c>
      <x:c r="BH72" s="43" t="str">
        <x:v>3.73</x:v>
      </x:c>
      <x:c r="BI72" s="43" t="str"/>
      <x:c r="BJ72" s="43" t="str"/>
      <x:c r="BK72" s="43" t="str">
        <x:v>2nd day</x:v>
      </x:c>
      <x:c r="BL72" s="43" t="str"/>
      <x:c r="BM72" s="43" t="str"/>
      <x:c r="BN72" s="43" t="str"/>
      <x:c r="BO72" s="43" t="str"/>
      <x:c r="BP72" s="43" t="str"/>
      <x:c r="BQ72" s="43" t="str"/>
      <x:c r="BR72" s="43" t="str">
        <x:v>yes</x:v>
      </x:c>
      <x:c r="BS72" s="43" t="str"/>
      <x:c r="BT72" s="43" t="str"/>
      <x:c r="BU72" s="43" t="str"/>
      <x:c r="BV72" s="43" t="str">
        <x:v>3.93</x:v>
      </x:c>
      <x:c r="BW72" s="43" t="str">
        <x:v>3.93</x:v>
      </x:c>
      <x:c r="BX72" s="43" t="str">
        <x:v>Reported SEM; used unchanged for analysis</x:v>
      </x:c>
      <x:c r="BY72" s="43" t="str">
        <x:v>uygur_2011_ankarauniv.pdf; In paper: Table 2.</x:v>
      </x:c>
      <x:c r="BZ72" s="43" t="str">
        <x:v>3.73</x:v>
      </x:c>
      <x:c r="CA72" s="43" t="str">
        <x:v>3.73</x:v>
      </x:c>
      <x:c r="CB72" s="43" t="str">
        <x:v>Reported SEM; used unchanged for analysis</x:v>
      </x:c>
      <x:c r="CC72" s="43" t="str">
        <x:v>uygur_2011_ankarauniv.pdf; In paper: Table 2.</x:v>
      </x:c>
      <x:c r="CD72" s="43" t="str">
        <x:v>Corrected transcription</x:v>
      </x:c>
      <x:c r="CE72" s="43" t="str">
        <x:v>1 – Uygur 2011 outcome units</x:v>
      </x:c>
      <x:c r="CF72" s="43" t="str">
        <x:v>The paper reports total time spent in diving or jumping, not event counts. | The outcome is a duration in seconds.</x:v>
      </x:c>
    </x:row>
    <x:row r="73">
      <x:c r="A73" s="43" t="str">
        <x:v>73</x:v>
      </x:c>
      <x:c r="B73" s="43" t="str">
        <x:v>morra_1965_physiolrec</x:v>
      </x:c>
      <x:c r="C73" s="43" t="str">
        <x:v>ex017</x:v>
      </x:c>
      <x:c r="D73" s="43" t="str">
        <x:v>con013</x:v>
      </x:c>
      <x:c r="E73" s="43" t="str">
        <x:v>out040</x:v>
      </x:c>
      <x:c r="F73" s="43" t="str">
        <x:v>es072</x:v>
      </x:c>
      <x:c r="G73" s="43" t="str">
        <x:v>Yes</x:v>
      </x:c>
      <x:c r="H73" s="43" t="str">
        <x:v>One control and one treatment </x:v>
      </x:c>
      <x:c r="I73" s="43" t="str">
        <x:v>PRENATAL SOUND STIMULATION ON POSTNATAL RAT OFFSPRING OPEN FIELD BEHAVIORS</x:v>
      </x:c>
      <x:c r="J73" s="43" t="str">
        <x:v>10.1007/BF03393632</x:v>
      </x:c>
      <x:c r="K73" s="43" t="str">
        <x:v>The psychological Record</x:v>
      </x:c>
      <x:c r="L73" s="43" t="str"/>
      <x:c r="M73" s="43" t="str">
        <x:v>Rattus norvegicus</x:v>
      </x:c>
      <x:c r="N73" s="43" t="str">
        <x:v>albino rat</x:v>
      </x:c>
      <x:c r="O73" s="43" t="str">
        <x:v>Wistar rat</x:v>
      </x:c>
      <x:c r="P73" s="43" t="str">
        <x:v>18</x:v>
      </x:c>
      <x:c r="Q73" s="43" t="str">
        <x:v>120-140 days </x:v>
      </x:c>
      <x:c r="R73" s="43" t="str">
        <x:v>mid, late</x:v>
      </x:c>
      <x:c r="S73" s="43" t="str">
        <x:v>day 12-20</x:v>
      </x:c>
      <x:c r="T73" s="43" t="str">
        <x:v>9</x:v>
      </x:c>
      <x:c r="U73" s="43" t="str">
        <x:v>Intermitent</x:v>
      </x:c>
      <x:c r="V73" s="43" t="str">
        <x:v>0.005</x:v>
      </x:c>
      <x:c r="W73" s="43" t="str">
        <x:v>There was a noise of 3.25 sec. duration produced bya door buzzer. for eight consecutive days. Each animal received three trials, twice daily, with an interblock interval of approximately one hour.</x:v>
      </x:c>
      <x:c r="X73" s="43" t="str">
        <x:v>Door bell</x:v>
      </x:c>
      <x:c r="Y73" s="43" t="str">
        <x:v>Audible</x:v>
      </x:c>
      <x:c r="Z73" s="43" t="str">
        <x:v>85</x:v>
      </x:c>
      <x:c r="AA73" s="43" t="str"/>
      <x:c r="AB73" s="43" t="str">
        <x:v>Unclear</x:v>
      </x:c>
      <x:c r="AC73" s="43" t="str"/>
      <x:c r="AD73" s="43" t="str">
        <x:v>Same manipulation with no door bell, but they don't mention anything about noise conditions</x:v>
      </x:c>
      <x:c r="AE73" s="43" t="str">
        <x:v>mixed</x:v>
      </x:c>
      <x:c r="AF73" s="43" t="str">
        <x:v>25</x:v>
      </x:c>
      <x:c r="AG73" s="43" t="str"/>
      <x:c r="AH73" s="43" t="str">
        <x:v>none</x:v>
      </x:c>
      <x:c r="AI73" s="43" t="str"/>
      <x:c r="AJ73" s="43" t="str">
        <x:v>Axiety</x:v>
      </x:c>
      <x:c r="AK73" s="43" t="str">
        <x:v>Open Field Test (OFT)</x:v>
      </x:c>
      <x:c r="AL73" s="43" t="str"/>
      <x:c r="AM73" s="43" t="str">
        <x:v>Sections crossed</x:v>
      </x:c>
      <x:c r="AN73" s="43" t="str">
        <x:v>Count</x:v>
      </x:c>
      <x:c r="AO73" s="43" t="str">
        <x:v>Count</x:v>
      </x:c>
      <x:c r="AP73" s="43" t="str">
        <x:v>Not reported</x:v>
      </x:c>
      <x:c r="AQ73" s="43" t="str">
        <x:v>Table 2 and text</x:v>
      </x:c>
      <x:c r="AR73" s="43" t="str"/>
      <x:c r="AS73" s="43" t="str">
        <x:v>GIII_csq</x:v>
      </x:c>
      <x:c r="AT73" s="43" t="str">
        <x:v>GII_csq</x:v>
      </x:c>
      <x:c r="AU73" s="43" t="str">
        <x:v>GIII_GII_csq</x:v>
      </x:c>
      <x:c r="AV73" s="43" t="str">
        <x:v>Independent</x:v>
      </x:c>
      <x:c r="AW73" s="43" t="str">
        <x:v>Yes</x:v>
      </x:c>
      <x:c r="AX73" s="43" t="str">
        <x:v>Negative</x:v>
      </x:c>
      <x:c r="AY73" s="43" t="str"/>
      <x:c r="AZ73" s="43" t="str">
        <x:v>19.5</x:v>
      </x:c>
      <x:c r="BA73" s="43" t="str">
        <x:v>8.4</x:v>
      </x:c>
      <x:c r="BB73" s="43" t="str">
        <x:v>63</x:v>
      </x:c>
      <x:c r="BC73" s="43" t="str"/>
      <x:c r="BD73" s="43" t="str"/>
      <x:c r="BE73" s="43" t="str">
        <x:v>14.2</x:v>
      </x:c>
      <x:c r="BF73" s="43" t="str">
        <x:v>8.3</x:v>
      </x:c>
      <x:c r="BG73" s="43" t="str">
        <x:v>35</x:v>
      </x:c>
      <x:c r="BH73" s="43" t="str"/>
      <x:c r="BI73" s="43" t="str"/>
      <x:c r="BJ73" s="43" t="str"/>
      <x:c r="BK73" s="43" t="str">
        <x:v>No SE or CI</x:v>
      </x:c>
      <x:c r="BL73" s="43" t="str"/>
      <x:c r="BM73" s="43" t="str"/>
      <x:c r="BN73" s="43" t="str"/>
      <x:c r="BO73" s="43" t="str"/>
      <x:c r="BP73" s="43" t="str"/>
      <x:c r="BQ73" s="43" t="str"/>
      <x:c r="BR73" s="43" t="str">
        <x:v>yes</x:v>
      </x:c>
      <x:c r="BS73" s="43" t="str"/>
      <x:c r="BT73" s="43" t="str"/>
      <x:c r="BU73" s="43" t="str"/>
      <x:c r="BV73" s="43" t="str"/>
      <x:c r="BW73" s="43" t="str">
        <x:v>1.058301</x:v>
      </x:c>
      <x:c r="BX73" s="43" t="str">
        <x:v>SD / sqrt(n); derived for analysis from the extracted SD and sample size</x:v>
      </x:c>
      <x:c r="BY73" s="43" t="str">
        <x:v>Table 2 and text</x:v>
      </x:c>
      <x:c r="BZ73" s="43" t="str"/>
      <x:c r="CA73" s="43" t="str">
        <x:v>1.402956</x:v>
      </x:c>
      <x:c r="CB73" s="43" t="str">
        <x:v>SD / sqrt(n); derived for analysis from the extracted SD and sample size</x:v>
      </x:c>
      <x:c r="CC73" s="43" t="str">
        <x:v>Table 2 and text</x:v>
      </x:c>
      <x:c r="CD73" s="43" t="str">
        <x:v>Verified – no change</x:v>
      </x:c>
      <x:c r="CE73" s="43" t="str"/>
      <x:c r="CF73" s="43" t="str"/>
    </x:row>
    <x:row r="74">
      <x:c r="A74" s="43" t="str">
        <x:v>74</x:v>
      </x:c>
      <x:c r="B74" s="43" t="str">
        <x:v>morra_1965_physiolrec</x:v>
      </x:c>
      <x:c r="C74" s="43" t="str">
        <x:v>ex017</x:v>
      </x:c>
      <x:c r="D74" s="43" t="str">
        <x:v>con013</x:v>
      </x:c>
      <x:c r="E74" s="43" t="str">
        <x:v>out041</x:v>
      </x:c>
      <x:c r="F74" s="43" t="str">
        <x:v>es073</x:v>
      </x:c>
      <x:c r="G74" s="43" t="str">
        <x:v>Yes</x:v>
      </x:c>
      <x:c r="H74" s="43" t="str">
        <x:v>One control and one treatment </x:v>
      </x:c>
      <x:c r="I74" s="43" t="str">
        <x:v>PRENATAL SOUND STIMULATION ON POSTNATAL RAT OFFSPRING OPEN FIELD BEHAVIORS</x:v>
      </x:c>
      <x:c r="J74" s="43" t="str">
        <x:v>10.1007/BF03393632</x:v>
      </x:c>
      <x:c r="K74" s="43" t="str">
        <x:v>The psychological Record</x:v>
      </x:c>
      <x:c r="L74" s="43" t="str"/>
      <x:c r="M74" s="43" t="str">
        <x:v>Rattus norvegicus</x:v>
      </x:c>
      <x:c r="N74" s="43" t="str">
        <x:v>albino rat</x:v>
      </x:c>
      <x:c r="O74" s="43" t="str">
        <x:v>Wistar rat</x:v>
      </x:c>
      <x:c r="P74" s="43" t="str">
        <x:v>18</x:v>
      </x:c>
      <x:c r="Q74" s="43" t="str">
        <x:v>120-140 days </x:v>
      </x:c>
      <x:c r="R74" s="43" t="str">
        <x:v>mid, late</x:v>
      </x:c>
      <x:c r="S74" s="43" t="str">
        <x:v>day 12-20</x:v>
      </x:c>
      <x:c r="T74" s="43" t="str">
        <x:v>9</x:v>
      </x:c>
      <x:c r="U74" s="43" t="str">
        <x:v>Intermitent</x:v>
      </x:c>
      <x:c r="V74" s="43" t="str">
        <x:v>0.005</x:v>
      </x:c>
      <x:c r="W74" s="43" t="str">
        <x:v>There was a noise of 3.25 sec. duration produced bya door buzzer. for eight consecutive days. Each animal received three trials, twice daily, with an interblock interval of approximately one hour.</x:v>
      </x:c>
      <x:c r="X74" s="43" t="str">
        <x:v>Door bell</x:v>
      </x:c>
      <x:c r="Y74" s="43" t="str">
        <x:v>Audible</x:v>
      </x:c>
      <x:c r="Z74" s="43" t="str">
        <x:v>85</x:v>
      </x:c>
      <x:c r="AA74" s="43" t="str"/>
      <x:c r="AB74" s="43" t="str">
        <x:v>Unclear</x:v>
      </x:c>
      <x:c r="AC74" s="43" t="str"/>
      <x:c r="AD74" s="43" t="str">
        <x:v>Same manipulation with no door bell, but they don't mention anything about noise conditions</x:v>
      </x:c>
      <x:c r="AE74" s="43" t="str">
        <x:v>mixed</x:v>
      </x:c>
      <x:c r="AF74" s="43" t="str">
        <x:v>25</x:v>
      </x:c>
      <x:c r="AG74" s="43" t="str"/>
      <x:c r="AH74" s="43" t="str">
        <x:v>none</x:v>
      </x:c>
      <x:c r="AI74" s="43" t="str"/>
      <x:c r="AJ74" s="43" t="str">
        <x:v>Axiety</x:v>
      </x:c>
      <x:c r="AK74" s="43" t="str">
        <x:v>Open Field Test (OFT)</x:v>
      </x:c>
      <x:c r="AL74" s="43" t="str"/>
      <x:c r="AM74" s="43" t="str">
        <x:v>Initial latency to move</x:v>
      </x:c>
      <x:c r="AN74" s="43" t="str">
        <x:v>Latency</x:v>
      </x:c>
      <x:c r="AO74" s="43" t="str">
        <x:v>s</x:v>
      </x:c>
      <x:c r="AP74" s="43" t="str">
        <x:v>Not reported</x:v>
      </x:c>
      <x:c r="AQ74" s="43" t="str">
        <x:v>Table 2 and text</x:v>
      </x:c>
      <x:c r="AR74" s="43" t="str"/>
      <x:c r="AS74" s="43" t="str">
        <x:v>GIII_il</x:v>
      </x:c>
      <x:c r="AT74" s="43" t="str">
        <x:v>GII_il</x:v>
      </x:c>
      <x:c r="AU74" s="43" t="str">
        <x:v>GIII_GII_il</x:v>
      </x:c>
      <x:c r="AV74" s="43" t="str">
        <x:v>Independent</x:v>
      </x:c>
      <x:c r="AW74" s="43" t="str">
        <x:v>No</x:v>
      </x:c>
      <x:c r="AX74" s="43" t="str">
        <x:v>Positive</x:v>
      </x:c>
      <x:c r="AY74" s="43" t="str"/>
      <x:c r="AZ74" s="43" t="str">
        <x:v>13.1</x:v>
      </x:c>
      <x:c r="BA74" s="43" t="str">
        <x:v>7.9</x:v>
      </x:c>
      <x:c r="BB74" s="43" t="str">
        <x:v>63</x:v>
      </x:c>
      <x:c r="BC74" s="43" t="str"/>
      <x:c r="BD74" s="43" t="str"/>
      <x:c r="BE74" s="43" t="str">
        <x:v>18.8</x:v>
      </x:c>
      <x:c r="BF74" s="43" t="str">
        <x:v>8.2</x:v>
      </x:c>
      <x:c r="BG74" s="43" t="str">
        <x:v>35</x:v>
      </x:c>
      <x:c r="BH74" s="43" t="str"/>
      <x:c r="BI74" s="43" t="str"/>
      <x:c r="BJ74" s="43" t="str"/>
      <x:c r="BK74" s="43" t="str">
        <x:v>No SE or CI</x:v>
      </x:c>
      <x:c r="BL74" s="43" t="str"/>
      <x:c r="BM74" s="43" t="str"/>
      <x:c r="BN74" s="43" t="str"/>
      <x:c r="BO74" s="43" t="str"/>
      <x:c r="BP74" s="43" t="str"/>
      <x:c r="BQ74" s="43" t="str"/>
      <x:c r="BR74" s="43" t="str">
        <x:v>yes</x:v>
      </x:c>
      <x:c r="BS74" s="43" t="str"/>
      <x:c r="BT74" s="43" t="str"/>
      <x:c r="BU74" s="43" t="str"/>
      <x:c r="BV74" s="43" t="str"/>
      <x:c r="BW74" s="43" t="str">
        <x:v>0.995306</x:v>
      </x:c>
      <x:c r="BX74" s="43" t="str">
        <x:v>SD / sqrt(n); derived for analysis from the extracted SD and sample size</x:v>
      </x:c>
      <x:c r="BY74" s="43" t="str">
        <x:v>Table 2 and text</x:v>
      </x:c>
      <x:c r="BZ74" s="43" t="str"/>
      <x:c r="CA74" s="43" t="str">
        <x:v>1.386053</x:v>
      </x:c>
      <x:c r="CB74" s="43" t="str">
        <x:v>SD / sqrt(n); derived for analysis from the extracted SD and sample size</x:v>
      </x:c>
      <x:c r="CC74" s="43" t="str">
        <x:v>Table 2 and text</x:v>
      </x:c>
      <x:c r="CD74" s="43" t="str">
        <x:v>Verified – no change</x:v>
      </x:c>
      <x:c r="CE74" s="43" t="str"/>
      <x:c r="CF74" s="43" t="str"/>
    </x:row>
    <x:row r="75">
      <x:c r="A75" s="43" t="str">
        <x:v>75</x:v>
      </x:c>
      <x:c r="B75" s="43" t="str">
        <x:v>abramova_2021_front</x:v>
      </x:c>
      <x:c r="C75" s="43" t="str">
        <x:v>ex018</x:v>
      </x:c>
      <x:c r="D75" s="43" t="str">
        <x:v>con014</x:v>
      </x:c>
      <x:c r="E75" s="43" t="str">
        <x:v>out042</x:v>
      </x:c>
      <x:c r="F75" s="43" t="str">
        <x:v>es074</x:v>
      </x:c>
      <x:c r="G75" s="43" t="str">
        <x:v>Yes</x:v>
      </x:c>
      <x:c r="H75" s="43" t="str">
        <x:v>One control female, one male and one experimental female and one male</x:v>
      </x:c>
      <x:c r="I75" s="43" t="str">
        <x:v>The Behavior and Postnatal Development in Infant and Juvenile Rats After Ultrasound-Induced Chronic Prenatal Stress</x:v>
      </x:c>
      <x:c r="J75" s="43" t="str">
        <x:v>10.3389/fphys.2021.659366</x:v>
      </x:c>
      <x:c r="K75" s="43" t="str">
        <x:v>Frontiers in Physiology</x:v>
      </x:c>
      <x:c r="L75" s="43" t="str"/>
      <x:c r="M75" s="43" t="str">
        <x:v>Rattus norvegicus</x:v>
      </x:c>
      <x:c r="N75" s="43" t="str">
        <x:v>albino rat</x:v>
      </x:c>
      <x:c r="O75" s="43" t="str">
        <x:v>Wistar rat</x:v>
      </x:c>
      <x:c r="P75" s="43" t="str"/>
      <x:c r="Q75" s="43" t="str">
        <x:v>not reported</x:v>
      </x:c>
      <x:c r="R75" s="43" t="str">
        <x:v>early, mid, late</x:v>
      </x:c>
      <x:c r="S75" s="43" t="str">
        <x:v>3 weeks</x:v>
      </x:c>
      <x:c r="T75" s="43" t="str">
        <x:v>21</x:v>
      </x:c>
      <x:c r="U75" s="43" t="str">
        <x:v>Continuous</x:v>
      </x:c>
      <x:c r="V75" s="43" t="str">
        <x:v>24.0</x:v>
      </x:c>
      <x:c r="W75" s="43" t="str">
        <x:v>Expossed to continuous variable frequencies </x:v>
      </x:c>
      <x:c r="X75" s="43" t="str">
        <x:v>Ultrasound</x:v>
      </x:c>
      <x:c r="Y75" s="43" t="str">
        <x:v>Ultrasound</x:v>
      </x:c>
      <x:c r="Z75" s="43" t="str">
        <x:v>50</x:v>
      </x:c>
      <x:c r="AA75" s="43" t="str">
        <x:v>20,000-45,000</x:v>
      </x:c>
      <x:c r="AB75" s="43" t="str">
        <x:v>Ambient sound</x:v>
      </x:c>
      <x:c r="AC75" s="43" t="str"/>
      <x:c r="AD75" s="43" t="str">
        <x:v>"normal conditions without ultrasound"</x:v>
      </x:c>
      <x:c r="AE75" s="43" t="str">
        <x:v>female</x:v>
      </x:c>
      <x:c r="AF75" s="43" t="str">
        <x:v>20</x:v>
      </x:c>
      <x:c r="AG75" s="43" t="str"/>
      <x:c r="AH75" s="43" t="str">
        <x:v>none</x:v>
      </x:c>
      <x:c r="AI75" s="43" t="str"/>
      <x:c r="AJ75" s="43" t="str">
        <x:v>Axiety</x:v>
      </x:c>
      <x:c r="AK75" s="43" t="str">
        <x:v>Open Field Test (OFT)</x:v>
      </x:c>
      <x:c r="AL75" s="43" t="str">
        <x:v>Square arena on PND20</x:v>
      </x:c>
      <x:c r="AM75" s="43" t="str">
        <x:v>Sections crossed</x:v>
      </x:c>
      <x:c r="AN75" s="43" t="str">
        <x:v>Count</x:v>
      </x:c>
      <x:c r="AO75" s="43" t="str">
        <x:v>Count</x:v>
      </x:c>
      <x:c r="AP75" s="43" t="str">
        <x:v>Light phase</x:v>
      </x:c>
      <x:c r="AQ75" s="43" t="str">
        <x:v>Author raw data</x:v>
      </x:c>
      <x:c r="AR75" s="43" t="str">
        <x:v>included_studies/abramova_2021_front/abramova_2021_front.xlsx</x:v>
      </x:c>
      <x:c r="AS75" s="43" t="str">
        <x:v>C_f_sq</x:v>
      </x:c>
      <x:c r="AT75" s="43" t="str">
        <x:v>PS_f_sq</x:v>
      </x:c>
      <x:c r="AU75" s="43" t="str">
        <x:v>C_PS_f_sq</x:v>
      </x:c>
      <x:c r="AV75" s="43" t="str">
        <x:v>Independent</x:v>
      </x:c>
      <x:c r="AW75" s="43" t="str">
        <x:v>Yes</x:v>
      </x:c>
      <x:c r="AX75" s="43" t="str">
        <x:v>Negative</x:v>
      </x:c>
      <x:c r="AY75" s="43" t="str"/>
      <x:c r="AZ75" s="43" t="str">
        <x:v>33.73913</x:v>
      </x:c>
      <x:c r="BA75" s="43" t="str">
        <x:v>16.895985</x:v>
      </x:c>
      <x:c r="BB75" s="43" t="str">
        <x:v>23</x:v>
      </x:c>
      <x:c r="BC75" s="43" t="str">
        <x:v>3.1581</x:v>
      </x:c>
      <x:c r="BD75" s="43" t="str"/>
      <x:c r="BE75" s="43" t="str">
        <x:v>24.8421</x:v>
      </x:c>
      <x:c r="BF75" s="43" t="str">
        <x:v>12.6985</x:v>
      </x:c>
      <x:c r="BG75" s="43" t="str">
        <x:v>19</x:v>
      </x:c>
      <x:c r="BH75" s="43" t="str">
        <x:v>2.9132</x:v>
      </x:c>
      <x:c r="BI75" s="43" t="str"/>
      <x:c r="BJ75" s="43" t="str">
        <x:v>Extracted all from raw data</x:v>
      </x:c>
      <x:c r="BK75" s="43" t="str"/>
      <x:c r="BL75" s="43" t="str"/>
      <x:c r="BM75" s="43" t="str"/>
      <x:c r="BN75" s="43" t="str"/>
      <x:c r="BO75" s="43" t="str"/>
      <x:c r="BP75" s="43" t="str"/>
      <x:c r="BQ75" s="43" t="str"/>
      <x:c r="BR75" s="43" t="str">
        <x:v>yes</x:v>
      </x:c>
      <x:c r="BS75" s="43" t="str"/>
      <x:c r="BT75" s="43" t="str"/>
      <x:c r="BU75" s="43" t="str"/>
      <x:c r="BV75" s="43" t="str"/>
      <x:c r="BW75" s="43" t="str">
        <x:v>3.523056</x:v>
      </x:c>
      <x:c r="BX75" s="43" t="str">
        <x:v>SD / sqrt(n), using the same-sex subgroup in author raw data</x:v>
      </x:c>
      <x:c r="BY75" s="43" t="str">
        <x:v>included_studies/abramova_2021_front/abramova_2021_front.xlsx, Лист1, handling=No handling</x:v>
      </x:c>
      <x:c r="BZ75" s="43" t="str"/>
      <x:c r="CA75" s="43" t="str">
        <x:v>2.913236</x:v>
      </x:c>
      <x:c r="CB75" s="43" t="str">
        <x:v>SD / sqrt(n), using the same-sex subgroup in author raw data</x:v>
      </x:c>
      <x:c r="CC75" s="43" t="str">
        <x:v>included_studies/abramova_2021_front/abramova_2021_front.xlsx, Лист1, handling=No handling</x:v>
      </x:c>
      <x:c r="CD75" s="43" t="str">
        <x:v>Corrected transcription</x:v>
      </x:c>
      <x:c r="CE75" s="43" t="str">
        <x:v>6 – Abramova 2021 same-sex controls</x:v>
      </x:c>
      <x:c r="CF75" s="43" t="str">
        <x:v>Use the females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row>
    <x:row r="76">
      <x:c r="A76" s="43" t="str">
        <x:v>76</x:v>
      </x:c>
      <x:c r="B76" s="43" t="str">
        <x:v>abramova_2021_front</x:v>
      </x:c>
      <x:c r="C76" s="43" t="str">
        <x:v>ex019</x:v>
      </x:c>
      <x:c r="D76" s="43" t="str">
        <x:v>con015</x:v>
      </x:c>
      <x:c r="E76" s="43" t="str">
        <x:v>out042</x:v>
      </x:c>
      <x:c r="F76" s="43" t="str">
        <x:v>es075</x:v>
      </x:c>
      <x:c r="G76" s="43" t="str">
        <x:v>Yes</x:v>
      </x:c>
      <x:c r="H76" s="43" t="str">
        <x:v>One control female, one male and one experimental female and one male</x:v>
      </x:c>
      <x:c r="I76" s="43" t="str">
        <x:v>The Behavior and Postnatal Development in Infant and Juvenile Rats After Ultrasound-Induced Chronic Prenatal Stress</x:v>
      </x:c>
      <x:c r="J76" s="43" t="str">
        <x:v>10.3389/fphys.2021.659366</x:v>
      </x:c>
      <x:c r="K76" s="43" t="str">
        <x:v>Frontiers in Physiology</x:v>
      </x:c>
      <x:c r="L76" s="43" t="str"/>
      <x:c r="M76" s="43" t="str">
        <x:v>Rattus norvegicus</x:v>
      </x:c>
      <x:c r="N76" s="43" t="str">
        <x:v>albino rat</x:v>
      </x:c>
      <x:c r="O76" s="43" t="str">
        <x:v>Wistar rat</x:v>
      </x:c>
      <x:c r="P76" s="43" t="str"/>
      <x:c r="Q76" s="43" t="str">
        <x:v>not reported</x:v>
      </x:c>
      <x:c r="R76" s="43" t="str">
        <x:v>early, mid, late</x:v>
      </x:c>
      <x:c r="S76" s="43" t="str">
        <x:v>3 weeks</x:v>
      </x:c>
      <x:c r="T76" s="43" t="str">
        <x:v>21</x:v>
      </x:c>
      <x:c r="U76" s="43" t="str">
        <x:v>Continuous</x:v>
      </x:c>
      <x:c r="V76" s="43" t="str">
        <x:v>24.0</x:v>
      </x:c>
      <x:c r="W76" s="43" t="str">
        <x:v>Expossed to continuous variable frequencies </x:v>
      </x:c>
      <x:c r="X76" s="43" t="str">
        <x:v>Ultrasound</x:v>
      </x:c>
      <x:c r="Y76" s="43" t="str">
        <x:v>Ultrasound</x:v>
      </x:c>
      <x:c r="Z76" s="43" t="str">
        <x:v>50</x:v>
      </x:c>
      <x:c r="AA76" s="43" t="str">
        <x:v>20,000-45,000</x:v>
      </x:c>
      <x:c r="AB76" s="43" t="str">
        <x:v>Ambient sound</x:v>
      </x:c>
      <x:c r="AC76" s="43" t="str"/>
      <x:c r="AD76" s="43" t="str">
        <x:v>"normal conditions without ultrasound"</x:v>
      </x:c>
      <x:c r="AE76" s="43" t="str">
        <x:v>male</x:v>
      </x:c>
      <x:c r="AF76" s="43" t="str">
        <x:v>20</x:v>
      </x:c>
      <x:c r="AG76" s="43" t="str"/>
      <x:c r="AH76" s="43" t="str">
        <x:v>none</x:v>
      </x:c>
      <x:c r="AI76" s="43" t="str"/>
      <x:c r="AJ76" s="43" t="str">
        <x:v>Axiety</x:v>
      </x:c>
      <x:c r="AK76" s="43" t="str">
        <x:v>Open Field Test (OFT)</x:v>
      </x:c>
      <x:c r="AL76" s="43" t="str"/>
      <x:c r="AM76" s="43" t="str">
        <x:v>Sections crossed</x:v>
      </x:c>
      <x:c r="AN76" s="43" t="str">
        <x:v>Count</x:v>
      </x:c>
      <x:c r="AO76" s="43" t="str">
        <x:v>Count</x:v>
      </x:c>
      <x:c r="AP76" s="43" t="str">
        <x:v>Light phase</x:v>
      </x:c>
      <x:c r="AQ76" s="43" t="str">
        <x:v>Author raw data</x:v>
      </x:c>
      <x:c r="AR76" s="43" t="str">
        <x:v>included_studies/abramova_2021_front/abramova_2021_front.xlsx</x:v>
      </x:c>
      <x:c r="AS76" s="43" t="str">
        <x:v>C_m_sq</x:v>
      </x:c>
      <x:c r="AT76" s="43" t="str">
        <x:v>PS_m_sq</x:v>
      </x:c>
      <x:c r="AU76" s="43" t="str">
        <x:v>C_PS_m_sq</x:v>
      </x:c>
      <x:c r="AV76" s="43" t="str">
        <x:v>Independent</x:v>
      </x:c>
      <x:c r="AW76" s="43" t="str">
        <x:v>Yes</x:v>
      </x:c>
      <x:c r="AX76" s="43" t="str">
        <x:v>Negative</x:v>
      </x:c>
      <x:c r="AY76" s="43" t="str"/>
      <x:c r="AZ76" s="43" t="str">
        <x:v>29.0</x:v>
      </x:c>
      <x:c r="BA76" s="43" t="str">
        <x:v>15.790292</x:v>
      </x:c>
      <x:c r="BB76" s="43" t="str">
        <x:v>25</x:v>
      </x:c>
      <x:c r="BC76" s="43" t="str">
        <x:v>3.5231</x:v>
      </x:c>
      <x:c r="BD76" s="43" t="str"/>
      <x:c r="BE76" s="43" t="str">
        <x:v>22.1667</x:v>
      </x:c>
      <x:c r="BF76" s="43" t="str">
        <x:v>14.5733</x:v>
      </x:c>
      <x:c r="BG76" s="43" t="str">
        <x:v>18</x:v>
      </x:c>
      <x:c r="BH76" s="43" t="str">
        <x:v>3.435</x:v>
      </x:c>
      <x:c r="BI76" s="43" t="str"/>
      <x:c r="BJ76" s="43" t="str">
        <x:v>Extracted all from raw data</x:v>
      </x:c>
      <x:c r="BK76" s="43" t="str"/>
      <x:c r="BL76" s="43" t="str"/>
      <x:c r="BM76" s="43" t="str"/>
      <x:c r="BN76" s="43" t="str"/>
      <x:c r="BO76" s="43" t="str"/>
      <x:c r="BP76" s="43" t="str"/>
      <x:c r="BQ76" s="43" t="str"/>
      <x:c r="BR76" s="43" t="str">
        <x:v>yes</x:v>
      </x:c>
      <x:c r="BS76" s="43" t="str"/>
      <x:c r="BT76" s="43" t="str"/>
      <x:c r="BU76" s="43" t="str"/>
      <x:c r="BV76" s="43" t="str"/>
      <x:c r="BW76" s="43" t="str">
        <x:v>3.158058</x:v>
      </x:c>
      <x:c r="BX76" s="43" t="str">
        <x:v>SD / sqrt(n), using the same-sex subgroup in author raw data</x:v>
      </x:c>
      <x:c r="BY76" s="43" t="str">
        <x:v>included_studies/abramova_2021_front/abramova_2021_front.xlsx, Лист1, handling=No handling</x:v>
      </x:c>
      <x:c r="BZ76" s="43" t="str"/>
      <x:c r="CA76" s="43" t="str">
        <x:v>3.43496</x:v>
      </x:c>
      <x:c r="CB76" s="43" t="str">
        <x:v>SD / sqrt(n), using the same-sex subgroup in author raw data</x:v>
      </x:c>
      <x:c r="CC76" s="43" t="str">
        <x:v>included_studies/abramova_2021_front/abramova_2021_front.xlsx, Лист1, handling=No handling</x:v>
      </x:c>
      <x:c r="CD76" s="43" t="str">
        <x:v>Corrected transcription</x:v>
      </x:c>
      <x:c r="CE76" s="43" t="str">
        <x:v>6 – Abramova 2021 same-sex controls</x:v>
      </x:c>
      <x:c r="CF76" s="43" t="str">
        <x:v>Use the males control subgroup matching offspring_sex. | Recalculate the control mean from the same-sex author raw subgroup (squares). | Recalculate the control SD from the same-sex author raw subgroup (squares). | All summaries in this package are calculated from the saved author workbook. | Use the stable path to the saved author workbook.</x:v>
      </x:c>
    </x:row>
    <x:row r="77">
      <x:c r="A77" s="43" t="str">
        <x:v>77</x:v>
      </x:c>
      <x:c r="B77" s="43" t="str">
        <x:v>abramova_2021_front</x:v>
      </x:c>
      <x:c r="C77" s="43" t="str">
        <x:v>ex018</x:v>
      </x:c>
      <x:c r="D77" s="43" t="str">
        <x:v>con014</x:v>
      </x:c>
      <x:c r="E77" s="43" t="str">
        <x:v>out043</x:v>
      </x:c>
      <x:c r="F77" s="43" t="str">
        <x:v>es076</x:v>
      </x:c>
      <x:c r="G77" s="43" t="str">
        <x:v>Yes</x:v>
      </x:c>
      <x:c r="H77" s="43" t="str">
        <x:v>One control female, one male and one experimental female and one male</x:v>
      </x:c>
      <x:c r="I77" s="43" t="str">
        <x:v>The Behavior and Postnatal Development in Infant and Juvenile Rats After Ultrasound-Induced Chronic Prenatal Stress</x:v>
      </x:c>
      <x:c r="J77" s="43" t="str">
        <x:v>10.3389/fphys.2021.659366</x:v>
      </x:c>
      <x:c r="K77" s="43" t="str">
        <x:v>Frontiers in Physiology</x:v>
      </x:c>
      <x:c r="L77" s="43" t="str"/>
      <x:c r="M77" s="43" t="str">
        <x:v>Rattus norvegicus</x:v>
      </x:c>
      <x:c r="N77" s="43" t="str">
        <x:v>albino rat</x:v>
      </x:c>
      <x:c r="O77" s="43" t="str">
        <x:v>Wistar rat</x:v>
      </x:c>
      <x:c r="P77" s="43" t="str"/>
      <x:c r="Q77" s="43" t="str">
        <x:v>not reported</x:v>
      </x:c>
      <x:c r="R77" s="43" t="str">
        <x:v>early, mid, late</x:v>
      </x:c>
      <x:c r="S77" s="43" t="str">
        <x:v>3 weeks</x:v>
      </x:c>
      <x:c r="T77" s="43" t="str">
        <x:v>21</x:v>
      </x:c>
      <x:c r="U77" s="43" t="str">
        <x:v>Continuous</x:v>
      </x:c>
      <x:c r="V77" s="43" t="str">
        <x:v>24.0</x:v>
      </x:c>
      <x:c r="W77" s="43" t="str">
        <x:v>Expossed to continuous variable frequencies </x:v>
      </x:c>
      <x:c r="X77" s="43" t="str">
        <x:v>Ultrasound</x:v>
      </x:c>
      <x:c r="Y77" s="43" t="str">
        <x:v>Ultrasound</x:v>
      </x:c>
      <x:c r="Z77" s="43" t="str">
        <x:v>50</x:v>
      </x:c>
      <x:c r="AA77" s="43" t="str">
        <x:v>20,000-45,000</x:v>
      </x:c>
      <x:c r="AB77" s="43" t="str">
        <x:v>Ambient sound</x:v>
      </x:c>
      <x:c r="AC77" s="43" t="str"/>
      <x:c r="AD77" s="43" t="str">
        <x:v>"normal conditions without ultrasound"</x:v>
      </x:c>
      <x:c r="AE77" s="43" t="str">
        <x:v>female</x:v>
      </x:c>
      <x:c r="AF77" s="43" t="str">
        <x:v>20</x:v>
      </x:c>
      <x:c r="AG77" s="43" t="str"/>
      <x:c r="AH77" s="43" t="str">
        <x:v>none</x:v>
      </x:c>
      <x:c r="AI77" s="43" t="str"/>
      <x:c r="AJ77" s="43" t="str">
        <x:v>Axiety</x:v>
      </x:c>
      <x:c r="AK77" s="43" t="str">
        <x:v>Open Field Test (OFT)</x:v>
      </x:c>
      <x:c r="AL77" s="43" t="str"/>
      <x:c r="AM77" s="43" t="str">
        <x:v>Rearing frequency</x:v>
      </x:c>
      <x:c r="AN77" s="43" t="str">
        <x:v>Count</x:v>
      </x:c>
      <x:c r="AO77" s="43" t="str">
        <x:v>Count</x:v>
      </x:c>
      <x:c r="AP77" s="43" t="str">
        <x:v>Light phase</x:v>
      </x:c>
      <x:c r="AQ77" s="43" t="str">
        <x:v>Author raw data</x:v>
      </x:c>
      <x:c r="AR77" s="43" t="str">
        <x:v>included_studies/abramova_2021_front/abramova_2021_front.xlsx</x:v>
      </x:c>
      <x:c r="AS77" s="43" t="str">
        <x:v>C_f_re</x:v>
      </x:c>
      <x:c r="AT77" s="43" t="str">
        <x:v>PS_f_re</x:v>
      </x:c>
      <x:c r="AU77" s="43" t="str">
        <x:v>C_PS_f_re</x:v>
      </x:c>
      <x:c r="AV77" s="43" t="str">
        <x:v>Independent</x:v>
      </x:c>
      <x:c r="AW77" s="43" t="str">
        <x:v>Yes</x:v>
      </x:c>
      <x:c r="AX77" s="43" t="str">
        <x:v>Negative</x:v>
      </x:c>
      <x:c r="AY77" s="43" t="str"/>
      <x:c r="AZ77" s="43" t="str">
        <x:v>10.130435</x:v>
      </x:c>
      <x:c r="BA77" s="43" t="str">
        <x:v>8.7558</x:v>
      </x:c>
      <x:c r="BB77" s="43" t="str">
        <x:v>23</x:v>
      </x:c>
      <x:c r="BC77" s="43" t="str">
        <x:v>1.3867</x:v>
      </x:c>
      <x:c r="BD77" s="43" t="str"/>
      <x:c r="BE77" s="43" t="str">
        <x:v>6.8947</x:v>
      </x:c>
      <x:c r="BF77" s="43" t="str">
        <x:v>4.4208</x:v>
      </x:c>
      <x:c r="BG77" s="43" t="str">
        <x:v>19</x:v>
      </x:c>
      <x:c r="BH77" s="43" t="str">
        <x:v>1.0142</x:v>
      </x:c>
      <x:c r="BI77" s="43" t="str"/>
      <x:c r="BJ77" s="43" t="str">
        <x:v>Extracted all from raw data</x:v>
      </x:c>
      <x:c r="BK77" s="43" t="str"/>
      <x:c r="BL77" s="43" t="str"/>
      <x:c r="BM77" s="43" t="str"/>
      <x:c r="BN77" s="43" t="str"/>
      <x:c r="BO77" s="43" t="str"/>
      <x:c r="BP77" s="43" t="str"/>
      <x:c r="BQ77" s="43" t="str"/>
      <x:c r="BR77" s="43" t="str">
        <x:v>yes</x:v>
      </x:c>
      <x:c r="BS77" s="43" t="str"/>
      <x:c r="BT77" s="43" t="str"/>
      <x:c r="BU77" s="43" t="str"/>
      <x:c r="BV77" s="43" t="str"/>
      <x:c r="BW77" s="43" t="str">
        <x:v>1.825711</x:v>
      </x:c>
      <x:c r="BX77" s="43" t="str">
        <x:v>SD / sqrt(n), using the same-sex subgroup in author raw data</x:v>
      </x:c>
      <x:c r="BY77" s="43" t="str">
        <x:v>included_studies/abramova_2021_front/abramova_2021_front.xlsx, Лист1, handling=No handling</x:v>
      </x:c>
      <x:c r="BZ77" s="43" t="str"/>
      <x:c r="CA77" s="43" t="str">
        <x:v>1.014201</x:v>
      </x:c>
      <x:c r="CB77" s="43" t="str">
        <x:v>SD / sqrt(n), using the same-sex subgroup in author raw data</x:v>
      </x:c>
      <x:c r="CC77" s="43" t="str">
        <x:v>included_studies/abramova_2021_front/abramova_2021_front.xlsx, Лист1, handling=No handling</x:v>
      </x:c>
      <x:c r="CD77" s="43" t="str">
        <x:v>Corrected transcription</x:v>
      </x:c>
      <x:c r="CE77" s="43" t="str">
        <x:v>6 – Abramova 2021 same-sex controls</x:v>
      </x:c>
      <x:c r="CF77" s="43" t="str">
        <x:v>Use the females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row>
    <x:row r="78">
      <x:c r="A78" s="43" t="str">
        <x:v>78</x:v>
      </x:c>
      <x:c r="B78" s="43" t="str">
        <x:v>abramova_2021_front</x:v>
      </x:c>
      <x:c r="C78" s="43" t="str">
        <x:v>ex019</x:v>
      </x:c>
      <x:c r="D78" s="43" t="str">
        <x:v>con015</x:v>
      </x:c>
      <x:c r="E78" s="43" t="str">
        <x:v>out043</x:v>
      </x:c>
      <x:c r="F78" s="43" t="str">
        <x:v>es077</x:v>
      </x:c>
      <x:c r="G78" s="43" t="str">
        <x:v>Yes</x:v>
      </x:c>
      <x:c r="H78" s="43" t="str">
        <x:v>One control female, one male and one experimental female and one male</x:v>
      </x:c>
      <x:c r="I78" s="43" t="str">
        <x:v>The Behavior and Postnatal Development in Infant and Juvenile Rats After Ultrasound-Induced Chronic Prenatal Stress</x:v>
      </x:c>
      <x:c r="J78" s="43" t="str">
        <x:v>10.3389/fphys.2021.659366</x:v>
      </x:c>
      <x:c r="K78" s="43" t="str">
        <x:v>Frontiers in Physiology</x:v>
      </x:c>
      <x:c r="L78" s="43" t="str"/>
      <x:c r="M78" s="43" t="str">
        <x:v>Rattus norvegicus</x:v>
      </x:c>
      <x:c r="N78" s="43" t="str">
        <x:v>albino rat</x:v>
      </x:c>
      <x:c r="O78" s="43" t="str">
        <x:v>Wistar rat</x:v>
      </x:c>
      <x:c r="P78" s="43" t="str"/>
      <x:c r="Q78" s="43" t="str">
        <x:v>not reported</x:v>
      </x:c>
      <x:c r="R78" s="43" t="str">
        <x:v>early, mid, late</x:v>
      </x:c>
      <x:c r="S78" s="43" t="str">
        <x:v>3 weeks</x:v>
      </x:c>
      <x:c r="T78" s="43" t="str">
        <x:v>21</x:v>
      </x:c>
      <x:c r="U78" s="43" t="str">
        <x:v>Continuous</x:v>
      </x:c>
      <x:c r="V78" s="43" t="str">
        <x:v>24.0</x:v>
      </x:c>
      <x:c r="W78" s="43" t="str">
        <x:v>Expossed to continuous variable frequencies </x:v>
      </x:c>
      <x:c r="X78" s="43" t="str">
        <x:v>Ultrasound</x:v>
      </x:c>
      <x:c r="Y78" s="43" t="str">
        <x:v>Ultrasound</x:v>
      </x:c>
      <x:c r="Z78" s="43" t="str">
        <x:v>50</x:v>
      </x:c>
      <x:c r="AA78" s="43" t="str">
        <x:v>20,000-45,000</x:v>
      </x:c>
      <x:c r="AB78" s="43" t="str">
        <x:v>Ambient sound</x:v>
      </x:c>
      <x:c r="AC78" s="43" t="str"/>
      <x:c r="AD78" s="43" t="str">
        <x:v>"normal conditions without ultrasound"</x:v>
      </x:c>
      <x:c r="AE78" s="43" t="str">
        <x:v>male</x:v>
      </x:c>
      <x:c r="AF78" s="43" t="str">
        <x:v>20</x:v>
      </x:c>
      <x:c r="AG78" s="43" t="str"/>
      <x:c r="AH78" s="43" t="str">
        <x:v>none</x:v>
      </x:c>
      <x:c r="AI78" s="43" t="str"/>
      <x:c r="AJ78" s="43" t="str">
        <x:v>Axiety</x:v>
      </x:c>
      <x:c r="AK78" s="43" t="str">
        <x:v>Open Field Test (OFT)</x:v>
      </x:c>
      <x:c r="AL78" s="43" t="str"/>
      <x:c r="AM78" s="43" t="str">
        <x:v>Rearing frequency</x:v>
      </x:c>
      <x:c r="AN78" s="43" t="str">
        <x:v>Count</x:v>
      </x:c>
      <x:c r="AO78" s="43" t="str">
        <x:v>Count</x:v>
      </x:c>
      <x:c r="AP78" s="43" t="str">
        <x:v>Light phase</x:v>
      </x:c>
      <x:c r="AQ78" s="43" t="str">
        <x:v>Author raw data</x:v>
      </x:c>
      <x:c r="AR78" s="43" t="str">
        <x:v>included_studies/abramova_2021_front/abramova_2021_front.xlsx</x:v>
      </x:c>
      <x:c r="AS78" s="43" t="str">
        <x:v>C_m_re</x:v>
      </x:c>
      <x:c r="AT78" s="43" t="str">
        <x:v>PS_m_re</x:v>
      </x:c>
      <x:c r="AU78" s="43" t="str">
        <x:v>C_PS_m_re</x:v>
      </x:c>
      <x:c r="AV78" s="43" t="str">
        <x:v>Independent</x:v>
      </x:c>
      <x:c r="AW78" s="43" t="str">
        <x:v>Yes</x:v>
      </x:c>
      <x:c r="AX78" s="43" t="str">
        <x:v>Negative</x:v>
      </x:c>
      <x:c r="AY78" s="43" t="str"/>
      <x:c r="AZ78" s="43" t="str">
        <x:v>8.92</x:v>
      </x:c>
      <x:c r="BA78" s="43" t="str">
        <x:v>6.933734</x:v>
      </x:c>
      <x:c r="BB78" s="43" t="str">
        <x:v>25</x:v>
      </x:c>
      <x:c r="BC78" s="43" t="str">
        <x:v>1.8257</x:v>
      </x:c>
      <x:c r="BD78" s="43" t="str"/>
      <x:c r="BE78" s="43" t="str">
        <x:v>4.3889</x:v>
      </x:c>
      <x:c r="BF78" s="43" t="str">
        <x:v>4.1747</x:v>
      </x:c>
      <x:c r="BG78" s="43" t="str">
        <x:v>18</x:v>
      </x:c>
      <x:c r="BH78" s="43" t="str">
        <x:v>0.984</x:v>
      </x:c>
      <x:c r="BI78" s="43" t="str"/>
      <x:c r="BJ78" s="43" t="str">
        <x:v>Extracted all from raw data</x:v>
      </x:c>
      <x:c r="BK78" s="43" t="str"/>
      <x:c r="BL78" s="43" t="str"/>
      <x:c r="BM78" s="43" t="str"/>
      <x:c r="BN78" s="43" t="str"/>
      <x:c r="BO78" s="43" t="str"/>
      <x:c r="BP78" s="43" t="str"/>
      <x:c r="BQ78" s="43" t="str"/>
      <x:c r="BR78" s="43" t="str">
        <x:v>yes</x:v>
      </x:c>
      <x:c r="BS78" s="43" t="str"/>
      <x:c r="BT78" s="43" t="str"/>
      <x:c r="BU78" s="43" t="str"/>
      <x:c r="BV78" s="43" t="str"/>
      <x:c r="BW78" s="43" t="str">
        <x:v>1.386747</x:v>
      </x:c>
      <x:c r="BX78" s="43" t="str">
        <x:v>SD / sqrt(n), using the same-sex subgroup in author raw data</x:v>
      </x:c>
      <x:c r="BY78" s="43" t="str">
        <x:v>included_studies/abramova_2021_front/abramova_2021_front.xlsx, Лист1, handling=No handling</x:v>
      </x:c>
      <x:c r="BZ78" s="43" t="str"/>
      <x:c r="CA78" s="43" t="str">
        <x:v>0.983986</x:v>
      </x:c>
      <x:c r="CB78" s="43" t="str">
        <x:v>SD / sqrt(n), using the same-sex subgroup in author raw data</x:v>
      </x:c>
      <x:c r="CC78" s="43" t="str">
        <x:v>included_studies/abramova_2021_front/abramova_2021_front.xlsx, Лист1, handling=No handling</x:v>
      </x:c>
      <x:c r="CD78" s="43" t="str">
        <x:v>Corrected transcription</x:v>
      </x:c>
      <x:c r="CE78" s="43" t="str">
        <x:v>6 – Abramova 2021 same-sex controls</x:v>
      </x:c>
      <x:c r="CF78" s="43" t="str">
        <x:v>Use the males control subgroup matching offspring_sex. | Recalculate the control mean from the same-sex author raw subgroup (rearing). | Recalculate the control SD from the same-sex author raw subgroup (rearing). | All summaries in this package are calculated from the saved author workbook. | Use the stable path to the saved author workbook.</x:v>
      </x:c>
    </x:row>
    <x:row r="79">
      <x:c r="A79" s="43" t="str">
        <x:v>79</x:v>
      </x:c>
      <x:c r="B79" s="43" t="str">
        <x:v>abramova_2021_front</x:v>
      </x:c>
      <x:c r="C79" s="43" t="str">
        <x:v>ex018</x:v>
      </x:c>
      <x:c r="D79" s="43" t="str">
        <x:v>con014</x:v>
      </x:c>
      <x:c r="E79" s="43" t="str">
        <x:v>out044</x:v>
      </x:c>
      <x:c r="F79" s="43" t="str">
        <x:v>es078</x:v>
      </x:c>
      <x:c r="G79" s="43" t="str">
        <x:v>Yes</x:v>
      </x:c>
      <x:c r="H79" s="43" t="str">
        <x:v>One control female, one male and one experimental female and one male</x:v>
      </x:c>
      <x:c r="I79" s="43" t="str">
        <x:v>The Behavior and Postnatal Development in Infant and Juvenile Rats After Ultrasound-Induced Chronic Prenatal Stress</x:v>
      </x:c>
      <x:c r="J79" s="43" t="str">
        <x:v>10.3389/fphys.2021.659366</x:v>
      </x:c>
      <x:c r="K79" s="43" t="str">
        <x:v>Frontiers in Physiology</x:v>
      </x:c>
      <x:c r="L79" s="43" t="str"/>
      <x:c r="M79" s="43" t="str">
        <x:v>Rattus norvegicus</x:v>
      </x:c>
      <x:c r="N79" s="43" t="str">
        <x:v>albino rat</x:v>
      </x:c>
      <x:c r="O79" s="43" t="str">
        <x:v>Wistar rat</x:v>
      </x:c>
      <x:c r="P79" s="43" t="str"/>
      <x:c r="Q79" s="43" t="str">
        <x:v>not reported</x:v>
      </x:c>
      <x:c r="R79" s="43" t="str">
        <x:v>early, mid, late</x:v>
      </x:c>
      <x:c r="S79" s="43" t="str">
        <x:v>3 weeks</x:v>
      </x:c>
      <x:c r="T79" s="43" t="str">
        <x:v>21</x:v>
      </x:c>
      <x:c r="U79" s="43" t="str">
        <x:v>Continuous</x:v>
      </x:c>
      <x:c r="V79" s="43" t="str">
        <x:v>24.0</x:v>
      </x:c>
      <x:c r="W79" s="43" t="str">
        <x:v>Expossed to continuous variable frequencies </x:v>
      </x:c>
      <x:c r="X79" s="43" t="str">
        <x:v>Ultrasound</x:v>
      </x:c>
      <x:c r="Y79" s="43" t="str">
        <x:v>Ultrasound</x:v>
      </x:c>
      <x:c r="Z79" s="43" t="str">
        <x:v>50</x:v>
      </x:c>
      <x:c r="AA79" s="43" t="str">
        <x:v>20,000-45,000</x:v>
      </x:c>
      <x:c r="AB79" s="43" t="str">
        <x:v>Ambient sound</x:v>
      </x:c>
      <x:c r="AC79" s="43" t="str"/>
      <x:c r="AD79" s="43" t="str">
        <x:v>"normal conditions without ultrasound"</x:v>
      </x:c>
      <x:c r="AE79" s="43" t="str">
        <x:v>female</x:v>
      </x:c>
      <x:c r="AF79" s="43" t="str">
        <x:v>20</x:v>
      </x:c>
      <x:c r="AG79" s="43" t="str"/>
      <x:c r="AH79" s="43" t="str">
        <x:v>none</x:v>
      </x:c>
      <x:c r="AI79" s="43" t="str"/>
      <x:c r="AJ79" s="43" t="str">
        <x:v>Axiety</x:v>
      </x:c>
      <x:c r="AK79" s="43" t="str">
        <x:v>Open Field Test (OFT)</x:v>
      </x:c>
      <x:c r="AL79" s="43" t="str"/>
      <x:c r="AM79" s="43" t="str">
        <x:v>Center entries (crossing)</x:v>
      </x:c>
      <x:c r="AN79" s="43" t="str">
        <x:v>Count</x:v>
      </x:c>
      <x:c r="AO79" s="43" t="str">
        <x:v>Count</x:v>
      </x:c>
      <x:c r="AP79" s="43" t="str">
        <x:v>Light phase</x:v>
      </x:c>
      <x:c r="AQ79" s="43" t="str">
        <x:v>Author raw data</x:v>
      </x:c>
      <x:c r="AR79" s="43" t="str">
        <x:v>included_studies/abramova_2021_front/abramova_2021_front.xlsx</x:v>
      </x:c>
      <x:c r="AS79" s="43" t="str">
        <x:v>C_f_cen</x:v>
      </x:c>
      <x:c r="AT79" s="43" t="str">
        <x:v>PS_f_cen</x:v>
      </x:c>
      <x:c r="AU79" s="43" t="str">
        <x:v>C_PS_f_cen</x:v>
      </x:c>
      <x:c r="AV79" s="43" t="str">
        <x:v>Independent</x:v>
      </x:c>
      <x:c r="AW79" s="43" t="str">
        <x:v>Yes</x:v>
      </x:c>
      <x:c r="AX79" s="43" t="str">
        <x:v>Negative</x:v>
      </x:c>
      <x:c r="AY79" s="43" t="str"/>
      <x:c r="AZ79" s="43" t="str">
        <x:v>2.26087</x:v>
      </x:c>
      <x:c r="BA79" s="43" t="str">
        <x:v>2.526539</x:v>
      </x:c>
      <x:c r="BB79" s="43" t="str">
        <x:v>23</x:v>
      </x:c>
      <x:c r="BC79" s="43" t="str">
        <x:v>0.2982</x:v>
      </x:c>
      <x:c r="BD79" s="43" t="str"/>
      <x:c r="BE79" s="43" t="str">
        <x:v>1.3158</x:v>
      </x:c>
      <x:c r="BF79" s="43" t="str">
        <x:v>2.029</x:v>
      </x:c>
      <x:c r="BG79" s="43" t="str">
        <x:v>19</x:v>
      </x:c>
      <x:c r="BH79" s="43" t="str">
        <x:v>0.4655</x:v>
      </x:c>
      <x:c r="BI79" s="43" t="str"/>
      <x:c r="BJ79" s="43" t="str">
        <x:v>Extracted all from raw data</x:v>
      </x:c>
      <x:c r="BK79" s="43" t="str"/>
      <x:c r="BL79" s="43" t="str"/>
      <x:c r="BM79" s="43" t="str"/>
      <x:c r="BN79" s="43" t="str"/>
      <x:c r="BO79" s="43" t="str"/>
      <x:c r="BP79" s="43" t="str"/>
      <x:c r="BQ79" s="43" t="str"/>
      <x:c r="BR79" s="43" t="str">
        <x:v>yes</x:v>
      </x:c>
      <x:c r="BS79" s="43" t="str"/>
      <x:c r="BT79" s="43" t="str"/>
      <x:c r="BU79" s="43" t="str"/>
      <x:c r="BV79" s="43" t="str"/>
      <x:c r="BW79" s="43" t="str">
        <x:v>0.52682</x:v>
      </x:c>
      <x:c r="BX79" s="43" t="str">
        <x:v>SD / sqrt(n), using the same-sex subgroup in author raw data</x:v>
      </x:c>
      <x:c r="BY79" s="43" t="str">
        <x:v>included_studies/abramova_2021_front/abramova_2021_front.xlsx, Лист1, handling=No handling</x:v>
      </x:c>
      <x:c r="BZ79" s="43" t="str"/>
      <x:c r="CA79" s="43" t="str">
        <x:v>0.465485</x:v>
      </x:c>
      <x:c r="CB79" s="43" t="str">
        <x:v>SD / sqrt(n), using the same-sex subgroup in author raw data</x:v>
      </x:c>
      <x:c r="CC79" s="43" t="str">
        <x:v>included_studies/abramova_2021_front/abramova_2021_front.xlsx, Лист1, handling=No handling</x:v>
      </x:c>
      <x:c r="CD79" s="43" t="str">
        <x:v>Corrected transcription</x:v>
      </x:c>
      <x:c r="CE79" s="43" t="str">
        <x:v>6 – Abramova 2021 same-sex controls</x:v>
      </x:c>
      <x:c r="CF79" s="43" t="str">
        <x:v>Use the females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row>
    <x:row r="80">
      <x:c r="A80" s="43" t="str">
        <x:v>80</x:v>
      </x:c>
      <x:c r="B80" s="43" t="str">
        <x:v>abramova_2021_front</x:v>
      </x:c>
      <x:c r="C80" s="43" t="str">
        <x:v>ex019</x:v>
      </x:c>
      <x:c r="D80" s="43" t="str">
        <x:v>con015</x:v>
      </x:c>
      <x:c r="E80" s="43" t="str">
        <x:v>out044</x:v>
      </x:c>
      <x:c r="F80" s="43" t="str">
        <x:v>es079</x:v>
      </x:c>
      <x:c r="G80" s="43" t="str">
        <x:v>Yes</x:v>
      </x:c>
      <x:c r="H80" s="43" t="str">
        <x:v>One control female, one male and one experimental female and one male</x:v>
      </x:c>
      <x:c r="I80" s="43" t="str">
        <x:v>The Behavior and Postnatal Development in Infant and Juvenile Rats After Ultrasound-Induced Chronic Prenatal Stress</x:v>
      </x:c>
      <x:c r="J80" s="43" t="str">
        <x:v>10.3389/fphys.2021.659366</x:v>
      </x:c>
      <x:c r="K80" s="43" t="str">
        <x:v>Frontiers in Physiology</x:v>
      </x:c>
      <x:c r="L80" s="43" t="str"/>
      <x:c r="M80" s="43" t="str">
        <x:v>Rattus norvegicus</x:v>
      </x:c>
      <x:c r="N80" s="43" t="str">
        <x:v>albino rat</x:v>
      </x:c>
      <x:c r="O80" s="43" t="str">
        <x:v>Wistar rat</x:v>
      </x:c>
      <x:c r="P80" s="43" t="str"/>
      <x:c r="Q80" s="43" t="str">
        <x:v>not reported</x:v>
      </x:c>
      <x:c r="R80" s="43" t="str">
        <x:v>early, mid, late</x:v>
      </x:c>
      <x:c r="S80" s="43" t="str">
        <x:v>3 weeks</x:v>
      </x:c>
      <x:c r="T80" s="43" t="str">
        <x:v>21</x:v>
      </x:c>
      <x:c r="U80" s="43" t="str">
        <x:v>Continuous</x:v>
      </x:c>
      <x:c r="V80" s="43" t="str">
        <x:v>24.0</x:v>
      </x:c>
      <x:c r="W80" s="43" t="str">
        <x:v>Expossed to continuous variable frequencies </x:v>
      </x:c>
      <x:c r="X80" s="43" t="str">
        <x:v>Ultrasound</x:v>
      </x:c>
      <x:c r="Y80" s="43" t="str">
        <x:v>Ultrasound</x:v>
      </x:c>
      <x:c r="Z80" s="43" t="str">
        <x:v>50</x:v>
      </x:c>
      <x:c r="AA80" s="43" t="str">
        <x:v>20,000-45,000</x:v>
      </x:c>
      <x:c r="AB80" s="43" t="str">
        <x:v>Ambient sound</x:v>
      </x:c>
      <x:c r="AC80" s="43" t="str"/>
      <x:c r="AD80" s="43" t="str">
        <x:v>"normal conditions without ultrasound"</x:v>
      </x:c>
      <x:c r="AE80" s="43" t="str">
        <x:v>male</x:v>
      </x:c>
      <x:c r="AF80" s="43" t="str">
        <x:v>20</x:v>
      </x:c>
      <x:c r="AG80" s="43" t="str"/>
      <x:c r="AH80" s="43" t="str">
        <x:v>none</x:v>
      </x:c>
      <x:c r="AI80" s="43" t="str"/>
      <x:c r="AJ80" s="43" t="str">
        <x:v>Axiety</x:v>
      </x:c>
      <x:c r="AK80" s="43" t="str">
        <x:v>Open Field Test (OFT)</x:v>
      </x:c>
      <x:c r="AL80" s="43" t="str"/>
      <x:c r="AM80" s="43" t="str">
        <x:v>Center entries (crossing)</x:v>
      </x:c>
      <x:c r="AN80" s="43" t="str">
        <x:v>Count</x:v>
      </x:c>
      <x:c r="AO80" s="43" t="str">
        <x:v>Count</x:v>
      </x:c>
      <x:c r="AP80" s="43" t="str">
        <x:v>Light phase</x:v>
      </x:c>
      <x:c r="AQ80" s="43" t="str">
        <x:v>Author raw data</x:v>
      </x:c>
      <x:c r="AR80" s="43" t="str">
        <x:v>included_studies/abramova_2021_front/abramova_2021_front.xlsx</x:v>
      </x:c>
      <x:c r="AS80" s="43" t="str">
        <x:v>C_m_cen</x:v>
      </x:c>
      <x:c r="AT80" s="43" t="str">
        <x:v>PS_m_cen</x:v>
      </x:c>
      <x:c r="AU80" s="43" t="str">
        <x:v>C_PS_m_cen</x:v>
      </x:c>
      <x:c r="AV80" s="43" t="str">
        <x:v>Independent</x:v>
      </x:c>
      <x:c r="AW80" s="43" t="str">
        <x:v>Yes</x:v>
      </x:c>
      <x:c r="AX80" s="43" t="str">
        <x:v>Negative</x:v>
      </x:c>
      <x:c r="AY80" s="43" t="str"/>
      <x:c r="AZ80" s="43" t="str">
        <x:v>1.16</x:v>
      </x:c>
      <x:c r="BA80" s="43" t="str">
        <x:v>1.491085</x:v>
      </x:c>
      <x:c r="BB80" s="43" t="str">
        <x:v>25</x:v>
      </x:c>
      <x:c r="BC80" s="43" t="str">
        <x:v>0.5268</x:v>
      </x:c>
      <x:c r="BD80" s="43" t="str"/>
      <x:c r="BE80" s="43" t="str">
        <x:v>0.8889</x:v>
      </x:c>
      <x:c r="BF80" s="43" t="str">
        <x:v>2.3235</x:v>
      </x:c>
      <x:c r="BG80" s="43" t="str">
        <x:v>18</x:v>
      </x:c>
      <x:c r="BH80" s="43" t="str">
        <x:v>0.5477</x:v>
      </x:c>
      <x:c r="BI80" s="43" t="str"/>
      <x:c r="BJ80" s="43" t="str">
        <x:v>Extracted all from raw data</x:v>
      </x:c>
      <x:c r="BK80" s="43" t="str"/>
      <x:c r="BL80" s="43" t="str"/>
      <x:c r="BM80" s="43" t="str"/>
      <x:c r="BN80" s="43" t="str"/>
      <x:c r="BO80" s="43" t="str"/>
      <x:c r="BP80" s="43" t="str"/>
      <x:c r="BQ80" s="43" t="str"/>
      <x:c r="BR80" s="43" t="str">
        <x:v>yes</x:v>
      </x:c>
      <x:c r="BS80" s="43" t="str"/>
      <x:c r="BT80" s="43" t="str"/>
      <x:c r="BU80" s="43" t="str"/>
      <x:c r="BV80" s="43" t="str"/>
      <x:c r="BW80" s="43" t="str">
        <x:v>0.298217</x:v>
      </x:c>
      <x:c r="BX80" s="43" t="str">
        <x:v>SD / sqrt(n), using the same-sex subgroup in author raw data</x:v>
      </x:c>
      <x:c r="BY80" s="43" t="str">
        <x:v>included_studies/abramova_2021_front/abramova_2021_front.xlsx, Лист1, handling=No handling</x:v>
      </x:c>
      <x:c r="BZ80" s="43" t="str"/>
      <x:c r="CA80" s="43" t="str">
        <x:v>0.547654</x:v>
      </x:c>
      <x:c r="CB80" s="43" t="str">
        <x:v>SD / sqrt(n), using the same-sex subgroup in author raw data</x:v>
      </x:c>
      <x:c r="CC80" s="43" t="str">
        <x:v>included_studies/abramova_2021_front/abramova_2021_front.xlsx, Лист1, handling=No handling</x:v>
      </x:c>
      <x:c r="CD80" s="43" t="str">
        <x:v>Corrected transcription</x:v>
      </x:c>
      <x:c r="CE80" s="43" t="str">
        <x:v>6 – Abramova 2021 same-sex controls</x:v>
      </x:c>
      <x:c r="CF80" s="43" t="str">
        <x:v>Use the males control subgroup matching offspring_sex. | Recalculate the control mean from the same-sex author raw subgroup (center_num). | Recalculate the control SD from the same-sex author raw subgroup (center_num). | All summaries in this package are calculated from the saved author workbook. | Use the stable path to the saved author workbook.</x:v>
      </x:c>
    </x:row>
    <x:row r="81">
      <x:c r="A81" s="43" t="str">
        <x:v>81</x:v>
      </x:c>
      <x:c r="B81" s="43" t="str">
        <x:v>abramova_2021_front</x:v>
      </x:c>
      <x:c r="C81" s="43" t="str">
        <x:v>ex018</x:v>
      </x:c>
      <x:c r="D81" s="43" t="str">
        <x:v>con014</x:v>
      </x:c>
      <x:c r="E81" s="43" t="str">
        <x:v>out045</x:v>
      </x:c>
      <x:c r="F81" s="43" t="str">
        <x:v>es080</x:v>
      </x:c>
      <x:c r="G81" s="43" t="str">
        <x:v>Yes</x:v>
      </x:c>
      <x:c r="H81" s="43" t="str">
        <x:v>One control female, one male and one experimental female and one male</x:v>
      </x:c>
      <x:c r="I81" s="43" t="str">
        <x:v>The Behavior and Postnatal Development in Infant and Juvenile Rats After Ultrasound-Induced Chronic Prenatal Stress</x:v>
      </x:c>
      <x:c r="J81" s="43" t="str">
        <x:v>10.3389/fphys.2021.659366</x:v>
      </x:c>
      <x:c r="K81" s="43" t="str">
        <x:v>Frontiers in Physiology</x:v>
      </x:c>
      <x:c r="L81" s="43" t="str"/>
      <x:c r="M81" s="43" t="str">
        <x:v>Rattus norvegicus</x:v>
      </x:c>
      <x:c r="N81" s="43" t="str">
        <x:v>albino rat</x:v>
      </x:c>
      <x:c r="O81" s="43" t="str">
        <x:v>Wistar rat</x:v>
      </x:c>
      <x:c r="P81" s="43" t="str"/>
      <x:c r="Q81" s="43" t="str">
        <x:v>not reported</x:v>
      </x:c>
      <x:c r="R81" s="43" t="str">
        <x:v>early, mid, late</x:v>
      </x:c>
      <x:c r="S81" s="43" t="str">
        <x:v>3 weeks</x:v>
      </x:c>
      <x:c r="T81" s="43" t="str">
        <x:v>21</x:v>
      </x:c>
      <x:c r="U81" s="43" t="str">
        <x:v>Continuous</x:v>
      </x:c>
      <x:c r="V81" s="43" t="str">
        <x:v>24.0</x:v>
      </x:c>
      <x:c r="W81" s="43" t="str">
        <x:v>Expossed to continuous variable frequencies </x:v>
      </x:c>
      <x:c r="X81" s="43" t="str">
        <x:v>Ultrasound</x:v>
      </x:c>
      <x:c r="Y81" s="43" t="str">
        <x:v>Ultrasound</x:v>
      </x:c>
      <x:c r="Z81" s="43" t="str">
        <x:v>50</x:v>
      </x:c>
      <x:c r="AA81" s="43" t="str">
        <x:v>20,000-45,000</x:v>
      </x:c>
      <x:c r="AB81" s="43" t="str">
        <x:v>Ambient sound</x:v>
      </x:c>
      <x:c r="AC81" s="43" t="str"/>
      <x:c r="AD81" s="43" t="str">
        <x:v>"normal conditions without ultrasound"</x:v>
      </x:c>
      <x:c r="AE81" s="43" t="str">
        <x:v>female</x:v>
      </x:c>
      <x:c r="AF81" s="43" t="str">
        <x:v>20</x:v>
      </x:c>
      <x:c r="AG81" s="43" t="str"/>
      <x:c r="AH81" s="43" t="str">
        <x:v>none</x:v>
      </x:c>
      <x:c r="AI81" s="43" t="str"/>
      <x:c r="AJ81" s="43" t="str">
        <x:v>Axiety</x:v>
      </x:c>
      <x:c r="AK81" s="43" t="str">
        <x:v>Open Field Test (OFT)</x:v>
      </x:c>
      <x:c r="AL81" s="43" t="str"/>
      <x:c r="AM81" s="43" t="str">
        <x:v>Time in central square</x:v>
      </x:c>
      <x:c r="AN81" s="43" t="str">
        <x:v>Time</x:v>
      </x:c>
      <x:c r="AO81" s="43" t="str">
        <x:v>s</x:v>
      </x:c>
      <x:c r="AP81" s="43" t="str">
        <x:v>Light phase</x:v>
      </x:c>
      <x:c r="AQ81" s="43" t="str">
        <x:v>Author raw data</x:v>
      </x:c>
      <x:c r="AR81" s="43" t="str">
        <x:v>included_studies/abramova_2021_front/abramova_2021_front.xlsx</x:v>
      </x:c>
      <x:c r="AS81" s="43" t="str">
        <x:v>C_f_centt</x:v>
      </x:c>
      <x:c r="AT81" s="43" t="str">
        <x:v>PS_f_centt</x:v>
      </x:c>
      <x:c r="AU81" s="43" t="str">
        <x:v>C_PS_f_centt</x:v>
      </x:c>
      <x:c r="AV81" s="43" t="str">
        <x:v>Independent</x:v>
      </x:c>
      <x:c r="AW81" s="43" t="str">
        <x:v>Yes</x:v>
      </x:c>
      <x:c r="AX81" s="43" t="str">
        <x:v>Negative</x:v>
      </x:c>
      <x:c r="AY81" s="43" t="str"/>
      <x:c r="AZ81" s="43" t="str">
        <x:v>5.176957</x:v>
      </x:c>
      <x:c r="BA81" s="43" t="str">
        <x:v>6.837676</x:v>
      </x:c>
      <x:c r="BB81" s="43" t="str">
        <x:v>23</x:v>
      </x:c>
      <x:c r="BC81" s="43" t="str">
        <x:v>0.678</x:v>
      </x:c>
      <x:c r="BD81" s="43" t="str"/>
      <x:c r="BE81" s="43" t="str">
        <x:v>2.9368</x:v>
      </x:c>
      <x:c r="BF81" s="43" t="str">
        <x:v>5.119</x:v>
      </x:c>
      <x:c r="BG81" s="43" t="str">
        <x:v>19</x:v>
      </x:c>
      <x:c r="BH81" s="43" t="str">
        <x:v>1.1744</x:v>
      </x:c>
      <x:c r="BI81" s="43" t="str"/>
      <x:c r="BJ81" s="43" t="str">
        <x:v>Extracted all from raw data</x:v>
      </x:c>
      <x:c r="BK81" s="43" t="str"/>
      <x:c r="BL81" s="43" t="str"/>
      <x:c r="BM81" s="43" t="str"/>
      <x:c r="BN81" s="43" t="str"/>
      <x:c r="BO81" s="43" t="str"/>
      <x:c r="BP81" s="43" t="str"/>
      <x:c r="BQ81" s="43" t="str"/>
      <x:c r="BR81" s="43" t="str">
        <x:v>yes</x:v>
      </x:c>
      <x:c r="BS81" s="43" t="str"/>
      <x:c r="BT81" s="43" t="str"/>
      <x:c r="BU81" s="43" t="str"/>
      <x:c r="BV81" s="43" t="str"/>
      <x:c r="BW81" s="43" t="str">
        <x:v>1.425754</x:v>
      </x:c>
      <x:c r="BX81" s="43" t="str">
        <x:v>SD / sqrt(n), using the same-sex subgroup in author raw data</x:v>
      </x:c>
      <x:c r="BY81" s="43" t="str">
        <x:v>included_studies/abramova_2021_front/abramova_2021_front.xlsx, Лист1, handling=No handling</x:v>
      </x:c>
      <x:c r="BZ81" s="43" t="str"/>
      <x:c r="CA81" s="43" t="str">
        <x:v>1.174379</x:v>
      </x:c>
      <x:c r="CB81" s="43" t="str">
        <x:v>SD / sqrt(n), using the same-sex subgroup in author raw data</x:v>
      </x:c>
      <x:c r="CC81" s="43" t="str">
        <x:v>included_studies/abramova_2021_front/abramova_2021_front.xlsx, Лист1, handling=No handling</x:v>
      </x:c>
      <x:c r="CD81" s="43" t="str">
        <x:v>Corrected transcription</x:v>
      </x:c>
      <x:c r="CE81" s="43" t="str">
        <x:v>6 – Abramova 2021 same-sex controls</x:v>
      </x:c>
      <x:c r="CF81" s="43" t="str">
        <x:v>Use the females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row>
    <x:row r="82">
      <x:c r="A82" s="43" t="str">
        <x:v>82</x:v>
      </x:c>
      <x:c r="B82" s="43" t="str">
        <x:v>abramova_2021_front</x:v>
      </x:c>
      <x:c r="C82" s="43" t="str">
        <x:v>ex019</x:v>
      </x:c>
      <x:c r="D82" s="43" t="str">
        <x:v>con015</x:v>
      </x:c>
      <x:c r="E82" s="43" t="str">
        <x:v>out045</x:v>
      </x:c>
      <x:c r="F82" s="43" t="str">
        <x:v>es081</x:v>
      </x:c>
      <x:c r="G82" s="43" t="str">
        <x:v>Yes</x:v>
      </x:c>
      <x:c r="H82" s="43" t="str">
        <x:v>One control female, one male and one experimental female and one male</x:v>
      </x:c>
      <x:c r="I82" s="43" t="str">
        <x:v>The Behavior and Postnatal Development in Infant and Juvenile Rats After Ultrasound-Induced Chronic Prenatal Stress</x:v>
      </x:c>
      <x:c r="J82" s="43" t="str">
        <x:v>10.3389/fphys.2021.659366</x:v>
      </x:c>
      <x:c r="K82" s="43" t="str">
        <x:v>Frontiers in Physiology</x:v>
      </x:c>
      <x:c r="L82" s="43" t="str"/>
      <x:c r="M82" s="43" t="str">
        <x:v>Rattus norvegicus</x:v>
      </x:c>
      <x:c r="N82" s="43" t="str">
        <x:v>albino rat</x:v>
      </x:c>
      <x:c r="O82" s="43" t="str">
        <x:v>Wistar rat</x:v>
      </x:c>
      <x:c r="P82" s="43" t="str"/>
      <x:c r="Q82" s="43" t="str">
        <x:v>not reported</x:v>
      </x:c>
      <x:c r="R82" s="43" t="str">
        <x:v>early, mid, late</x:v>
      </x:c>
      <x:c r="S82" s="43" t="str">
        <x:v>3 weeks</x:v>
      </x:c>
      <x:c r="T82" s="43" t="str">
        <x:v>21</x:v>
      </x:c>
      <x:c r="U82" s="43" t="str">
        <x:v>Continuous</x:v>
      </x:c>
      <x:c r="V82" s="43" t="str">
        <x:v>24.0</x:v>
      </x:c>
      <x:c r="W82" s="43" t="str">
        <x:v>Expossed to continuous variable frequencies </x:v>
      </x:c>
      <x:c r="X82" s="43" t="str">
        <x:v>Ultrasound</x:v>
      </x:c>
      <x:c r="Y82" s="43" t="str">
        <x:v>Ultrasound</x:v>
      </x:c>
      <x:c r="Z82" s="43" t="str">
        <x:v>50</x:v>
      </x:c>
      <x:c r="AA82" s="43" t="str">
        <x:v>20,000-45,000</x:v>
      </x:c>
      <x:c r="AB82" s="43" t="str">
        <x:v>Ambient sound</x:v>
      </x:c>
      <x:c r="AC82" s="43" t="str"/>
      <x:c r="AD82" s="43" t="str">
        <x:v>"normal conditions without ultrasound"</x:v>
      </x:c>
      <x:c r="AE82" s="43" t="str">
        <x:v>male</x:v>
      </x:c>
      <x:c r="AF82" s="43" t="str">
        <x:v>20</x:v>
      </x:c>
      <x:c r="AG82" s="43" t="str"/>
      <x:c r="AH82" s="43" t="str">
        <x:v>none</x:v>
      </x:c>
      <x:c r="AI82" s="43" t="str"/>
      <x:c r="AJ82" s="43" t="str">
        <x:v>Axiety</x:v>
      </x:c>
      <x:c r="AK82" s="43" t="str">
        <x:v>Open Field Test (OFT)</x:v>
      </x:c>
      <x:c r="AL82" s="43" t="str"/>
      <x:c r="AM82" s="43" t="str">
        <x:v>Time in central square</x:v>
      </x:c>
      <x:c r="AN82" s="43" t="str">
        <x:v>Time</x:v>
      </x:c>
      <x:c r="AO82" s="43" t="str">
        <x:v>s</x:v>
      </x:c>
      <x:c r="AP82" s="43" t="str">
        <x:v>Light phase</x:v>
      </x:c>
      <x:c r="AQ82" s="43" t="str">
        <x:v>Author raw data</x:v>
      </x:c>
      <x:c r="AR82" s="43" t="str">
        <x:v>included_studies/abramova_2021_front/abramova_2021_front.xlsx</x:v>
      </x:c>
      <x:c r="AS82" s="43" t="str">
        <x:v>C_m_centt</x:v>
      </x:c>
      <x:c r="AT82" s="43" t="str">
        <x:v>PS_m_centt</x:v>
      </x:c>
      <x:c r="AU82" s="43" t="str">
        <x:v>C_PS_m_centt</x:v>
      </x:c>
      <x:c r="AV82" s="43" t="str">
        <x:v>Independent</x:v>
      </x:c>
      <x:c r="AW82" s="43" t="str">
        <x:v>Yes</x:v>
      </x:c>
      <x:c r="AX82" s="43" t="str">
        <x:v>Negative</x:v>
      </x:c>
      <x:c r="AY82" s="43" t="str"/>
      <x:c r="AZ82" s="43" t="str">
        <x:v>2.0964</x:v>
      </x:c>
      <x:c r="BA82" s="43" t="str">
        <x:v>3.390067</x:v>
      </x:c>
      <x:c r="BB82" s="43" t="str">
        <x:v>25</x:v>
      </x:c>
      <x:c r="BC82" s="43" t="str">
        <x:v>1.4258</x:v>
      </x:c>
      <x:c r="BD82" s="43" t="str"/>
      <x:c r="BE82" s="43" t="str">
        <x:v>0.7739</x:v>
      </x:c>
      <x:c r="BF82" s="43" t="str">
        <x:v>2.1925</x:v>
      </x:c>
      <x:c r="BG82" s="43" t="str">
        <x:v>18</x:v>
      </x:c>
      <x:c r="BH82" s="43" t="str">
        <x:v>0.5168</x:v>
      </x:c>
      <x:c r="BI82" s="43" t="str"/>
      <x:c r="BJ82" s="43" t="str">
        <x:v>Extracted all from raw data</x:v>
      </x:c>
      <x:c r="BK82" s="43" t="str"/>
      <x:c r="BL82" s="43" t="str"/>
      <x:c r="BM82" s="43" t="str"/>
      <x:c r="BN82" s="43" t="str"/>
      <x:c r="BO82" s="43" t="str"/>
      <x:c r="BP82" s="43" t="str"/>
      <x:c r="BQ82" s="43" t="str"/>
      <x:c r="BR82" s="43" t="str">
        <x:v>yes</x:v>
      </x:c>
      <x:c r="BS82" s="43" t="str"/>
      <x:c r="BT82" s="43" t="str"/>
      <x:c r="BU82" s="43" t="str"/>
      <x:c r="BV82" s="43" t="str"/>
      <x:c r="BW82" s="43" t="str">
        <x:v>0.678013</x:v>
      </x:c>
      <x:c r="BX82" s="43" t="str">
        <x:v>SD / sqrt(n), using the same-sex subgroup in author raw data</x:v>
      </x:c>
      <x:c r="BY82" s="43" t="str">
        <x:v>included_studies/abramova_2021_front/abramova_2021_front.xlsx, Лист1, handling=No handling</x:v>
      </x:c>
      <x:c r="BZ82" s="43" t="str"/>
      <x:c r="CA82" s="43" t="str">
        <x:v>0.516777</x:v>
      </x:c>
      <x:c r="CB82" s="43" t="str">
        <x:v>SD / sqrt(n), using the same-sex subgroup in author raw data</x:v>
      </x:c>
      <x:c r="CC82" s="43" t="str">
        <x:v>included_studies/abramova_2021_front/abramova_2021_front.xlsx, Лист1, handling=No handling</x:v>
      </x:c>
      <x:c r="CD82" s="43" t="str">
        <x:v>Corrected transcription</x:v>
      </x:c>
      <x:c r="CE82" s="43" t="str">
        <x:v>6 – Abramova 2021 same-sex controls</x:v>
      </x:c>
      <x:c r="CF82" s="43" t="str">
        <x:v>Use the males control subgroup matching offspring_sex. | Recalculate the control mean from the same-sex author raw subgroup (center_totalTime). | Recalculate the control SD from the same-sex author raw subgroup (center_totalTime). | All summaries in this package are calculated from the saved author workbook. | Use the stable path to the saved author workbook. | The author raw variable center_totalTime is a duration, not a count. | Open-field durations are recorded in seconds.</x:v>
      </x:c>
    </x:row>
    <x:row r="83">
      <x:c r="A83" s="43" t="str">
        <x:v>83</x:v>
      </x:c>
      <x:c r="B83" s="43" t="str">
        <x:v>abramova_2021_front</x:v>
      </x:c>
      <x:c r="C83" s="43" t="str">
        <x:v>ex018</x:v>
      </x:c>
      <x:c r="D83" s="43" t="str">
        <x:v>con014</x:v>
      </x:c>
      <x:c r="E83" s="43" t="str">
        <x:v>out046</x:v>
      </x:c>
      <x:c r="F83" s="43" t="str">
        <x:v>es082</x:v>
      </x:c>
      <x:c r="G83" s="43" t="str">
        <x:v>Yes</x:v>
      </x:c>
      <x:c r="H83" s="43" t="str">
        <x:v>One control female, one male and one experimental female and one male</x:v>
      </x:c>
      <x:c r="I83" s="43" t="str">
        <x:v>The Behavior and Postnatal Development in Infant and Juvenile Rats After Ultrasound-Induced Chronic Prenatal Stress</x:v>
      </x:c>
      <x:c r="J83" s="43" t="str">
        <x:v>10.3389/fphys.2021.659366</x:v>
      </x:c>
      <x:c r="K83" s="43" t="str">
        <x:v>Frontiers in Physiology</x:v>
      </x:c>
      <x:c r="L83" s="43" t="str"/>
      <x:c r="M83" s="43" t="str">
        <x:v>Rattus norvegicus</x:v>
      </x:c>
      <x:c r="N83" s="43" t="str">
        <x:v>albino rat</x:v>
      </x:c>
      <x:c r="O83" s="43" t="str">
        <x:v>Wistar rat</x:v>
      </x:c>
      <x:c r="P83" s="43" t="str"/>
      <x:c r="Q83" s="43" t="str">
        <x:v>not reported</x:v>
      </x:c>
      <x:c r="R83" s="43" t="str">
        <x:v>early, mid, late</x:v>
      </x:c>
      <x:c r="S83" s="43" t="str">
        <x:v>3 weeks</x:v>
      </x:c>
      <x:c r="T83" s="43" t="str">
        <x:v>21</x:v>
      </x:c>
      <x:c r="U83" s="43" t="str">
        <x:v>Continuous</x:v>
      </x:c>
      <x:c r="V83" s="43" t="str">
        <x:v>24.0</x:v>
      </x:c>
      <x:c r="W83" s="43" t="str">
        <x:v>Expossed to continuous variable frequencies </x:v>
      </x:c>
      <x:c r="X83" s="43" t="str">
        <x:v>Ultrasound</x:v>
      </x:c>
      <x:c r="Y83" s="43" t="str">
        <x:v>Ultrasound</x:v>
      </x:c>
      <x:c r="Z83" s="43" t="str">
        <x:v>50</x:v>
      </x:c>
      <x:c r="AA83" s="43" t="str">
        <x:v>20,000-45,000</x:v>
      </x:c>
      <x:c r="AB83" s="43" t="str">
        <x:v>Ambient sound</x:v>
      </x:c>
      <x:c r="AC83" s="43" t="str"/>
      <x:c r="AD83" s="43" t="str">
        <x:v>"normal conditions without ultrasound"</x:v>
      </x:c>
      <x:c r="AE83" s="43" t="str">
        <x:v>female</x:v>
      </x:c>
      <x:c r="AF83" s="43" t="str">
        <x:v>20</x:v>
      </x:c>
      <x:c r="AG83" s="43" t="str"/>
      <x:c r="AH83" s="43" t="str">
        <x:v>none</x:v>
      </x:c>
      <x:c r="AI83" s="43" t="str"/>
      <x:c r="AJ83" s="43" t="str">
        <x:v>Axiety</x:v>
      </x:c>
      <x:c r="AK83" s="43" t="str">
        <x:v>Open Field Test (OFT)</x:v>
      </x:c>
      <x:c r="AL83" s="43" t="str"/>
      <x:c r="AM83" s="43" t="str">
        <x:v>Grooming frequency</x:v>
      </x:c>
      <x:c r="AN83" s="43" t="str">
        <x:v>Count</x:v>
      </x:c>
      <x:c r="AO83" s="43" t="str">
        <x:v>Count</x:v>
      </x:c>
      <x:c r="AP83" s="43" t="str">
        <x:v>Light phase</x:v>
      </x:c>
      <x:c r="AQ83" s="43" t="str">
        <x:v>Author raw data</x:v>
      </x:c>
      <x:c r="AR83" s="43" t="str">
        <x:v>included_studies/abramova_2021_front/abramova_2021_front.xlsx</x:v>
      </x:c>
      <x:c r="AS83" s="43" t="str">
        <x:v>C_f_gfr</x:v>
      </x:c>
      <x:c r="AT83" s="43" t="str">
        <x:v>PS_f_gfr</x:v>
      </x:c>
      <x:c r="AU83" s="43" t="str">
        <x:v>C_PS_f_gfr</x:v>
      </x:c>
      <x:c r="AV83" s="43" t="str">
        <x:v>Independent</x:v>
      </x:c>
      <x:c r="AW83" s="43" t="str">
        <x:v>No</x:v>
      </x:c>
      <x:c r="AX83" s="43" t="str">
        <x:v>Positive</x:v>
      </x:c>
      <x:c r="AY83" s="43" t="str"/>
      <x:c r="AZ83" s="43" t="str">
        <x:v>2.652174</x:v>
      </x:c>
      <x:c r="BA83" s="43" t="str">
        <x:v>1.465007</x:v>
      </x:c>
      <x:c r="BB83" s="43" t="str">
        <x:v>23</x:v>
      </x:c>
      <x:c r="BC83" s="43" t="str">
        <x:v>0.3331</x:v>
      </x:c>
      <x:c r="BD83" s="43" t="str"/>
      <x:c r="BE83" s="43" t="str">
        <x:v>2.7895</x:v>
      </x:c>
      <x:c r="BF83" s="43" t="str">
        <x:v>1.782</x:v>
      </x:c>
      <x:c r="BG83" s="43" t="str">
        <x:v>19</x:v>
      </x:c>
      <x:c r="BH83" s="43" t="str">
        <x:v>0.4088</x:v>
      </x:c>
      <x:c r="BI83" s="43" t="str"/>
      <x:c r="BJ83" s="43" t="str">
        <x:v>Extracted all from raw data</x:v>
      </x:c>
      <x:c r="BK83" s="43" t="str"/>
      <x:c r="BL83" s="43" t="str"/>
      <x:c r="BM83" s="43" t="str"/>
      <x:c r="BN83" s="43" t="str"/>
      <x:c r="BO83" s="43" t="str"/>
      <x:c r="BP83" s="43" t="str"/>
      <x:c r="BQ83" s="43" t="str"/>
      <x:c r="BR83" s="43" t="str">
        <x:v>yes</x:v>
      </x:c>
      <x:c r="BS83" s="43" t="str"/>
      <x:c r="BT83" s="43" t="str"/>
      <x:c r="BU83" s="43" t="str"/>
      <x:c r="BV83" s="43" t="str"/>
      <x:c r="BW83" s="43" t="str">
        <x:v>0.305475</x:v>
      </x:c>
      <x:c r="BX83" s="43" t="str">
        <x:v>SD / sqrt(n), using the same-sex subgroup in author raw data</x:v>
      </x:c>
      <x:c r="BY83" s="43" t="str">
        <x:v>included_studies/abramova_2021_front/abramova_2021_front.xlsx, Лист1, handling=No handling</x:v>
      </x:c>
      <x:c r="BZ83" s="43" t="str"/>
      <x:c r="CA83" s="43" t="str">
        <x:v>0.408819</x:v>
      </x:c>
      <x:c r="CB83" s="43" t="str">
        <x:v>SD / sqrt(n), using the same-sex subgroup in author raw data</x:v>
      </x:c>
      <x:c r="CC83" s="43" t="str">
        <x:v>included_studies/abramova_2021_front/abramova_2021_front.xlsx, Лист1, handling=No handling</x:v>
      </x:c>
      <x:c r="CD83" s="43" t="str">
        <x:v>Corrected transcription</x:v>
      </x:c>
      <x:c r="CE83" s="43" t="str">
        <x:v>6 – Abramova 2021 same-sex controls</x:v>
      </x:c>
      <x:c r="CF83" s="43" t="str">
        <x:v>Use the females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row>
    <x:row r="84">
      <x:c r="A84" s="43" t="str">
        <x:v>84</x:v>
      </x:c>
      <x:c r="B84" s="43" t="str">
        <x:v>abramova_2021_front</x:v>
      </x:c>
      <x:c r="C84" s="43" t="str">
        <x:v>ex019</x:v>
      </x:c>
      <x:c r="D84" s="43" t="str">
        <x:v>con015</x:v>
      </x:c>
      <x:c r="E84" s="43" t="str">
        <x:v>out046</x:v>
      </x:c>
      <x:c r="F84" s="43" t="str">
        <x:v>es083</x:v>
      </x:c>
      <x:c r="G84" s="43" t="str">
        <x:v>Yes</x:v>
      </x:c>
      <x:c r="H84" s="43" t="str">
        <x:v>One control female, one male and one experimental female and one male</x:v>
      </x:c>
      <x:c r="I84" s="43" t="str">
        <x:v>The Behavior and Postnatal Development in Infant and Juvenile Rats After Ultrasound-Induced Chronic Prenatal Stress</x:v>
      </x:c>
      <x:c r="J84" s="43" t="str">
        <x:v>10.3389/fphys.2021.659366</x:v>
      </x:c>
      <x:c r="K84" s="43" t="str">
        <x:v>Frontiers in Physiology</x:v>
      </x:c>
      <x:c r="L84" s="43" t="str"/>
      <x:c r="M84" s="43" t="str">
        <x:v>Rattus norvegicus</x:v>
      </x:c>
      <x:c r="N84" s="43" t="str">
        <x:v>albino rat</x:v>
      </x:c>
      <x:c r="O84" s="43" t="str">
        <x:v>Wistar rat</x:v>
      </x:c>
      <x:c r="P84" s="43" t="str"/>
      <x:c r="Q84" s="43" t="str">
        <x:v>not reported</x:v>
      </x:c>
      <x:c r="R84" s="43" t="str">
        <x:v>early, mid, late</x:v>
      </x:c>
      <x:c r="S84" s="43" t="str">
        <x:v>3 weeks</x:v>
      </x:c>
      <x:c r="T84" s="43" t="str">
        <x:v>21</x:v>
      </x:c>
      <x:c r="U84" s="43" t="str">
        <x:v>Continuous</x:v>
      </x:c>
      <x:c r="V84" s="43" t="str">
        <x:v>24.0</x:v>
      </x:c>
      <x:c r="W84" s="43" t="str">
        <x:v>Expossed to continuous variable frequencies </x:v>
      </x:c>
      <x:c r="X84" s="43" t="str">
        <x:v>Ultrasound</x:v>
      </x:c>
      <x:c r="Y84" s="43" t="str">
        <x:v>Ultrasound</x:v>
      </x:c>
      <x:c r="Z84" s="43" t="str">
        <x:v>50</x:v>
      </x:c>
      <x:c r="AA84" s="43" t="str">
        <x:v>20,000-45,000</x:v>
      </x:c>
      <x:c r="AB84" s="43" t="str">
        <x:v>Ambient sound</x:v>
      </x:c>
      <x:c r="AC84" s="43" t="str"/>
      <x:c r="AD84" s="43" t="str">
        <x:v>"normal conditions without ultrasound"</x:v>
      </x:c>
      <x:c r="AE84" s="43" t="str">
        <x:v>male</x:v>
      </x:c>
      <x:c r="AF84" s="43" t="str">
        <x:v>20</x:v>
      </x:c>
      <x:c r="AG84" s="43" t="str"/>
      <x:c r="AH84" s="43" t="str">
        <x:v>none</x:v>
      </x:c>
      <x:c r="AI84" s="43" t="str"/>
      <x:c r="AJ84" s="43" t="str">
        <x:v>Axiety</x:v>
      </x:c>
      <x:c r="AK84" s="43" t="str">
        <x:v>Open Field Test (OFT)</x:v>
      </x:c>
      <x:c r="AL84" s="43" t="str"/>
      <x:c r="AM84" s="43" t="str">
        <x:v>Grooming frequency</x:v>
      </x:c>
      <x:c r="AN84" s="43" t="str">
        <x:v>Count</x:v>
      </x:c>
      <x:c r="AO84" s="43" t="str">
        <x:v>Count</x:v>
      </x:c>
      <x:c r="AP84" s="43" t="str">
        <x:v>Light phase</x:v>
      </x:c>
      <x:c r="AQ84" s="43" t="str">
        <x:v>Author raw data</x:v>
      </x:c>
      <x:c r="AR84" s="43" t="str">
        <x:v>included_studies/abramova_2021_front/abramova_2021_front.xlsx</x:v>
      </x:c>
      <x:c r="AS84" s="43" t="str">
        <x:v>C_m_gfr</x:v>
      </x:c>
      <x:c r="AT84" s="43" t="str">
        <x:v>PS_m_gfr</x:v>
      </x:c>
      <x:c r="AU84" s="43" t="str">
        <x:v>C_PS_m_gfr</x:v>
      </x:c>
      <x:c r="AV84" s="43" t="str">
        <x:v>Independent</x:v>
      </x:c>
      <x:c r="AW84" s="43" t="str">
        <x:v>No</x:v>
      </x:c>
      <x:c r="AX84" s="43" t="str">
        <x:v>Positive</x:v>
      </x:c>
      <x:c r="AY84" s="43" t="str"/>
      <x:c r="AZ84" s="43" t="str">
        <x:v>3.76</x:v>
      </x:c>
      <x:c r="BA84" s="43" t="str">
        <x:v>1.665333</x:v>
      </x:c>
      <x:c r="BB84" s="43" t="str">
        <x:v>25</x:v>
      </x:c>
      <x:c r="BC84" s="43" t="str">
        <x:v>0.3055</x:v>
      </x:c>
      <x:c r="BD84" s="43" t="str"/>
      <x:c r="BE84" s="43" t="str">
        <x:v>3.0</x:v>
      </x:c>
      <x:c r="BF84" s="43" t="str">
        <x:v>1.7489</x:v>
      </x:c>
      <x:c r="BG84" s="43" t="str">
        <x:v>18</x:v>
      </x:c>
      <x:c r="BH84" s="43" t="str">
        <x:v>0.4122</x:v>
      </x:c>
      <x:c r="BI84" s="43" t="str"/>
      <x:c r="BJ84" s="43" t="str">
        <x:v>Extracted all from raw data</x:v>
      </x:c>
      <x:c r="BK84" s="43" t="str"/>
      <x:c r="BL84" s="43" t="str"/>
      <x:c r="BM84" s="43" t="str"/>
      <x:c r="BN84" s="43" t="str"/>
      <x:c r="BO84" s="43" t="str"/>
      <x:c r="BP84" s="43" t="str"/>
      <x:c r="BQ84" s="43" t="str"/>
      <x:c r="BR84" s="43" t="str">
        <x:v>yes</x:v>
      </x:c>
      <x:c r="BS84" s="43" t="str"/>
      <x:c r="BT84" s="43" t="str"/>
      <x:c r="BU84" s="43" t="str"/>
      <x:c r="BV84" s="43" t="str"/>
      <x:c r="BW84" s="43" t="str">
        <x:v>0.333067</x:v>
      </x:c>
      <x:c r="BX84" s="43" t="str">
        <x:v>SD / sqrt(n), using the same-sex subgroup in author raw data</x:v>
      </x:c>
      <x:c r="BY84" s="43" t="str">
        <x:v>included_studies/abramova_2021_front/abramova_2021_front.xlsx, Лист1, handling=No handling</x:v>
      </x:c>
      <x:c r="BZ84" s="43" t="str"/>
      <x:c r="CA84" s="43" t="str">
        <x:v>0.41222</x:v>
      </x:c>
      <x:c r="CB84" s="43" t="str">
        <x:v>SD / sqrt(n), using the same-sex subgroup in author raw data</x:v>
      </x:c>
      <x:c r="CC84" s="43" t="str">
        <x:v>included_studies/abramova_2021_front/abramova_2021_front.xlsx, Лист1, handling=No handling</x:v>
      </x:c>
      <x:c r="CD84" s="43" t="str">
        <x:v>Corrected transcription</x:v>
      </x:c>
      <x:c r="CE84" s="43" t="str">
        <x:v>6 – Abramova 2021 same-sex controls</x:v>
      </x:c>
      <x:c r="CF84" s="43" t="str">
        <x:v>Use the males control subgroup matching offspring_sex. | Recalculate the control mean from the same-sex author raw subgroup (grum_number). | Recalculate the control SD from the same-sex author raw subgroup (grum_number). | All summaries in this package are calculated from the saved author workbook. | Use the stable path to the saved author workbook.</x:v>
      </x:c>
    </x:row>
    <x:row r="85">
      <x:c r="A85" s="43" t="str">
        <x:v>85</x:v>
      </x:c>
      <x:c r="B85" s="43" t="str">
        <x:v>abramova_2021_front</x:v>
      </x:c>
      <x:c r="C85" s="43" t="str">
        <x:v>ex018</x:v>
      </x:c>
      <x:c r="D85" s="43" t="str">
        <x:v>con014</x:v>
      </x:c>
      <x:c r="E85" s="43" t="str">
        <x:v>out047</x:v>
      </x:c>
      <x:c r="F85" s="43" t="str">
        <x:v>es084</x:v>
      </x:c>
      <x:c r="G85" s="43" t="str">
        <x:v>Yes</x:v>
      </x:c>
      <x:c r="H85" s="43" t="str">
        <x:v>One control female, one male and one experimental female and one male</x:v>
      </x:c>
      <x:c r="I85" s="43" t="str">
        <x:v>The Behavior and Postnatal Development in Infant and Juvenile Rats After Ultrasound-Induced Chronic Prenatal Stress</x:v>
      </x:c>
      <x:c r="J85" s="43" t="str">
        <x:v>10.3389/fphys.2021.659366</x:v>
      </x:c>
      <x:c r="K85" s="43" t="str">
        <x:v>Frontiers in Physiology</x:v>
      </x:c>
      <x:c r="L85" s="43" t="str"/>
      <x:c r="M85" s="43" t="str">
        <x:v>Rattus norvegicus</x:v>
      </x:c>
      <x:c r="N85" s="43" t="str">
        <x:v>albino rat</x:v>
      </x:c>
      <x:c r="O85" s="43" t="str">
        <x:v>Wistar rat</x:v>
      </x:c>
      <x:c r="P85" s="43" t="str"/>
      <x:c r="Q85" s="43" t="str">
        <x:v>not reported</x:v>
      </x:c>
      <x:c r="R85" s="43" t="str">
        <x:v>early, mid, late</x:v>
      </x:c>
      <x:c r="S85" s="43" t="str">
        <x:v>3 weeks</x:v>
      </x:c>
      <x:c r="T85" s="43" t="str">
        <x:v>21</x:v>
      </x:c>
      <x:c r="U85" s="43" t="str">
        <x:v>Continuous</x:v>
      </x:c>
      <x:c r="V85" s="43" t="str">
        <x:v>24.0</x:v>
      </x:c>
      <x:c r="W85" s="43" t="str">
        <x:v>Expossed to continuous variable frequencies </x:v>
      </x:c>
      <x:c r="X85" s="43" t="str">
        <x:v>Ultrasound</x:v>
      </x:c>
      <x:c r="Y85" s="43" t="str">
        <x:v>Ultrasound</x:v>
      </x:c>
      <x:c r="Z85" s="43" t="str">
        <x:v>50</x:v>
      </x:c>
      <x:c r="AA85" s="43" t="str">
        <x:v>20,000-45,000</x:v>
      </x:c>
      <x:c r="AB85" s="43" t="str">
        <x:v>Ambient sound</x:v>
      </x:c>
      <x:c r="AC85" s="43" t="str"/>
      <x:c r="AD85" s="43" t="str">
        <x:v>"normal conditions without ultrasound"</x:v>
      </x:c>
      <x:c r="AE85" s="43" t="str">
        <x:v>female</x:v>
      </x:c>
      <x:c r="AF85" s="43" t="str">
        <x:v>20</x:v>
      </x:c>
      <x:c r="AG85" s="43" t="str"/>
      <x:c r="AH85" s="43" t="str">
        <x:v>none</x:v>
      </x:c>
      <x:c r="AI85" s="43" t="str"/>
      <x:c r="AJ85" s="43" t="str">
        <x:v>Axiety</x:v>
      </x:c>
      <x:c r="AK85" s="43" t="str">
        <x:v>Open Field Test (OFT)</x:v>
      </x:c>
      <x:c r="AL85" s="43" t="str"/>
      <x:c r="AM85" s="43" t="str">
        <x:v>Total grooming time</x:v>
      </x:c>
      <x:c r="AN85" s="43" t="str">
        <x:v>Time</x:v>
      </x:c>
      <x:c r="AO85" s="43" t="str">
        <x:v>s</x:v>
      </x:c>
      <x:c r="AP85" s="43" t="str">
        <x:v>Light phase</x:v>
      </x:c>
      <x:c r="AQ85" s="43" t="str">
        <x:v>Author raw data</x:v>
      </x:c>
      <x:c r="AR85" s="43" t="str">
        <x:v>included_studies/abramova_2021_front/abramova_2021_front.xlsx</x:v>
      </x:c>
      <x:c r="AS85" s="43" t="str">
        <x:v>C_f_gtt</x:v>
      </x:c>
      <x:c r="AT85" s="43" t="str">
        <x:v>PS_f_gtt</x:v>
      </x:c>
      <x:c r="AU85" s="43" t="str">
        <x:v>C_PS_f_gtt</x:v>
      </x:c>
      <x:c r="AV85" s="43" t="str">
        <x:v>Independent</x:v>
      </x:c>
      <x:c r="AW85" s="43" t="str">
        <x:v>No</x:v>
      </x:c>
      <x:c r="AX85" s="43" t="str">
        <x:v>Positive</x:v>
      </x:c>
      <x:c r="AY85" s="43" t="str"/>
      <x:c r="AZ85" s="43" t="str">
        <x:v>16.378696</x:v>
      </x:c>
      <x:c r="BA85" s="43" t="str">
        <x:v>13.13384</x:v>
      </x:c>
      <x:c r="BB85" s="43" t="str">
        <x:v>23</x:v>
      </x:c>
      <x:c r="BC85" s="43" t="str">
        <x:v>5.0171</x:v>
      </x:c>
      <x:c r="BD85" s="43" t="str"/>
      <x:c r="BE85" s="43" t="str">
        <x:v>28.2516</x:v>
      </x:c>
      <x:c r="BF85" s="43" t="str">
        <x:v>24.6902</x:v>
      </x:c>
      <x:c r="BG85" s="43" t="str">
        <x:v>19</x:v>
      </x:c>
      <x:c r="BH85" s="43" t="str">
        <x:v>5.6643</x:v>
      </x:c>
      <x:c r="BI85" s="43" t="str"/>
      <x:c r="BJ85" s="43" t="str">
        <x:v>Extracted all from raw data</x:v>
      </x:c>
      <x:c r="BK85" s="43" t="str"/>
      <x:c r="BL85" s="43" t="str"/>
      <x:c r="BM85" s="43" t="str"/>
      <x:c r="BN85" s="43" t="str"/>
      <x:c r="BO85" s="43" t="str"/>
      <x:c r="BP85" s="43" t="str"/>
      <x:c r="BQ85" s="43" t="str"/>
      <x:c r="BR85" s="43" t="str">
        <x:v>yes</x:v>
      </x:c>
      <x:c r="BS85" s="43" t="str"/>
      <x:c r="BT85" s="43" t="str"/>
      <x:c r="BU85" s="43" t="str"/>
      <x:c r="BV85" s="43" t="str"/>
      <x:c r="BW85" s="43" t="str">
        <x:v>2.738595</x:v>
      </x:c>
      <x:c r="BX85" s="43" t="str">
        <x:v>SD / sqrt(n), using the same-sex subgroup in author raw data</x:v>
      </x:c>
      <x:c r="BY85" s="43" t="str">
        <x:v>included_studies/abramova_2021_front/abramova_2021_front.xlsx, Лист1, handling=No handling</x:v>
      </x:c>
      <x:c r="BZ85" s="43" t="str"/>
      <x:c r="CA85" s="43" t="str">
        <x:v>5.66432</x:v>
      </x:c>
      <x:c r="CB85" s="43" t="str">
        <x:v>SD / sqrt(n), using the same-sex subgroup in author raw data</x:v>
      </x:c>
      <x:c r="CC85" s="43" t="str">
        <x:v>included_studies/abramova_2021_front/abramova_2021_front.xlsx, Лист1, handling=No handling</x:v>
      </x:c>
      <x:c r="CD85" s="43" t="str">
        <x:v>Corrected transcription</x:v>
      </x:c>
      <x:c r="CE85" s="43" t="str">
        <x:v>6 – Abramova 2021 same-sex controls</x:v>
      </x:c>
      <x:c r="CF85" s="43" t="str">
        <x:v>Use the females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row>
    <x:row r="86">
      <x:c r="A86" s="43" t="str">
        <x:v>86</x:v>
      </x:c>
      <x:c r="B86" s="43" t="str">
        <x:v>abramova_2021_front</x:v>
      </x:c>
      <x:c r="C86" s="43" t="str">
        <x:v>ex019</x:v>
      </x:c>
      <x:c r="D86" s="43" t="str">
        <x:v>con015</x:v>
      </x:c>
      <x:c r="E86" s="43" t="str">
        <x:v>out047</x:v>
      </x:c>
      <x:c r="F86" s="43" t="str">
        <x:v>es085</x:v>
      </x:c>
      <x:c r="G86" s="43" t="str">
        <x:v>Yes</x:v>
      </x:c>
      <x:c r="H86" s="43" t="str">
        <x:v>One control female, one male and one experimental female and one male</x:v>
      </x:c>
      <x:c r="I86" s="43" t="str">
        <x:v>The Behavior and Postnatal Development in Infant and Juvenile Rats After Ultrasound-Induced Chronic Prenatal Stress</x:v>
      </x:c>
      <x:c r="J86" s="43" t="str">
        <x:v>10.3389/fphys.2021.659366</x:v>
      </x:c>
      <x:c r="K86" s="43" t="str">
        <x:v>Frontiers in Physiology</x:v>
      </x:c>
      <x:c r="L86" s="43" t="str"/>
      <x:c r="M86" s="43" t="str">
        <x:v>Rattus norvegicus</x:v>
      </x:c>
      <x:c r="N86" s="43" t="str">
        <x:v>albino rat</x:v>
      </x:c>
      <x:c r="O86" s="43" t="str">
        <x:v>Wistar rat</x:v>
      </x:c>
      <x:c r="P86" s="43" t="str"/>
      <x:c r="Q86" s="43" t="str">
        <x:v>not reported</x:v>
      </x:c>
      <x:c r="R86" s="43" t="str">
        <x:v>early, mid, late</x:v>
      </x:c>
      <x:c r="S86" s="43" t="str">
        <x:v>3 weeks</x:v>
      </x:c>
      <x:c r="T86" s="43" t="str">
        <x:v>21</x:v>
      </x:c>
      <x:c r="U86" s="43" t="str">
        <x:v>Continuous</x:v>
      </x:c>
      <x:c r="V86" s="43" t="str">
        <x:v>24.0</x:v>
      </x:c>
      <x:c r="W86" s="43" t="str">
        <x:v>Expossed to continuous variable frequencies </x:v>
      </x:c>
      <x:c r="X86" s="43" t="str">
        <x:v>Ultrasound</x:v>
      </x:c>
      <x:c r="Y86" s="43" t="str">
        <x:v>Ultrasound</x:v>
      </x:c>
      <x:c r="Z86" s="43" t="str">
        <x:v>50</x:v>
      </x:c>
      <x:c r="AA86" s="43" t="str">
        <x:v>20,000-45,000</x:v>
      </x:c>
      <x:c r="AB86" s="43" t="str">
        <x:v>Ambient sound</x:v>
      </x:c>
      <x:c r="AC86" s="43" t="str"/>
      <x:c r="AD86" s="43" t="str">
        <x:v>"normal conditions without ultrasound"</x:v>
      </x:c>
      <x:c r="AE86" s="43" t="str">
        <x:v>male</x:v>
      </x:c>
      <x:c r="AF86" s="43" t="str">
        <x:v>20</x:v>
      </x:c>
      <x:c r="AG86" s="43" t="str"/>
      <x:c r="AH86" s="43" t="str">
        <x:v>none</x:v>
      </x:c>
      <x:c r="AI86" s="43" t="str"/>
      <x:c r="AJ86" s="43" t="str">
        <x:v>Axiety</x:v>
      </x:c>
      <x:c r="AK86" s="43" t="str">
        <x:v>Open Field Test (OFT)</x:v>
      </x:c>
      <x:c r="AL86" s="43" t="str"/>
      <x:c r="AM86" s="43" t="str">
        <x:v>Total grooming time</x:v>
      </x:c>
      <x:c r="AN86" s="43" t="str">
        <x:v>Time</x:v>
      </x:c>
      <x:c r="AO86" s="43" t="str">
        <x:v>s</x:v>
      </x:c>
      <x:c r="AP86" s="43" t="str">
        <x:v>Light phase</x:v>
      </x:c>
      <x:c r="AQ86" s="43" t="str">
        <x:v>Author raw data</x:v>
      </x:c>
      <x:c r="AR86" s="43" t="str">
        <x:v>included_studies/abramova_2021_front/abramova_2021_front.xlsx</x:v>
      </x:c>
      <x:c r="AS86" s="43" t="str">
        <x:v>C_m_gtt</x:v>
      </x:c>
      <x:c r="AT86" s="43" t="str">
        <x:v>PS_m_gtt</x:v>
      </x:c>
      <x:c r="AU86" s="43" t="str">
        <x:v>C_PS_m_gtt</x:v>
      </x:c>
      <x:c r="AV86" s="43" t="str">
        <x:v>Independent</x:v>
      </x:c>
      <x:c r="AW86" s="43" t="str">
        <x:v>No</x:v>
      </x:c>
      <x:c r="AX86" s="43" t="str">
        <x:v>Positive</x:v>
      </x:c>
      <x:c r="AY86" s="43" t="str"/>
      <x:c r="AZ86" s="43" t="str">
        <x:v>34.048</x:v>
      </x:c>
      <x:c r="BA86" s="43" t="str">
        <x:v>25.085267</x:v>
      </x:c>
      <x:c r="BB86" s="43" t="str">
        <x:v>25</x:v>
      </x:c>
      <x:c r="BC86" s="43" t="str">
        <x:v>2.7386</x:v>
      </x:c>
      <x:c r="BD86" s="43" t="str"/>
      <x:c r="BE86" s="43" t="str">
        <x:v>24.2061</x:v>
      </x:c>
      <x:c r="BF86" s="43" t="str">
        <x:v>17.297</x:v>
      </x:c>
      <x:c r="BG86" s="43" t="str">
        <x:v>18</x:v>
      </x:c>
      <x:c r="BH86" s="43" t="str">
        <x:v>4.0769</x:v>
      </x:c>
      <x:c r="BI86" s="43" t="str"/>
      <x:c r="BJ86" s="43" t="str">
        <x:v>Extracted all from raw data</x:v>
      </x:c>
      <x:c r="BK86" s="43" t="str"/>
      <x:c r="BL86" s="43" t="str"/>
      <x:c r="BM86" s="43" t="str"/>
      <x:c r="BN86" s="43" t="str"/>
      <x:c r="BO86" s="43" t="str"/>
      <x:c r="BP86" s="43" t="str"/>
      <x:c r="BQ86" s="43" t="str"/>
      <x:c r="BR86" s="43" t="str">
        <x:v>yes</x:v>
      </x:c>
      <x:c r="BS86" s="43" t="str"/>
      <x:c r="BT86" s="43" t="str"/>
      <x:c r="BU86" s="43" t="str"/>
      <x:c r="BV86" s="43" t="str"/>
      <x:c r="BW86" s="43" t="str">
        <x:v>5.017053</x:v>
      </x:c>
      <x:c r="BX86" s="43" t="str">
        <x:v>SD / sqrt(n), using the same-sex subgroup in author raw data</x:v>
      </x:c>
      <x:c r="BY86" s="43" t="str">
        <x:v>included_studies/abramova_2021_front/abramova_2021_front.xlsx, Лист1, handling=No handling</x:v>
      </x:c>
      <x:c r="BZ86" s="43" t="str"/>
      <x:c r="CA86" s="43" t="str">
        <x:v>4.076942</x:v>
      </x:c>
      <x:c r="CB86" s="43" t="str">
        <x:v>SD / sqrt(n), using the same-sex subgroup in author raw data</x:v>
      </x:c>
      <x:c r="CC86" s="43" t="str">
        <x:v>included_studies/abramova_2021_front/abramova_2021_front.xlsx, Лист1, handling=No handling</x:v>
      </x:c>
      <x:c r="CD86" s="43" t="str">
        <x:v>Corrected transcription</x:v>
      </x:c>
      <x:c r="CE86" s="43" t="str">
        <x:v>6 – Abramova 2021 same-sex controls</x:v>
      </x:c>
      <x:c r="CF86" s="43" t="str">
        <x:v>Use the males control subgroup matching offspring_sex. | Recalculate the control mean from the same-sex author raw subgroup (grum_totalTime). | Recalculate the control SD from the same-sex author raw subgroup (grum_totalTime). | All summaries in this package are calculated from the saved author workbook. | Use the stable path to the saved author workbook.</x:v>
      </x:c>
    </x:row>
    <x:row r="87">
      <x:c r="A87" s="43" t="str">
        <x:v>87</x:v>
      </x:c>
      <x:c r="B87" s="43" t="str">
        <x:v>abramova_2021_front</x:v>
      </x:c>
      <x:c r="C87" s="43" t="str">
        <x:v>ex018</x:v>
      </x:c>
      <x:c r="D87" s="43" t="str">
        <x:v>con014</x:v>
      </x:c>
      <x:c r="E87" s="43" t="str">
        <x:v>out048</x:v>
      </x:c>
      <x:c r="F87" s="43" t="str">
        <x:v>es086</x:v>
      </x:c>
      <x:c r="G87" s="43" t="str">
        <x:v>Yes</x:v>
      </x:c>
      <x:c r="H87" s="43" t="str">
        <x:v>One control female, one male and one experimental female and one male</x:v>
      </x:c>
      <x:c r="I87" s="43" t="str">
        <x:v>The Behavior and Postnatal Development in Infant and Juvenile Rats After Ultrasound-Induced Chronic Prenatal Stress</x:v>
      </x:c>
      <x:c r="J87" s="43" t="str">
        <x:v>10.3389/fphys.2021.659366</x:v>
      </x:c>
      <x:c r="K87" s="43" t="str">
        <x:v>Frontiers in Physiology</x:v>
      </x:c>
      <x:c r="L87" s="43" t="str"/>
      <x:c r="M87" s="43" t="str">
        <x:v>Rattus norvegicus</x:v>
      </x:c>
      <x:c r="N87" s="43" t="str">
        <x:v>albino rat</x:v>
      </x:c>
      <x:c r="O87" s="43" t="str">
        <x:v>Wistar rat</x:v>
      </x:c>
      <x:c r="P87" s="43" t="str"/>
      <x:c r="Q87" s="43" t="str">
        <x:v>not reported</x:v>
      </x:c>
      <x:c r="R87" s="43" t="str">
        <x:v>early, mid, late</x:v>
      </x:c>
      <x:c r="S87" s="43" t="str">
        <x:v>3 weeks</x:v>
      </x:c>
      <x:c r="T87" s="43" t="str">
        <x:v>21</x:v>
      </x:c>
      <x:c r="U87" s="43" t="str">
        <x:v>Continuous</x:v>
      </x:c>
      <x:c r="V87" s="43" t="str">
        <x:v>24.0</x:v>
      </x:c>
      <x:c r="W87" s="43" t="str">
        <x:v>Expossed to continuous variable frequencies </x:v>
      </x:c>
      <x:c r="X87" s="43" t="str">
        <x:v>Ultrasound</x:v>
      </x:c>
      <x:c r="Y87" s="43" t="str">
        <x:v>Ultrasound</x:v>
      </x:c>
      <x:c r="Z87" s="43" t="str">
        <x:v>50</x:v>
      </x:c>
      <x:c r="AA87" s="43" t="str">
        <x:v>20,000-45,000</x:v>
      </x:c>
      <x:c r="AB87" s="43" t="str">
        <x:v>Ambient sound</x:v>
      </x:c>
      <x:c r="AC87" s="43" t="str"/>
      <x:c r="AD87" s="43" t="str">
        <x:v>"normal conditions without ultrasound"</x:v>
      </x:c>
      <x:c r="AE87" s="43" t="str">
        <x:v>female</x:v>
      </x:c>
      <x:c r="AF87" s="43" t="str">
        <x:v>20</x:v>
      </x:c>
      <x:c r="AG87" s="43" t="str"/>
      <x:c r="AH87" s="43" t="str">
        <x:v>none</x:v>
      </x:c>
      <x:c r="AI87" s="43" t="str"/>
      <x:c r="AJ87" s="43" t="str">
        <x:v>Axiety</x:v>
      </x:c>
      <x:c r="AK87" s="43" t="str">
        <x:v>Open Field Test (OFT)</x:v>
      </x:c>
      <x:c r="AL87" s="43" t="str"/>
      <x:c r="AM87" s="43" t="str">
        <x:v>Total freezing time</x:v>
      </x:c>
      <x:c r="AN87" s="43" t="str">
        <x:v>Time</x:v>
      </x:c>
      <x:c r="AO87" s="43" t="str">
        <x:v>s</x:v>
      </x:c>
      <x:c r="AP87" s="43" t="str">
        <x:v>Light phase</x:v>
      </x:c>
      <x:c r="AQ87" s="43" t="str">
        <x:v>Author raw data</x:v>
      </x:c>
      <x:c r="AR87" s="43" t="str">
        <x:v>included_studies/abramova_2021_front/abramova_2021_front.xlsx</x:v>
      </x:c>
      <x:c r="AS87" s="43" t="str">
        <x:v>C_f_frtt</x:v>
      </x:c>
      <x:c r="AT87" s="43" t="str">
        <x:v>PS_f_fr</x:v>
      </x:c>
      <x:c r="AU87" s="43" t="str">
        <x:v>C_PS_f_fr</x:v>
      </x:c>
      <x:c r="AV87" s="43" t="str">
        <x:v>Independent</x:v>
      </x:c>
      <x:c r="AW87" s="43" t="str">
        <x:v>No</x:v>
      </x:c>
      <x:c r="AX87" s="43" t="str">
        <x:v>Positive</x:v>
      </x:c>
      <x:c r="AY87" s="43" t="str"/>
      <x:c r="AZ87" s="43" t="str">
        <x:v>39.256957</x:v>
      </x:c>
      <x:c r="BA87" s="43" t="str">
        <x:v>41.727392</x:v>
      </x:c>
      <x:c r="BB87" s="43" t="str">
        <x:v>23</x:v>
      </x:c>
      <x:c r="BC87" s="43" t="str">
        <x:v>7.3276</x:v>
      </x:c>
      <x:c r="BD87" s="43" t="str"/>
      <x:c r="BE87" s="43" t="str">
        <x:v>62.3595</x:v>
      </x:c>
      <x:c r="BF87" s="43" t="str">
        <x:v>53.8477</x:v>
      </x:c>
      <x:c r="BG87" s="43" t="str">
        <x:v>19</x:v>
      </x:c>
      <x:c r="BH87" s="43" t="str">
        <x:v>12.3535</x:v>
      </x:c>
      <x:c r="BI87" s="43" t="str"/>
      <x:c r="BJ87" s="43" t="str">
        <x:v>Extracted all from raw data</x:v>
      </x:c>
      <x:c r="BK87" s="43" t="str"/>
      <x:c r="BL87" s="43" t="str"/>
      <x:c r="BM87" s="43" t="str"/>
      <x:c r="BN87" s="43" t="str"/>
      <x:c r="BO87" s="43" t="str"/>
      <x:c r="BP87" s="43" t="str"/>
      <x:c r="BQ87" s="43" t="str"/>
      <x:c r="BR87" s="43" t="str">
        <x:v>yes</x:v>
      </x:c>
      <x:c r="BS87" s="43" t="str"/>
      <x:c r="BT87" s="43" t="str"/>
      <x:c r="BU87" s="43" t="str"/>
      <x:c r="BV87" s="43" t="str"/>
      <x:c r="BW87" s="43" t="str">
        <x:v>8.700763</x:v>
      </x:c>
      <x:c r="BX87" s="43" t="str">
        <x:v>SD / sqrt(n), using the same-sex subgroup in author raw data</x:v>
      </x:c>
      <x:c r="BY87" s="43" t="str">
        <x:v>included_studies/abramova_2021_front/abramova_2021_front.xlsx, Лист1, handling=No handling</x:v>
      </x:c>
      <x:c r="BZ87" s="43" t="str"/>
      <x:c r="CA87" s="43" t="str">
        <x:v>12.35351</x:v>
      </x:c>
      <x:c r="CB87" s="43" t="str">
        <x:v>SD / sqrt(n), using the same-sex subgroup in author raw data</x:v>
      </x:c>
      <x:c r="CC87" s="43" t="str">
        <x:v>included_studies/abramova_2021_front/abramova_2021_front.xlsx, Лист1, handling=No handling</x:v>
      </x:c>
      <x:c r="CD87" s="43" t="str">
        <x:v>Corrected transcription</x:v>
      </x:c>
      <x:c r="CE87" s="43" t="str">
        <x:v>6 – Abramova 2021 same-sex controls</x:v>
      </x:c>
      <x:c r="CF87" s="43" t="str">
        <x:v>Use the females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row>
    <x:row r="88">
      <x:c r="A88" s="43" t="str">
        <x:v>88</x:v>
      </x:c>
      <x:c r="B88" s="43" t="str">
        <x:v>abramova_2021_front</x:v>
      </x:c>
      <x:c r="C88" s="43" t="str">
        <x:v>ex019</x:v>
      </x:c>
      <x:c r="D88" s="43" t="str">
        <x:v>con015</x:v>
      </x:c>
      <x:c r="E88" s="43" t="str">
        <x:v>out048</x:v>
      </x:c>
      <x:c r="F88" s="43" t="str">
        <x:v>es087</x:v>
      </x:c>
      <x:c r="G88" s="43" t="str">
        <x:v>Yes</x:v>
      </x:c>
      <x:c r="H88" s="43" t="str">
        <x:v>One control female, one male and one experimental female and one male</x:v>
      </x:c>
      <x:c r="I88" s="43" t="str">
        <x:v>The Behavior and Postnatal Development in Infant and Juvenile Rats After Ultrasound-Induced Chronic Prenatal Stress</x:v>
      </x:c>
      <x:c r="J88" s="43" t="str">
        <x:v>10.3389/fphys.2021.659366</x:v>
      </x:c>
      <x:c r="K88" s="43" t="str">
        <x:v>Frontiers in Physiology</x:v>
      </x:c>
      <x:c r="L88" s="43" t="str"/>
      <x:c r="M88" s="43" t="str">
        <x:v>Rattus norvegicus</x:v>
      </x:c>
      <x:c r="N88" s="43" t="str">
        <x:v>albino rat</x:v>
      </x:c>
      <x:c r="O88" s="43" t="str">
        <x:v>Wistar rat</x:v>
      </x:c>
      <x:c r="P88" s="43" t="str"/>
      <x:c r="Q88" s="43" t="str">
        <x:v>not reported</x:v>
      </x:c>
      <x:c r="R88" s="43" t="str">
        <x:v>early, mid, late</x:v>
      </x:c>
      <x:c r="S88" s="43" t="str">
        <x:v>3 weeks</x:v>
      </x:c>
      <x:c r="T88" s="43" t="str">
        <x:v>21</x:v>
      </x:c>
      <x:c r="U88" s="43" t="str">
        <x:v>Continuous</x:v>
      </x:c>
      <x:c r="V88" s="43" t="str">
        <x:v>24.0</x:v>
      </x:c>
      <x:c r="W88" s="43" t="str">
        <x:v>Expossed to continuous variable frequencies </x:v>
      </x:c>
      <x:c r="X88" s="43" t="str">
        <x:v>Ultrasound</x:v>
      </x:c>
      <x:c r="Y88" s="43" t="str">
        <x:v>Ultrasound</x:v>
      </x:c>
      <x:c r="Z88" s="43" t="str">
        <x:v>50</x:v>
      </x:c>
      <x:c r="AA88" s="43" t="str">
        <x:v>20,000-45,000</x:v>
      </x:c>
      <x:c r="AB88" s="43" t="str">
        <x:v>Ambient sound</x:v>
      </x:c>
      <x:c r="AC88" s="43" t="str"/>
      <x:c r="AD88" s="43" t="str">
        <x:v>"normal conditions without ultrasound"</x:v>
      </x:c>
      <x:c r="AE88" s="43" t="str">
        <x:v>male</x:v>
      </x:c>
      <x:c r="AF88" s="43" t="str">
        <x:v>20</x:v>
      </x:c>
      <x:c r="AG88" s="43" t="str"/>
      <x:c r="AH88" s="43" t="str">
        <x:v>none</x:v>
      </x:c>
      <x:c r="AI88" s="43" t="str"/>
      <x:c r="AJ88" s="43" t="str">
        <x:v>Axiety</x:v>
      </x:c>
      <x:c r="AK88" s="43" t="str">
        <x:v>Open Field Test (OFT)</x:v>
      </x:c>
      <x:c r="AL88" s="43" t="str"/>
      <x:c r="AM88" s="43" t="str">
        <x:v>Total freezing time</x:v>
      </x:c>
      <x:c r="AN88" s="43" t="str">
        <x:v>Time</x:v>
      </x:c>
      <x:c r="AO88" s="43" t="str">
        <x:v>s</x:v>
      </x:c>
      <x:c r="AP88" s="43" t="str">
        <x:v>Light phase</x:v>
      </x:c>
      <x:c r="AQ88" s="43" t="str">
        <x:v>Author raw data</x:v>
      </x:c>
      <x:c r="AR88" s="43" t="str">
        <x:v>included_studies/abramova_2021_front/abramova_2021_front.xlsx</x:v>
      </x:c>
      <x:c r="AS88" s="43" t="str">
        <x:v>C_m_ftt</x:v>
      </x:c>
      <x:c r="AT88" s="43" t="str">
        <x:v>PS_m_fr</x:v>
      </x:c>
      <x:c r="AU88" s="43" t="str">
        <x:v>C_PS_m_fr</x:v>
      </x:c>
      <x:c r="AV88" s="43" t="str">
        <x:v>Independent</x:v>
      </x:c>
      <x:c r="AW88" s="43" t="str">
        <x:v>No</x:v>
      </x:c>
      <x:c r="AX88" s="43" t="str">
        <x:v>Positive</x:v>
      </x:c>
      <x:c r="AY88" s="43" t="str"/>
      <x:c r="AZ88" s="43" t="str">
        <x:v>36.678</x:v>
      </x:c>
      <x:c r="BA88" s="43" t="str">
        <x:v>36.638022</x:v>
      </x:c>
      <x:c r="BB88" s="43" t="str">
        <x:v>25</x:v>
      </x:c>
      <x:c r="BC88" s="43" t="str">
        <x:v>8.7008</x:v>
      </x:c>
      <x:c r="BD88" s="43" t="str"/>
      <x:c r="BE88" s="43" t="str">
        <x:v>79.8783</x:v>
      </x:c>
      <x:c r="BF88" s="43" t="str">
        <x:v>55.483</x:v>
      </x:c>
      <x:c r="BG88" s="43" t="str">
        <x:v>18</x:v>
      </x:c>
      <x:c r="BH88" s="43" t="str">
        <x:v>13.0775</x:v>
      </x:c>
      <x:c r="BI88" s="43" t="str"/>
      <x:c r="BJ88" s="43" t="str">
        <x:v>Extracted all from raw data</x:v>
      </x:c>
      <x:c r="BK88" s="43" t="str"/>
      <x:c r="BL88" s="43" t="str"/>
      <x:c r="BM88" s="43" t="str"/>
      <x:c r="BN88" s="43" t="str"/>
      <x:c r="BO88" s="43" t="str"/>
      <x:c r="BP88" s="43" t="str"/>
      <x:c r="BQ88" s="43" t="str"/>
      <x:c r="BR88" s="43" t="str">
        <x:v>yes</x:v>
      </x:c>
      <x:c r="BS88" s="43" t="str"/>
      <x:c r="BT88" s="43" t="str"/>
      <x:c r="BU88" s="43" t="str"/>
      <x:c r="BV88" s="43" t="str"/>
      <x:c r="BW88" s="43" t="str">
        <x:v>7.327604</x:v>
      </x:c>
      <x:c r="BX88" s="43" t="str">
        <x:v>SD / sqrt(n), using the same-sex subgroup in author raw data</x:v>
      </x:c>
      <x:c r="BY88" s="43" t="str">
        <x:v>included_studies/abramova_2021_front/abramova_2021_front.xlsx, Лист1, handling=No handling</x:v>
      </x:c>
      <x:c r="BZ88" s="43" t="str"/>
      <x:c r="CA88" s="43" t="str">
        <x:v>13.077469</x:v>
      </x:c>
      <x:c r="CB88" s="43" t="str">
        <x:v>SD / sqrt(n), using the same-sex subgroup in author raw data</x:v>
      </x:c>
      <x:c r="CC88" s="43" t="str">
        <x:v>included_studies/abramova_2021_front/abramova_2021_front.xlsx, Лист1, handling=No handling</x:v>
      </x:c>
      <x:c r="CD88" s="43" t="str">
        <x:v>Corrected transcription</x:v>
      </x:c>
      <x:c r="CE88" s="43" t="str">
        <x:v>6 – Abramova 2021 same-sex controls</x:v>
      </x:c>
      <x:c r="CF88" s="43" t="str">
        <x:v>Use the males control subgroup matching offspring_sex. | Recalculate the control mean from the same-sex author raw subgroup (freez_totalTime). | Recalculate the control SD from the same-sex author raw subgroup (freez_totalTime). | All summaries in this package are calculated from the saved author workbook. | Use the stable path to the saved author workbook.</x:v>
      </x:c>
    </x:row>
    <x:row r="89">
      <x:c r="A89" s="43" t="str">
        <x:v>89</x:v>
      </x:c>
      <x:c r="B89" s="43" t="str">
        <x:v>badache_2017_stress</x:v>
      </x:c>
      <x:c r="C89" s="43" t="str">
        <x:v>ex020</x:v>
      </x:c>
      <x:c r="D89" s="43" t="str">
        <x:v>con016</x:v>
      </x:c>
      <x:c r="E89" s="43" t="str">
        <x:v>out049</x:v>
      </x:c>
      <x:c r="F89" s="43" t="str">
        <x:v>es088</x:v>
      </x:c>
      <x:c r="G89" s="43" t="str">
        <x:v>Yes</x:v>
      </x:c>
      <x:c r="H89" s="43" t="str">
        <x:v>One treatmentent group and one control</x:v>
      </x:c>
      <x:c r="I89" s="43" t="str">
        <x:v>Prenatal noise and restraint stress interact to alter exploratory behavior and balance in juvenile rats, and mixed stress reverses these effects</x:v>
      </x:c>
      <x:c r="J89" s="43" t="str">
        <x:v>10.1080/10253890.2017.1307962</x:v>
      </x:c>
      <x:c r="K89" s="43" t="str">
        <x:v>Stress</x:v>
      </x:c>
      <x:c r="L89" s="43" t="str"/>
      <x:c r="M89" s="43" t="str">
        <x:v>Rattus norvegicus</x:v>
      </x:c>
      <x:c r="N89" s="43" t="str">
        <x:v>albino rat</x:v>
      </x:c>
      <x:c r="O89" s="43" t="str">
        <x:v>Wistar rat</x:v>
      </x:c>
      <x:c r="P89" s="43" t="str">
        <x:v>13</x:v>
      </x:c>
      <x:c r="Q89" s="43" t="str">
        <x:v>90 days</x:v>
      </x:c>
      <x:c r="R89" s="43" t="str">
        <x:v>mid, late</x:v>
      </x:c>
      <x:c r="S89" s="43" t="str">
        <x:v>day 11-19</x:v>
      </x:c>
      <x:c r="T89" s="43" t="str">
        <x:v>9</x:v>
      </x:c>
      <x:c r="U89" s="43" t="str">
        <x:v>Intermitent</x:v>
      </x:c>
      <x:c r="V89" s="43" t="str">
        <x:v>0.05</x:v>
      </x:c>
      <x:c r="W89" s="43" t="str">
        <x:v>3 mins per day.  HELLA twintone Horn, car horn</x:v>
      </x:c>
      <x:c r="X89" s="43" t="str">
        <x:v>Traffic</x:v>
      </x:c>
      <x:c r="Y89" s="43" t="str">
        <x:v>Audible</x:v>
      </x:c>
      <x:c r="Z89" s="43" t="str">
        <x:v>110</x:v>
      </x:c>
      <x:c r="AA89" s="43" t="str">
        <x:v>500</x:v>
      </x:c>
      <x:c r="AB89" s="43" t="str">
        <x:v>Unclear</x:v>
      </x:c>
      <x:c r="AC89" s="43" t="str"/>
      <x:c r="AD89" s="43" t="str">
        <x:v>No information</x:v>
      </x:c>
      <x:c r="AE89" s="43" t="str">
        <x:v>male</x:v>
      </x:c>
      <x:c r="AF89" s="43" t="str">
        <x:v>45</x:v>
      </x:c>
      <x:c r="AG89" s="43" t="str"/>
      <x:c r="AH89" s="43" t="str">
        <x:v>none</x:v>
      </x:c>
      <x:c r="AI89" s="43" t="str"/>
      <x:c r="AJ89" s="43" t="str">
        <x:v>Anxiety</x:v>
      </x:c>
      <x:c r="AK89" s="43" t="str">
        <x:v>Open Field Test (OFT)</x:v>
      </x:c>
      <x:c r="AL89" s="43" t="str"/>
      <x:c r="AM89" s="43" t="str">
        <x:v>Time in corners</x:v>
      </x:c>
      <x:c r="AN89" s="43" t="str">
        <x:v>Time</x:v>
      </x:c>
      <x:c r="AO89" s="43" t="str">
        <x:v>s</x:v>
      </x:c>
      <x:c r="AP89" s="43" t="str">
        <x:v>Light phase</x:v>
      </x:c>
      <x:c r="AQ89" s="43" t="str">
        <x:v>Figure 5a</x:v>
      </x:c>
      <x:c r="AR89" s="43" t="str">
        <x:v>badache_2017_stress_5a</x:v>
      </x:c>
      <x:c r="AS89" s="43" t="str">
        <x:v>Cn_cor</x:v>
      </x:c>
      <x:c r="AT89" s="43" t="str">
        <x:v>Ns_cor</x:v>
      </x:c>
      <x:c r="AU89" s="43" t="str">
        <x:v>Cn_Ns_cor</x:v>
      </x:c>
      <x:c r="AV89" s="43" t="str">
        <x:v>Independent</x:v>
      </x:c>
      <x:c r="AW89" s="43" t="str">
        <x:v>No</x:v>
      </x:c>
      <x:c r="AX89" s="43" t="str">
        <x:v>Positive</x:v>
      </x:c>
      <x:c r="AY89" s="43" t="str"/>
      <x:c r="AZ89" s="43" t="str">
        <x:v>216.89</x:v>
      </x:c>
      <x:c r="BA89" s="43" t="str">
        <x:v>47.03</x:v>
      </x:c>
      <x:c r="BB89" s="43" t="str">
        <x:v>16</x:v>
      </x:c>
      <x:c r="BC89" s="43" t="str">
        <x:v>11.76</x:v>
      </x:c>
      <x:c r="BD89" s="43" t="str"/>
      <x:c r="BE89" s="43" t="str">
        <x:v>253.78</x:v>
      </x:c>
      <x:c r="BF89" s="43" t="str">
        <x:v>51.89</x:v>
      </x:c>
      <x:c r="BG89" s="43" t="str">
        <x:v>16</x:v>
      </x:c>
      <x:c r="BH89" s="43" t="str">
        <x:v>12.97</x:v>
      </x:c>
      <x:c r="BI89" s="43" t="str"/>
      <x:c r="BJ89" s="43" t="str"/>
      <x:c r="BK89" s="43" t="str"/>
      <x:c r="BL89" s="43" t="str"/>
      <x:c r="BM89" s="43" t="str"/>
      <x:c r="BN89" s="43" t="str"/>
      <x:c r="BO89" s="43" t="str"/>
      <x:c r="BP89" s="43" t="str"/>
      <x:c r="BQ89" s="43" t="str"/>
      <x:c r="BR89" s="43" t="str">
        <x:v>yes</x:v>
      </x:c>
      <x:c r="BS89" s="43" t="str"/>
      <x:c r="BT89" s="43" t="str"/>
      <x:c r="BU89" s="43" t="str">
        <x:v>I double checked MetaDigitise</x:v>
      </x:c>
      <x:c r="BV89" s="43" t="str">
        <x:v>11.76</x:v>
      </x:c>
      <x:c r="BW89" s="43" t="str">
        <x:v>11.76</x:v>
      </x:c>
      <x:c r="BX89" s="43" t="str">
        <x:v>Reported SEM; used unchanged for analysis</x:v>
      </x:c>
      <x:c r="BY89" s="43" t="str">
        <x:v>badache_2017_stress_5a; Figure 5a</x:v>
      </x:c>
      <x:c r="BZ89" s="43" t="str">
        <x:v>12.97</x:v>
      </x:c>
      <x:c r="CA89" s="43" t="str">
        <x:v>12.97</x:v>
      </x:c>
      <x:c r="CB89" s="43" t="str">
        <x:v>Reported SEM; used unchanged for analysis</x:v>
      </x:c>
      <x:c r="CC89" s="43" t="str">
        <x:v>badache_2017_stress_5a; Figure 5a</x:v>
      </x:c>
      <x:c r="CD89" s="43" t="str">
        <x:v>Verified – no change</x:v>
      </x:c>
      <x:c r="CE89" s="43" t="str"/>
      <x:c r="CF89" s="43" t="str"/>
    </x:row>
    <x:row r="90">
      <x:c r="A90" s="43" t="str">
        <x:v>90</x:v>
      </x:c>
      <x:c r="B90" s="43" t="str">
        <x:v>badache_2017_stress</x:v>
      </x:c>
      <x:c r="C90" s="43" t="str">
        <x:v>ex020</x:v>
      </x:c>
      <x:c r="D90" s="43" t="str">
        <x:v>con016</x:v>
      </x:c>
      <x:c r="E90" s="43" t="str">
        <x:v>out050</x:v>
      </x:c>
      <x:c r="F90" s="43" t="str">
        <x:v>es089</x:v>
      </x:c>
      <x:c r="G90" s="43" t="str">
        <x:v>Yes</x:v>
      </x:c>
      <x:c r="H90" s="43" t="str">
        <x:v>One treatmentent group and one control</x:v>
      </x:c>
      <x:c r="I90" s="43" t="str">
        <x:v>Prenatal noise and restraint stress interact to alter exploratory behavior and balance in juvenile rats, and mixed stress reverses these effects</x:v>
      </x:c>
      <x:c r="J90" s="43" t="str">
        <x:v>10.1080/10253890.2017.1307962</x:v>
      </x:c>
      <x:c r="K90" s="43" t="str">
        <x:v>Stress</x:v>
      </x:c>
      <x:c r="L90" s="43" t="str"/>
      <x:c r="M90" s="43" t="str">
        <x:v>Rattus norvegicus</x:v>
      </x:c>
      <x:c r="N90" s="43" t="str">
        <x:v>albino rat</x:v>
      </x:c>
      <x:c r="O90" s="43" t="str">
        <x:v>Wistar rat</x:v>
      </x:c>
      <x:c r="P90" s="43" t="str">
        <x:v>13</x:v>
      </x:c>
      <x:c r="Q90" s="43" t="str">
        <x:v>90 days</x:v>
      </x:c>
      <x:c r="R90" s="43" t="str">
        <x:v>mid, late</x:v>
      </x:c>
      <x:c r="S90" s="43" t="str">
        <x:v>day 11-19</x:v>
      </x:c>
      <x:c r="T90" s="43" t="str">
        <x:v>9</x:v>
      </x:c>
      <x:c r="U90" s="43" t="str">
        <x:v>Intermitent</x:v>
      </x:c>
      <x:c r="V90" s="43" t="str">
        <x:v>0.05</x:v>
      </x:c>
      <x:c r="W90" s="43" t="str">
        <x:v>3 mins per day.  HELLA twintone Horn, car horn</x:v>
      </x:c>
      <x:c r="X90" s="43" t="str">
        <x:v>Traffic</x:v>
      </x:c>
      <x:c r="Y90" s="43" t="str">
        <x:v>Audible</x:v>
      </x:c>
      <x:c r="Z90" s="43" t="str">
        <x:v>110</x:v>
      </x:c>
      <x:c r="AA90" s="43" t="str">
        <x:v>500</x:v>
      </x:c>
      <x:c r="AB90" s="43" t="str">
        <x:v>Unclear</x:v>
      </x:c>
      <x:c r="AC90" s="43" t="str"/>
      <x:c r="AD90" s="43" t="str">
        <x:v>No information</x:v>
      </x:c>
      <x:c r="AE90" s="43" t="str">
        <x:v>male</x:v>
      </x:c>
      <x:c r="AF90" s="43" t="str">
        <x:v>45</x:v>
      </x:c>
      <x:c r="AG90" s="43" t="str"/>
      <x:c r="AH90" s="43" t="str">
        <x:v>none</x:v>
      </x:c>
      <x:c r="AI90" s="43" t="str"/>
      <x:c r="AJ90" s="43" t="str">
        <x:v>Anxiety</x:v>
      </x:c>
      <x:c r="AK90" s="43" t="str">
        <x:v>Open Field Test (OFT)</x:v>
      </x:c>
      <x:c r="AL90" s="43" t="str"/>
      <x:c r="AM90" s="43" t="str">
        <x:v>Sections crossed</x:v>
      </x:c>
      <x:c r="AN90" s="43" t="str">
        <x:v>Count</x:v>
      </x:c>
      <x:c r="AO90" s="43" t="str">
        <x:v>Count</x:v>
      </x:c>
      <x:c r="AP90" s="43" t="str">
        <x:v>Light phase</x:v>
      </x:c>
      <x:c r="AQ90" s="43" t="str">
        <x:v>Figure 5b</x:v>
      </x:c>
      <x:c r="AR90" s="43" t="str">
        <x:v>badache_2017_stress_5b</x:v>
      </x:c>
      <x:c r="AS90" s="43" t="str">
        <x:v>Cn_sq</x:v>
      </x:c>
      <x:c r="AT90" s="43" t="str">
        <x:v>Ns_sq</x:v>
      </x:c>
      <x:c r="AU90" s="43" t="str">
        <x:v>Cn_Ns_sq</x:v>
      </x:c>
      <x:c r="AV90" s="43" t="str">
        <x:v>Independent</x:v>
      </x:c>
      <x:c r="AW90" s="43" t="str">
        <x:v>Yes</x:v>
      </x:c>
      <x:c r="AX90" s="43" t="str">
        <x:v>Negative</x:v>
      </x:c>
      <x:c r="AY90" s="43" t="str"/>
      <x:c r="AZ90" s="43" t="str">
        <x:v>70.44</x:v>
      </x:c>
      <x:c r="BA90" s="43" t="str">
        <x:v>16.15</x:v>
      </x:c>
      <x:c r="BB90" s="43" t="str">
        <x:v>16</x:v>
      </x:c>
      <x:c r="BC90" s="43" t="str">
        <x:v>4.04</x:v>
      </x:c>
      <x:c r="BD90" s="43" t="str"/>
      <x:c r="BE90" s="43" t="str">
        <x:v>45.26</x:v>
      </x:c>
      <x:c r="BF90" s="43" t="str">
        <x:v>8.92</x:v>
      </x:c>
      <x:c r="BG90" s="43" t="str">
        <x:v>16</x:v>
      </x:c>
      <x:c r="BH90" s="43" t="str">
        <x:v>2.23</x:v>
      </x:c>
      <x:c r="BI90" s="43" t="str"/>
      <x:c r="BJ90" s="43" t="str"/>
      <x:c r="BK90" s="43" t="str"/>
      <x:c r="BL90" s="43" t="str"/>
      <x:c r="BM90" s="43" t="str"/>
      <x:c r="BN90" s="43" t="str"/>
      <x:c r="BO90" s="43" t="str"/>
      <x:c r="BP90" s="43" t="str"/>
      <x:c r="BQ90" s="43" t="str"/>
      <x:c r="BR90" s="43" t="str">
        <x:v>yes</x:v>
      </x:c>
      <x:c r="BS90" s="43" t="str"/>
      <x:c r="BT90" s="43" t="str"/>
      <x:c r="BU90" s="43" t="str">
        <x:v>I double checked MetaDigitise</x:v>
      </x:c>
      <x:c r="BV90" s="43" t="str">
        <x:v>4.04</x:v>
      </x:c>
      <x:c r="BW90" s="43" t="str">
        <x:v>4.04</x:v>
      </x:c>
      <x:c r="BX90" s="43" t="str">
        <x:v>Reported SEM; used unchanged for analysis</x:v>
      </x:c>
      <x:c r="BY90" s="43" t="str">
        <x:v>badache_2017_stress_5b; Figure 5b</x:v>
      </x:c>
      <x:c r="BZ90" s="43" t="str">
        <x:v>2.23</x:v>
      </x:c>
      <x:c r="CA90" s="43" t="str">
        <x:v>2.23</x:v>
      </x:c>
      <x:c r="CB90" s="43" t="str">
        <x:v>Reported SEM; used unchanged for analysis</x:v>
      </x:c>
      <x:c r="CC90" s="43" t="str">
        <x:v>badache_2017_stress_5b; Figure 5b</x:v>
      </x:c>
      <x:c r="CD90" s="43" t="str">
        <x:v>Verified – no change</x:v>
      </x:c>
      <x:c r="CE90" s="43" t="str"/>
      <x:c r="CF90" s="43" t="str"/>
    </x:row>
    <x:row r="91">
      <x:c r="A91" s="43" t="str">
        <x:v>91</x:v>
      </x:c>
      <x:c r="B91" s="43" t="str">
        <x:v>badache_2017_stress</x:v>
      </x:c>
      <x:c r="C91" s="43" t="str">
        <x:v>ex020</x:v>
      </x:c>
      <x:c r="D91" s="43" t="str">
        <x:v>con016</x:v>
      </x:c>
      <x:c r="E91" s="43" t="str">
        <x:v>out051</x:v>
      </x:c>
      <x:c r="F91" s="43" t="str">
        <x:v>es090</x:v>
      </x:c>
      <x:c r="G91" s="43" t="str">
        <x:v>Yes</x:v>
      </x:c>
      <x:c r="H91" s="43" t="str">
        <x:v>One treatmentent group and one control</x:v>
      </x:c>
      <x:c r="I91" s="43" t="str">
        <x:v>Prenatal noise and restraint stress interact to alter exploratory behavior and balance in juvenile rats, and mixed stress reverses these effects</x:v>
      </x:c>
      <x:c r="J91" s="43" t="str">
        <x:v>10.1080/10253890.2017.1307962</x:v>
      </x:c>
      <x:c r="K91" s="43" t="str">
        <x:v>Stress</x:v>
      </x:c>
      <x:c r="L91" s="43" t="str"/>
      <x:c r="M91" s="43" t="str">
        <x:v>Rattus norvegicus</x:v>
      </x:c>
      <x:c r="N91" s="43" t="str">
        <x:v>albino rat</x:v>
      </x:c>
      <x:c r="O91" s="43" t="str">
        <x:v>Wistar rat</x:v>
      </x:c>
      <x:c r="P91" s="43" t="str">
        <x:v>13</x:v>
      </x:c>
      <x:c r="Q91" s="43" t="str">
        <x:v>90 days</x:v>
      </x:c>
      <x:c r="R91" s="43" t="str">
        <x:v>mid, late</x:v>
      </x:c>
      <x:c r="S91" s="43" t="str">
        <x:v>day 11-19</x:v>
      </x:c>
      <x:c r="T91" s="43" t="str">
        <x:v>9</x:v>
      </x:c>
      <x:c r="U91" s="43" t="str">
        <x:v>Intermitent</x:v>
      </x:c>
      <x:c r="V91" s="43" t="str">
        <x:v>0.05</x:v>
      </x:c>
      <x:c r="W91" s="43" t="str">
        <x:v>3 mins per day.  HELLA twintone Horn, car horn</x:v>
      </x:c>
      <x:c r="X91" s="43" t="str">
        <x:v>Traffic</x:v>
      </x:c>
      <x:c r="Y91" s="43" t="str">
        <x:v>Audible</x:v>
      </x:c>
      <x:c r="Z91" s="43" t="str">
        <x:v>110</x:v>
      </x:c>
      <x:c r="AA91" s="43" t="str">
        <x:v>500</x:v>
      </x:c>
      <x:c r="AB91" s="43" t="str">
        <x:v>Unclear</x:v>
      </x:c>
      <x:c r="AC91" s="43" t="str"/>
      <x:c r="AD91" s="43" t="str">
        <x:v>No information</x:v>
      </x:c>
      <x:c r="AE91" s="43" t="str">
        <x:v>male</x:v>
      </x:c>
      <x:c r="AF91" s="43" t="str">
        <x:v>45</x:v>
      </x:c>
      <x:c r="AG91" s="43" t="str"/>
      <x:c r="AH91" s="43" t="str">
        <x:v>none</x:v>
      </x:c>
      <x:c r="AI91" s="43" t="str"/>
      <x:c r="AJ91" s="43" t="str">
        <x:v>Anxiety</x:v>
      </x:c>
      <x:c r="AK91" s="43" t="str">
        <x:v>Open Field Test (OFT)</x:v>
      </x:c>
      <x:c r="AL91" s="43" t="str"/>
      <x:c r="AM91" s="43" t="str">
        <x:v>Time in central square</x:v>
      </x:c>
      <x:c r="AN91" s="43" t="str">
        <x:v>Time</x:v>
      </x:c>
      <x:c r="AO91" s="43" t="str">
        <x:v>s</x:v>
      </x:c>
      <x:c r="AP91" s="43" t="str">
        <x:v>Light phase</x:v>
      </x:c>
      <x:c r="AQ91" s="43" t="str">
        <x:v>Figure 5c</x:v>
      </x:c>
      <x:c r="AR91" s="43" t="str">
        <x:v>badache_2017_stress_5c</x:v>
      </x:c>
      <x:c r="AS91" s="43" t="str">
        <x:v>Cn_cen</x:v>
      </x:c>
      <x:c r="AT91" s="43" t="str">
        <x:v>Ns_cen</x:v>
      </x:c>
      <x:c r="AU91" s="43" t="str">
        <x:v>Cn_Ns_cen</x:v>
      </x:c>
      <x:c r="AV91" s="43" t="str">
        <x:v>Independent</x:v>
      </x:c>
      <x:c r="AW91" s="43" t="str">
        <x:v>Yes</x:v>
      </x:c>
      <x:c r="AX91" s="43" t="str">
        <x:v>Negative</x:v>
      </x:c>
      <x:c r="AY91" s="43" t="str"/>
      <x:c r="AZ91" s="43" t="str">
        <x:v>4.13</x:v>
      </x:c>
      <x:c r="BA91" s="43" t="str">
        <x:v>0.93</x:v>
      </x:c>
      <x:c r="BB91" s="43" t="str">
        <x:v>16</x:v>
      </x:c>
      <x:c r="BC91" s="43" t="str">
        <x:v>0.23</x:v>
      </x:c>
      <x:c r="BD91" s="43" t="str"/>
      <x:c r="BE91" s="43" t="str">
        <x:v>0.18</x:v>
      </x:c>
      <x:c r="BF91" s="43" t="str">
        <x:v>0.26</x:v>
      </x:c>
      <x:c r="BG91" s="43" t="str">
        <x:v>16</x:v>
      </x:c>
      <x:c r="BH91" s="43" t="str">
        <x:v>0.07</x:v>
      </x:c>
      <x:c r="BI91" s="43" t="str"/>
      <x:c r="BJ91" s="43" t="str"/>
      <x:c r="BK91" s="43" t="str"/>
      <x:c r="BL91" s="43" t="str"/>
      <x:c r="BM91" s="43" t="str"/>
      <x:c r="BN91" s="43" t="str"/>
      <x:c r="BO91" s="43" t="str"/>
      <x:c r="BP91" s="43" t="str"/>
      <x:c r="BQ91" s="43" t="str"/>
      <x:c r="BR91" s="43" t="str">
        <x:v>yes</x:v>
      </x:c>
      <x:c r="BS91" s="43" t="str"/>
      <x:c r="BT91" s="43" t="str"/>
      <x:c r="BU91" s="43" t="str">
        <x:v>I double checked MetaDigitise</x:v>
      </x:c>
      <x:c r="BV91" s="43" t="str">
        <x:v>0.23</x:v>
      </x:c>
      <x:c r="BW91" s="43" t="str">
        <x:v>0.23</x:v>
      </x:c>
      <x:c r="BX91" s="43" t="str">
        <x:v>Reported SEM; used unchanged for analysis</x:v>
      </x:c>
      <x:c r="BY91" s="43" t="str">
        <x:v>badache_2017_stress_5c; Figure 5c</x:v>
      </x:c>
      <x:c r="BZ91" s="43" t="str">
        <x:v>0.07</x:v>
      </x:c>
      <x:c r="CA91" s="43" t="str">
        <x:v>0.07</x:v>
      </x:c>
      <x:c r="CB91" s="43" t="str">
        <x:v>Reported SEM; used unchanged for analysis</x:v>
      </x:c>
      <x:c r="CC91" s="43" t="str">
        <x:v>badache_2017_stress_5c; Figure 5c</x:v>
      </x:c>
      <x:c r="CD91" s="43" t="str">
        <x:v>Verified – no change</x:v>
      </x:c>
      <x:c r="CE91" s="43" t="str"/>
      <x:c r="CF91" s="43" t="str"/>
    </x:row>
    <x:row r="92">
      <x:c r="A92" s="43" t="str">
        <x:v>92</x:v>
      </x:c>
      <x:c r="B92" s="43" t="str">
        <x:v>badache_2017_stress</x:v>
      </x:c>
      <x:c r="C92" s="43" t="str">
        <x:v>ex020</x:v>
      </x:c>
      <x:c r="D92" s="43" t="str">
        <x:v>con016</x:v>
      </x:c>
      <x:c r="E92" s="43" t="str">
        <x:v>out052</x:v>
      </x:c>
      <x:c r="F92" s="43" t="str">
        <x:v>es091</x:v>
      </x:c>
      <x:c r="G92" s="43" t="str">
        <x:v>Yes</x:v>
      </x:c>
      <x:c r="H92" s="43" t="str">
        <x:v>One treatmentent group and one control</x:v>
      </x:c>
      <x:c r="I92" s="43" t="str">
        <x:v>Prenatal noise and restraint stress interact to alter exploratory behavior and balance in juvenile rats, and mixed stress reverses these effects</x:v>
      </x:c>
      <x:c r="J92" s="43" t="str">
        <x:v>10.1080/10253890.2017.1307962</x:v>
      </x:c>
      <x:c r="K92" s="43" t="str">
        <x:v>Stress</x:v>
      </x:c>
      <x:c r="L92" s="43" t="str"/>
      <x:c r="M92" s="43" t="str">
        <x:v>Rattus norvegicus</x:v>
      </x:c>
      <x:c r="N92" s="43" t="str">
        <x:v>albino rat</x:v>
      </x:c>
      <x:c r="O92" s="43" t="str">
        <x:v>Wistar rat</x:v>
      </x:c>
      <x:c r="P92" s="43" t="str">
        <x:v>13</x:v>
      </x:c>
      <x:c r="Q92" s="43" t="str">
        <x:v>90 days</x:v>
      </x:c>
      <x:c r="R92" s="43" t="str">
        <x:v>mid, late</x:v>
      </x:c>
      <x:c r="S92" s="43" t="str">
        <x:v>day 11-19</x:v>
      </x:c>
      <x:c r="T92" s="43" t="str">
        <x:v>9</x:v>
      </x:c>
      <x:c r="U92" s="43" t="str">
        <x:v>Intermitent</x:v>
      </x:c>
      <x:c r="V92" s="43" t="str">
        <x:v>0.05</x:v>
      </x:c>
      <x:c r="W92" s="43" t="str">
        <x:v>3 mins per day.  HELLA twintone Horn, car horn</x:v>
      </x:c>
      <x:c r="X92" s="43" t="str">
        <x:v>Traffic</x:v>
      </x:c>
      <x:c r="Y92" s="43" t="str">
        <x:v>Audible</x:v>
      </x:c>
      <x:c r="Z92" s="43" t="str">
        <x:v>110</x:v>
      </x:c>
      <x:c r="AA92" s="43" t="str">
        <x:v>500</x:v>
      </x:c>
      <x:c r="AB92" s="43" t="str">
        <x:v>Unclear</x:v>
      </x:c>
      <x:c r="AC92" s="43" t="str"/>
      <x:c r="AD92" s="43" t="str">
        <x:v>No information</x:v>
      </x:c>
      <x:c r="AE92" s="43" t="str">
        <x:v>male</x:v>
      </x:c>
      <x:c r="AF92" s="43" t="str">
        <x:v>45</x:v>
      </x:c>
      <x:c r="AG92" s="43" t="str"/>
      <x:c r="AH92" s="43" t="str">
        <x:v>none</x:v>
      </x:c>
      <x:c r="AI92" s="43" t="str"/>
      <x:c r="AJ92" s="43" t="str">
        <x:v>Anxiety</x:v>
      </x:c>
      <x:c r="AK92" s="43" t="str">
        <x:v>Open Field Test (OFT)</x:v>
      </x:c>
      <x:c r="AL92" s="43" t="str"/>
      <x:c r="AM92" s="43" t="str">
        <x:v>Rearing time</x:v>
      </x:c>
      <x:c r="AN92" s="43" t="str">
        <x:v>Time</x:v>
      </x:c>
      <x:c r="AO92" s="43" t="str">
        <x:v>s</x:v>
      </x:c>
      <x:c r="AP92" s="43" t="str">
        <x:v>Light phase</x:v>
      </x:c>
      <x:c r="AQ92" s="43" t="str">
        <x:v>Figure 5d</x:v>
      </x:c>
      <x:c r="AR92" s="43" t="str">
        <x:v>badache_2017_stress_5d</x:v>
      </x:c>
      <x:c r="AS92" s="43" t="str">
        <x:v>Cn_re</x:v>
      </x:c>
      <x:c r="AT92" s="43" t="str">
        <x:v>Ns_re</x:v>
      </x:c>
      <x:c r="AU92" s="43" t="str">
        <x:v>Cn_Ns_re</x:v>
      </x:c>
      <x:c r="AV92" s="43" t="str">
        <x:v>Independent</x:v>
      </x:c>
      <x:c r="AW92" s="43" t="str">
        <x:v>Yes</x:v>
      </x:c>
      <x:c r="AX92" s="43" t="str">
        <x:v>Negative</x:v>
      </x:c>
      <x:c r="AY92" s="43" t="str"/>
      <x:c r="AZ92" s="43" t="str">
        <x:v>22.0</x:v>
      </x:c>
      <x:c r="BA92" s="43" t="str">
        <x:v>5.03</x:v>
      </x:c>
      <x:c r="BB92" s="43" t="str">
        <x:v>16</x:v>
      </x:c>
      <x:c r="BC92" s="43" t="str">
        <x:v>1.26</x:v>
      </x:c>
      <x:c r="BD92" s="43" t="str"/>
      <x:c r="BE92" s="43" t="str">
        <x:v>8.54</x:v>
      </x:c>
      <x:c r="BF92" s="43" t="str">
        <x:v>1.93</x:v>
      </x:c>
      <x:c r="BG92" s="43" t="str">
        <x:v>16</x:v>
      </x:c>
      <x:c r="BH92" s="43" t="str">
        <x:v>0.48</x:v>
      </x:c>
      <x:c r="BI92" s="43" t="str"/>
      <x:c r="BJ92" s="43" t="str"/>
      <x:c r="BK92" s="43" t="str"/>
      <x:c r="BL92" s="43" t="str"/>
      <x:c r="BM92" s="43" t="str"/>
      <x:c r="BN92" s="43" t="str"/>
      <x:c r="BO92" s="43" t="str"/>
      <x:c r="BP92" s="43" t="str"/>
      <x:c r="BQ92" s="43" t="str"/>
      <x:c r="BR92" s="43" t="str">
        <x:v>yes</x:v>
      </x:c>
      <x:c r="BS92" s="43" t="str"/>
      <x:c r="BT92" s="43" t="str"/>
      <x:c r="BU92" s="43" t="str">
        <x:v>I double checked MetaDigitise</x:v>
      </x:c>
      <x:c r="BV92" s="43" t="str">
        <x:v>1.26</x:v>
      </x:c>
      <x:c r="BW92" s="43" t="str">
        <x:v>1.26</x:v>
      </x:c>
      <x:c r="BX92" s="43" t="str">
        <x:v>Reported SEM; used unchanged for analysis</x:v>
      </x:c>
      <x:c r="BY92" s="43" t="str">
        <x:v>badache_2017_stress_5d; Figure 5d</x:v>
      </x:c>
      <x:c r="BZ92" s="43" t="str">
        <x:v>0.48</x:v>
      </x:c>
      <x:c r="CA92" s="43" t="str">
        <x:v>0.48</x:v>
      </x:c>
      <x:c r="CB92" s="43" t="str">
        <x:v>Reported SEM; used unchanged for analysis</x:v>
      </x:c>
      <x:c r="CC92" s="43" t="str">
        <x:v>badache_2017_stress_5d; Figure 5d</x:v>
      </x:c>
      <x:c r="CD92" s="43" t="str">
        <x:v>Verified – no change</x:v>
      </x:c>
      <x:c r="CE92" s="43" t="str"/>
      <x:c r="CF92" s="43" t="str"/>
    </x:row>
    <x:row r="93">
      <x:c r="A93" s="43" t="str">
        <x:v>93</x:v>
      </x:c>
      <x:c r="B93" s="43" t="str">
        <x:v>badache_2017_stress</x:v>
      </x:c>
      <x:c r="C93" s="43" t="str">
        <x:v>ex020</x:v>
      </x:c>
      <x:c r="D93" s="43" t="str">
        <x:v>con016</x:v>
      </x:c>
      <x:c r="E93" s="43" t="str">
        <x:v>out053</x:v>
      </x:c>
      <x:c r="F93" s="43" t="str">
        <x:v>es092</x:v>
      </x:c>
      <x:c r="G93" s="43" t="str">
        <x:v>Yes</x:v>
      </x:c>
      <x:c r="H93" s="43" t="str">
        <x:v>One treatmentent group and one control</x:v>
      </x:c>
      <x:c r="I93" s="43" t="str">
        <x:v>Prenatal noise and restraint stress interact to alter exploratory behavior and balance in juvenile rats, and mixed stress reverses these effects</x:v>
      </x:c>
      <x:c r="J93" s="43" t="str">
        <x:v>10.1080/10253890.2017.1307962</x:v>
      </x:c>
      <x:c r="K93" s="43" t="str">
        <x:v>Stress</x:v>
      </x:c>
      <x:c r="L93" s="43" t="str"/>
      <x:c r="M93" s="43" t="str">
        <x:v>Rattus norvegicus</x:v>
      </x:c>
      <x:c r="N93" s="43" t="str">
        <x:v>albino rat</x:v>
      </x:c>
      <x:c r="O93" s="43" t="str">
        <x:v>Wistar rat</x:v>
      </x:c>
      <x:c r="P93" s="43" t="str">
        <x:v>13</x:v>
      </x:c>
      <x:c r="Q93" s="43" t="str">
        <x:v>90 days</x:v>
      </x:c>
      <x:c r="R93" s="43" t="str">
        <x:v>mid, late</x:v>
      </x:c>
      <x:c r="S93" s="43" t="str">
        <x:v>day 11-19</x:v>
      </x:c>
      <x:c r="T93" s="43" t="str">
        <x:v>9</x:v>
      </x:c>
      <x:c r="U93" s="43" t="str">
        <x:v>Intermitent</x:v>
      </x:c>
      <x:c r="V93" s="43" t="str">
        <x:v>0.05</x:v>
      </x:c>
      <x:c r="W93" s="43" t="str">
        <x:v>3 mins per day.  HELLA twintone Horn, car horn</x:v>
      </x:c>
      <x:c r="X93" s="43" t="str">
        <x:v>Traffic</x:v>
      </x:c>
      <x:c r="Y93" s="43" t="str">
        <x:v>Audible</x:v>
      </x:c>
      <x:c r="Z93" s="43" t="str">
        <x:v>110</x:v>
      </x:c>
      <x:c r="AA93" s="43" t="str">
        <x:v>500</x:v>
      </x:c>
      <x:c r="AB93" s="43" t="str">
        <x:v>Unclear</x:v>
      </x:c>
      <x:c r="AC93" s="43" t="str"/>
      <x:c r="AD93" s="43" t="str">
        <x:v>No information</x:v>
      </x:c>
      <x:c r="AE93" s="43" t="str">
        <x:v>male</x:v>
      </x:c>
      <x:c r="AF93" s="43" t="str">
        <x:v>46</x:v>
      </x:c>
      <x:c r="AG93" s="43" t="str"/>
      <x:c r="AH93" s="43" t="str">
        <x:v>none</x:v>
      </x:c>
      <x:c r="AI93" s="43" t="str"/>
      <x:c r="AJ93" s="43" t="str">
        <x:v>Anxiety</x:v>
      </x:c>
      <x:c r="AK93" s="43" t="str">
        <x:v>Elevated Plus Maze (EPM)</x:v>
      </x:c>
      <x:c r="AL93" s="43" t="str"/>
      <x:c r="AM93" s="43" t="str">
        <x:v>Time in open arms (OAT)</x:v>
      </x:c>
      <x:c r="AN93" s="43" t="str">
        <x:v>Time</x:v>
      </x:c>
      <x:c r="AO93" s="43" t="str">
        <x:v>s</x:v>
      </x:c>
      <x:c r="AP93" s="43" t="str">
        <x:v>Light phase</x:v>
      </x:c>
      <x:c r="AQ93" s="43" t="str">
        <x:v>Figure 6a</x:v>
      </x:c>
      <x:c r="AR93" s="43" t="str">
        <x:v>badache_2017_stress_6a</x:v>
      </x:c>
      <x:c r="AS93" s="43" t="str">
        <x:v>Cn_oat</x:v>
      </x:c>
      <x:c r="AT93" s="43" t="str">
        <x:v>Ns_oat</x:v>
      </x:c>
      <x:c r="AU93" s="43" t="str">
        <x:v>Cn_Ns_oat</x:v>
      </x:c>
      <x:c r="AV93" s="43" t="str">
        <x:v>Independent</x:v>
      </x:c>
      <x:c r="AW93" s="43" t="str">
        <x:v>Yes</x:v>
      </x:c>
      <x:c r="AX93" s="43" t="str">
        <x:v>Negative</x:v>
      </x:c>
      <x:c r="AY93" s="43" t="str"/>
      <x:c r="AZ93" s="43" t="str">
        <x:v>135.51</x:v>
      </x:c>
      <x:c r="BA93" s="43" t="str">
        <x:v>31.84</x:v>
      </x:c>
      <x:c r="BB93" s="43" t="str">
        <x:v>16</x:v>
      </x:c>
      <x:c r="BC93" s="43" t="str">
        <x:v>7.96</x:v>
      </x:c>
      <x:c r="BD93" s="43" t="str"/>
      <x:c r="BE93" s="43" t="str">
        <x:v>67.96</x:v>
      </x:c>
      <x:c r="BF93" s="43" t="str">
        <x:v>14.69</x:v>
      </x:c>
      <x:c r="BG93" s="43" t="str">
        <x:v>16</x:v>
      </x:c>
      <x:c r="BH93" s="43" t="str">
        <x:v>3.67</x:v>
      </x:c>
      <x:c r="BI93" s="43" t="str"/>
      <x:c r="BJ93" s="43" t="str"/>
      <x:c r="BK93" s="43" t="str"/>
      <x:c r="BL93" s="43" t="str"/>
      <x:c r="BM93" s="43" t="str"/>
      <x:c r="BN93" s="43" t="str"/>
      <x:c r="BO93" s="43" t="str"/>
      <x:c r="BP93" s="43" t="str"/>
      <x:c r="BQ93" s="43" t="str"/>
      <x:c r="BR93" s="43" t="str">
        <x:v>yes</x:v>
      </x:c>
      <x:c r="BS93" s="43" t="str"/>
      <x:c r="BT93" s="43" t="str"/>
      <x:c r="BU93" s="43" t="str">
        <x:v>I double checked MetaDigitise</x:v>
      </x:c>
      <x:c r="BV93" s="43" t="str">
        <x:v>7.96</x:v>
      </x:c>
      <x:c r="BW93" s="43" t="str">
        <x:v>7.96</x:v>
      </x:c>
      <x:c r="BX93" s="43" t="str">
        <x:v>Reported SEM; used unchanged for analysis</x:v>
      </x:c>
      <x:c r="BY93" s="43" t="str">
        <x:v>badache_2017_stress_6a; Figure 6a</x:v>
      </x:c>
      <x:c r="BZ93" s="43" t="str">
        <x:v>3.67</x:v>
      </x:c>
      <x:c r="CA93" s="43" t="str">
        <x:v>3.67</x:v>
      </x:c>
      <x:c r="CB93" s="43" t="str">
        <x:v>Reported SEM; used unchanged for analysis</x:v>
      </x:c>
      <x:c r="CC93" s="43" t="str">
        <x:v>badache_2017_stress_6a; Figure 6a</x:v>
      </x:c>
      <x:c r="CD93" s="43" t="str">
        <x:v>Verified – no change</x:v>
      </x:c>
      <x:c r="CE93" s="43" t="str"/>
      <x:c r="CF93" s="43" t="str"/>
    </x:row>
    <x:row r="94">
      <x:c r="A94" s="43" t="str">
        <x:v>94</x:v>
      </x:c>
      <x:c r="B94" s="43" t="str">
        <x:v>badache_2017_stress</x:v>
      </x:c>
      <x:c r="C94" s="43" t="str">
        <x:v>ex020</x:v>
      </x:c>
      <x:c r="D94" s="43" t="str">
        <x:v>con016</x:v>
      </x:c>
      <x:c r="E94" s="43" t="str">
        <x:v>out054</x:v>
      </x:c>
      <x:c r="F94" s="43" t="str">
        <x:v>es093</x:v>
      </x:c>
      <x:c r="G94" s="43" t="str">
        <x:v>Yes</x:v>
      </x:c>
      <x:c r="H94" s="43" t="str">
        <x:v>One treatmentent group and one control</x:v>
      </x:c>
      <x:c r="I94" s="43" t="str">
        <x:v>Prenatal noise and restraint stress interact to alter exploratory behavior and balance in juvenile rats, and mixed stress reverses these effects</x:v>
      </x:c>
      <x:c r="J94" s="43" t="str">
        <x:v>10.1080/10253890.2017.1307962</x:v>
      </x:c>
      <x:c r="K94" s="43" t="str">
        <x:v>Stress</x:v>
      </x:c>
      <x:c r="L94" s="43" t="str"/>
      <x:c r="M94" s="43" t="str">
        <x:v>Rattus norvegicus</x:v>
      </x:c>
      <x:c r="N94" s="43" t="str">
        <x:v>albino rat</x:v>
      </x:c>
      <x:c r="O94" s="43" t="str">
        <x:v>Wistar rat</x:v>
      </x:c>
      <x:c r="P94" s="43" t="str">
        <x:v>13</x:v>
      </x:c>
      <x:c r="Q94" s="43" t="str">
        <x:v>90 days</x:v>
      </x:c>
      <x:c r="R94" s="43" t="str">
        <x:v>mid, late</x:v>
      </x:c>
      <x:c r="S94" s="43" t="str">
        <x:v>day 11-19</x:v>
      </x:c>
      <x:c r="T94" s="43" t="str">
        <x:v>9</x:v>
      </x:c>
      <x:c r="U94" s="43" t="str">
        <x:v>Intermitent</x:v>
      </x:c>
      <x:c r="V94" s="43" t="str">
        <x:v>0.05</x:v>
      </x:c>
      <x:c r="W94" s="43" t="str">
        <x:v>3 mins per day.  HELLA twintone Horn, car horn</x:v>
      </x:c>
      <x:c r="X94" s="43" t="str">
        <x:v>Traffic</x:v>
      </x:c>
      <x:c r="Y94" s="43" t="str">
        <x:v>Audible</x:v>
      </x:c>
      <x:c r="Z94" s="43" t="str">
        <x:v>110</x:v>
      </x:c>
      <x:c r="AA94" s="43" t="str">
        <x:v>500</x:v>
      </x:c>
      <x:c r="AB94" s="43" t="str">
        <x:v>Unclear</x:v>
      </x:c>
      <x:c r="AC94" s="43" t="str"/>
      <x:c r="AD94" s="43" t="str">
        <x:v>No information</x:v>
      </x:c>
      <x:c r="AE94" s="43" t="str">
        <x:v>male</x:v>
      </x:c>
      <x:c r="AF94" s="43" t="str">
        <x:v>46</x:v>
      </x:c>
      <x:c r="AG94" s="43" t="str"/>
      <x:c r="AH94" s="43" t="str">
        <x:v>Cross-Fostered</x:v>
      </x:c>
      <x:c r="AI94" s="43" t="str"/>
      <x:c r="AJ94" s="43" t="str">
        <x:v>Anxiety</x:v>
      </x:c>
      <x:c r="AK94" s="43" t="str">
        <x:v>Elevated Plus Maze (EPM)</x:v>
      </x:c>
      <x:c r="AL94" s="43" t="str"/>
      <x:c r="AM94" s="43" t="str">
        <x:v>Rearing time</x:v>
      </x:c>
      <x:c r="AN94" s="43" t="str">
        <x:v>Time</x:v>
      </x:c>
      <x:c r="AO94" s="43" t="str">
        <x:v>s</x:v>
      </x:c>
      <x:c r="AP94" s="43" t="str">
        <x:v>Light phase</x:v>
      </x:c>
      <x:c r="AQ94" s="43" t="str">
        <x:v>Figure 6b</x:v>
      </x:c>
      <x:c r="AR94" s="43" t="str">
        <x:v>badache_2017_stress_6b</x:v>
      </x:c>
      <x:c r="AS94" s="43" t="str">
        <x:v>Cn_rt</x:v>
      </x:c>
      <x:c r="AT94" s="43" t="str">
        <x:v>Ns_rt</x:v>
      </x:c>
      <x:c r="AU94" s="43" t="str">
        <x:v>Cn_Ns_rt</x:v>
      </x:c>
      <x:c r="AV94" s="43" t="str">
        <x:v>Independent</x:v>
      </x:c>
      <x:c r="AW94" s="43" t="str">
        <x:v>Yes</x:v>
      </x:c>
      <x:c r="AX94" s="43" t="str">
        <x:v>Negative</x:v>
      </x:c>
      <x:c r="AY94" s="43" t="str"/>
      <x:c r="AZ94" s="43" t="str">
        <x:v>18.12</x:v>
      </x:c>
      <x:c r="BA94" s="43" t="str">
        <x:v>4.52</x:v>
      </x:c>
      <x:c r="BB94" s="43" t="str">
        <x:v>16</x:v>
      </x:c>
      <x:c r="BC94" s="43" t="str">
        <x:v>1.13</x:v>
      </x:c>
      <x:c r="BD94" s="43" t="str"/>
      <x:c r="BE94" s="43" t="str">
        <x:v>7.77</x:v>
      </x:c>
      <x:c r="BF94" s="43" t="str">
        <x:v>2.05</x:v>
      </x:c>
      <x:c r="BG94" s="43" t="str">
        <x:v>16</x:v>
      </x:c>
      <x:c r="BH94" s="43" t="str">
        <x:v>0.51</x:v>
      </x:c>
      <x:c r="BI94" s="43" t="str"/>
      <x:c r="BJ94" s="43" t="str"/>
      <x:c r="BK94" s="43" t="str"/>
      <x:c r="BL94" s="43" t="str"/>
      <x:c r="BM94" s="43" t="str"/>
      <x:c r="BN94" s="43" t="str"/>
      <x:c r="BO94" s="43" t="str"/>
      <x:c r="BP94" s="43" t="str"/>
      <x:c r="BQ94" s="43" t="str"/>
      <x:c r="BR94" s="43" t="str">
        <x:v>yes</x:v>
      </x:c>
      <x:c r="BS94" s="43" t="str"/>
      <x:c r="BT94" s="43" t="str"/>
      <x:c r="BU94" s="43" t="str">
        <x:v>I double checked MetaDigitise</x:v>
      </x:c>
      <x:c r="BV94" s="43" t="str">
        <x:v>1.13</x:v>
      </x:c>
      <x:c r="BW94" s="43" t="str">
        <x:v>1.13</x:v>
      </x:c>
      <x:c r="BX94" s="43" t="str">
        <x:v>Reported SEM; used unchanged for analysis</x:v>
      </x:c>
      <x:c r="BY94" s="43" t="str">
        <x:v>badache_2017_stress_6b; Figure 6b</x:v>
      </x:c>
      <x:c r="BZ94" s="43" t="str">
        <x:v>0.51</x:v>
      </x:c>
      <x:c r="CA94" s="43" t="str">
        <x:v>0.51</x:v>
      </x:c>
      <x:c r="CB94" s="43" t="str">
        <x:v>Reported SEM; used unchanged for analysis</x:v>
      </x:c>
      <x:c r="CC94" s="43" t="str">
        <x:v>badache_2017_stress_6b; Figure 6b</x:v>
      </x:c>
      <x:c r="CD94" s="43" t="str">
        <x:v>Verified – no change</x:v>
      </x:c>
      <x:c r="CE94" s="43" t="str"/>
      <x:c r="CF94" s="43" t="str"/>
    </x:row>
    <x:row r="95">
      <x:c r="A95" s="43" t="str">
        <x:v>95</x:v>
      </x:c>
      <x:c r="B95" s="43" t="str">
        <x:v>whitlow_1978_thesis</x:v>
      </x:c>
      <x:c r="C95" s="43" t="str">
        <x:v>ex021</x:v>
      </x:c>
      <x:c r="D95" s="43" t="str">
        <x:v>con017</x:v>
      </x:c>
      <x:c r="E95" s="43" t="str">
        <x:v>out055</x:v>
      </x:c>
      <x:c r="F95" s="43" t="str">
        <x:v>es094</x:v>
      </x:c>
      <x:c r="G95" s="43" t="str">
        <x:v>Yes</x:v>
      </x:c>
      <x:c r="H95" s="43" t="str">
        <x:v>They had two experimental groups, 65dB and 85dB, they did 3 trials, one per day of the OFT</x:v>
      </x:c>
      <x:c r="I95" s="43" t="str">
        <x:v>THE EFFECT OF SOUND STIMULATION DURING GESTATION  ON THE BEHAVIOR OF RAT OFFSPRING</x:v>
      </x:c>
      <x:c r="J95" s="43" t="str"/>
      <x:c r="K95" s="43" t="str">
        <x:v>Thesis</x:v>
      </x:c>
      <x:c r="L95" s="43" t="str"/>
      <x:c r="M95" s="43" t="str">
        <x:v>Rattus norvegicus</x:v>
      </x:c>
      <x:c r="N95" s="43" t="str">
        <x:v>hooded rat</x:v>
      </x:c>
      <x:c r="O95" s="43" t="str">
        <x:v>Lister rat</x:v>
      </x:c>
      <x:c r="P95" s="43" t="str"/>
      <x:c r="Q95" s="43" t="str">
        <x:v>not reported</x:v>
      </x:c>
      <x:c r="R95" s="43" t="str">
        <x:v>mid, late</x:v>
      </x:c>
      <x:c r="S95" s="43" t="str">
        <x:v>day 12-19</x:v>
      </x:c>
      <x:c r="T95" s="43" t="str">
        <x:v>8</x:v>
      </x:c>
      <x:c r="U95" s="43" t="str">
        <x:v>Intermitent</x:v>
      </x:c>
      <x:c r="V95" s="43" t="str">
        <x:v>0.005</x:v>
      </x:c>
      <x:c r="W95" s="43" t="str">
        <x:v>18 seconds per day. It was a tone</x:v>
      </x:c>
      <x:c r="X95" s="43" t="str">
        <x:v>White noise</x:v>
      </x:c>
      <x:c r="Y95" s="43" t="str">
        <x:v>Audible</x:v>
      </x:c>
      <x:c r="Z95" s="43" t="str">
        <x:v>85</x:v>
      </x:c>
      <x:c r="AA95" s="43" t="str">
        <x:v>2500</x:v>
      </x:c>
      <x:c r="AB95" s="43" t="str">
        <x:v>Unclear</x:v>
      </x:c>
      <x:c r="AC95" s="43" t="str"/>
      <x:c r="AD95" s="43" t="str">
        <x:v>No noise, moved into experimental sound cage</x:v>
      </x:c>
      <x:c r="AE95" s="43" t="str">
        <x:v>male</x:v>
      </x:c>
      <x:c r="AF95" s="43" t="str">
        <x:v>25</x:v>
      </x:c>
      <x:c r="AG95" s="43" t="str"/>
      <x:c r="AH95" s="43" t="str">
        <x:v>Cross-Fostered</x:v>
      </x:c>
      <x:c r="AI95" s="43" t="str"/>
      <x:c r="AJ95" s="43" t="str">
        <x:v>Anxiety</x:v>
      </x:c>
      <x:c r="AK95" s="43" t="str">
        <x:v>Open Field Test (OFT)</x:v>
      </x:c>
      <x:c r="AL95" s="43" t="str">
        <x:v>Circular open-field, duration 3 minutes and repeated in 3 consecutive days</x:v>
      </x:c>
      <x:c r="AM95" s="43" t="str">
        <x:v>Sections crossed</x:v>
      </x:c>
      <x:c r="AN95" s="43" t="str">
        <x:v>Count</x:v>
      </x:c>
      <x:c r="AO95" s="43" t="str">
        <x:v>Count</x:v>
      </x:c>
      <x:c r="AP95" s="43" t="str">
        <x:v>Not reported</x:v>
      </x:c>
      <x:c r="AQ95" s="43" t="str">
        <x:v>Figure 2</x:v>
      </x:c>
      <x:c r="AR95" s="43" t="str">
        <x:v>whitlow_1978_thesis_fig2</x:v>
      </x:c>
      <x:c r="AS95" s="43" t="str">
        <x:v>HNoN_1_sq</x:v>
      </x:c>
      <x:c r="AT95" s="43" t="str">
        <x:v>HN_1_sq</x:v>
      </x:c>
      <x:c r="AU95" s="43" t="str">
        <x:v>HNoN_HN_1_sq</x:v>
      </x:c>
      <x:c r="AV95" s="43" t="str">
        <x:v>Dependent</x:v>
      </x:c>
      <x:c r="AW95" s="43" t="str">
        <x:v>Yes</x:v>
      </x:c>
      <x:c r="AX95" s="43" t="str">
        <x:v>Negative</x:v>
      </x:c>
      <x:c r="AY95" s="43" t="str"/>
      <x:c r="AZ95" s="43" t="str">
        <x:v>65.63</x:v>
      </x:c>
      <x:c r="BA95" s="43" t="str">
        <x:v>8.1012</x:v>
      </x:c>
      <x:c r="BB95" s="43" t="str">
        <x:v>20</x:v>
      </x:c>
      <x:c r="BC95" s="43" t="str"/>
      <x:c r="BD95" s="43" t="str"/>
      <x:c r="BE95" s="43" t="str">
        <x:v>71.2285</x:v>
      </x:c>
      <x:c r="BF95" s="43" t="str">
        <x:v>8.4397</x:v>
      </x:c>
      <x:c r="BG95" s="43" t="str">
        <x:v>20</x:v>
      </x:c>
      <x:c r="BH95" s="43" t="str"/>
      <x:c r="BI95" s="43" t="str"/>
      <x:c r="BJ95" s="43" t="str">
        <x:v>Figure only showed mean, imputated sd=SQRT(mean) as are counts in a certain tine</x:v>
      </x:c>
      <x:c r="BK95"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95" s="43" t="str"/>
      <x:c r="BM95" s="43" t="str"/>
      <x:c r="BN95" s="43" t="str"/>
      <x:c r="BO95" s="43" t="str"/>
      <x:c r="BP95" s="43" t="str"/>
      <x:c r="BQ95" s="43" t="str"/>
      <x:c r="BR95" s="43" t="str">
        <x:v>yes</x:v>
      </x:c>
      <x:c r="BS95" s="43" t="str">
        <x:v>adjust comments text</x:v>
      </x:c>
      <x:c r="BT95" s="43" t="str"/>
      <x:c r="BU95" s="43" t="str"/>
      <x:c r="BV95" s="43" t="str"/>
      <x:c r="BW95" s="43" t="str">
        <x:v>1.811483</x:v>
      </x:c>
      <x:c r="BX95" s="43" t="str">
        <x:v>Accepted analysis assumption: SD = sqrt(mean); SE = SD / sqrt(n)</x:v>
      </x:c>
      <x:c r="BY95" s="43" t="str">
        <x:v>included_studies/whitlow_1978_thesis.pdf; figure error bars are not defined; assumption approved by reviewer</x:v>
      </x:c>
      <x:c r="BZ95" s="43" t="str"/>
      <x:c r="CA95" s="43" t="str">
        <x:v>1.887174</x:v>
      </x:c>
      <x:c r="CB95" s="43" t="str">
        <x:v>Accepted analysis assumption: SD = sqrt(mean); SE = SD / sqrt(n)</x:v>
      </x:c>
      <x:c r="CC95" s="43" t="str">
        <x:v>included_studies/whitlow_1978_thesis.pdf; figure error bars are not defined; assumption approved by reviewer</x:v>
      </x:c>
      <x:c r="CD95" s="43" t="str">
        <x:v>Corrected derived value</x:v>
      </x:c>
      <x:c r="CE95" s="43" t="str">
        <x:v>Variance decision – Whitlow 1978</x:v>
      </x:c>
      <x:c r="CF95" s="43" t="str">
        <x:v>Variance assumption accepted: SD=sqrt(mean), then SE=SD/sqrt(n).</x:v>
      </x:c>
    </x:row>
    <x:row r="96">
      <x:c r="A96" s="43" t="str">
        <x:v>96</x:v>
      </x:c>
      <x:c r="B96" s="43" t="str">
        <x:v>whitlow_1978_thesis</x:v>
      </x:c>
      <x:c r="C96" s="43" t="str">
        <x:v>ex022</x:v>
      </x:c>
      <x:c r="D96" s="43" t="str">
        <x:v>con017</x:v>
      </x:c>
      <x:c r="E96" s="43" t="str">
        <x:v>out055</x:v>
      </x:c>
      <x:c r="F96" s="43" t="str">
        <x:v>es095</x:v>
      </x:c>
      <x:c r="G96" s="43" t="str">
        <x:v>Yes</x:v>
      </x:c>
      <x:c r="H96" s="43" t="str">
        <x:v>They had two experimental groups, 65dB and 85dB, they did 3 trials, one per day of the OFT</x:v>
      </x:c>
      <x:c r="I96" s="43" t="str">
        <x:v>THE EFFECT OF SOUND STIMULATION DURING GESTATION  ON THE BEHAVIOR OF RAT OFFSPRING</x:v>
      </x:c>
      <x:c r="J96" s="43" t="str"/>
      <x:c r="K96" s="43" t="str">
        <x:v>Thesis</x:v>
      </x:c>
      <x:c r="L96" s="43" t="str"/>
      <x:c r="M96" s="43" t="str">
        <x:v>Rattus norvegicus</x:v>
      </x:c>
      <x:c r="N96" s="43" t="str">
        <x:v>hooded rat</x:v>
      </x:c>
      <x:c r="O96" s="43" t="str">
        <x:v>Lister rat</x:v>
      </x:c>
      <x:c r="P96" s="43" t="str"/>
      <x:c r="Q96" s="43" t="str">
        <x:v>not reported</x:v>
      </x:c>
      <x:c r="R96" s="43" t="str">
        <x:v>mid, late</x:v>
      </x:c>
      <x:c r="S96" s="43" t="str">
        <x:v>day 12-19</x:v>
      </x:c>
      <x:c r="T96" s="43" t="str">
        <x:v>8</x:v>
      </x:c>
      <x:c r="U96" s="43" t="str">
        <x:v>Intermitent</x:v>
      </x:c>
      <x:c r="V96" s="43" t="str">
        <x:v>0.005</x:v>
      </x:c>
      <x:c r="W96" s="43" t="str">
        <x:v>18 seconds per day. It was a tone</x:v>
      </x:c>
      <x:c r="X96" s="43" t="str">
        <x:v>White noise</x:v>
      </x:c>
      <x:c r="Y96" s="43" t="str">
        <x:v>Audible</x:v>
      </x:c>
      <x:c r="Z96" s="43" t="str">
        <x:v>65</x:v>
      </x:c>
      <x:c r="AA96" s="43" t="str">
        <x:v>2500</x:v>
      </x:c>
      <x:c r="AB96" s="43" t="str">
        <x:v>Unclear</x:v>
      </x:c>
      <x:c r="AC96" s="43" t="str"/>
      <x:c r="AD96" s="43" t="str">
        <x:v>No noise, moved into experimental sound cage</x:v>
      </x:c>
      <x:c r="AE96" s="43" t="str">
        <x:v>male</x:v>
      </x:c>
      <x:c r="AF96" s="43" t="str">
        <x:v>25</x:v>
      </x:c>
      <x:c r="AG96" s="43" t="str"/>
      <x:c r="AH96" s="43" t="str">
        <x:v>Cross-Fostered</x:v>
      </x:c>
      <x:c r="AI96" s="43" t="str"/>
      <x:c r="AJ96" s="43" t="str">
        <x:v>Anxiety</x:v>
      </x:c>
      <x:c r="AK96" s="43" t="str">
        <x:v>Open Field Test (OFT)</x:v>
      </x:c>
      <x:c r="AL96" s="43" t="str">
        <x:v>Circular open-field, duration 3 minutes and repeated in 3 consecutive days</x:v>
      </x:c>
      <x:c r="AM96" s="43" t="str">
        <x:v>Sections crossed</x:v>
      </x:c>
      <x:c r="AN96" s="43" t="str">
        <x:v>Count</x:v>
      </x:c>
      <x:c r="AO96" s="43" t="str">
        <x:v>Count</x:v>
      </x:c>
      <x:c r="AP96" s="43" t="str">
        <x:v>Not reported</x:v>
      </x:c>
      <x:c r="AQ96" s="43" t="str">
        <x:v>Figure 2</x:v>
      </x:c>
      <x:c r="AR96" s="43" t="str">
        <x:v>whitlow_1978_thesis_fig2</x:v>
      </x:c>
      <x:c r="AS96" s="43" t="str">
        <x:v>HNoN_1_sq</x:v>
      </x:c>
      <x:c r="AT96" s="43" t="str">
        <x:v>HLN_1_sq</x:v>
      </x:c>
      <x:c r="AU96" s="43" t="str">
        <x:v>HNoN_HLN_1_sq</x:v>
      </x:c>
      <x:c r="AV96" s="43" t="str">
        <x:v>Dependent</x:v>
      </x:c>
      <x:c r="AW96" s="43" t="str">
        <x:v>Yes</x:v>
      </x:c>
      <x:c r="AX96" s="43" t="str">
        <x:v>Negative</x:v>
      </x:c>
      <x:c r="AY96" s="43" t="str"/>
      <x:c r="AZ96" s="43" t="str">
        <x:v>65.63</x:v>
      </x:c>
      <x:c r="BA96" s="43" t="str">
        <x:v>8.1012</x:v>
      </x:c>
      <x:c r="BB96" s="43" t="str">
        <x:v>20</x:v>
      </x:c>
      <x:c r="BC96" s="43" t="str"/>
      <x:c r="BD96" s="43" t="str"/>
      <x:c r="BE96" s="43" t="str">
        <x:v>60.8719</x:v>
      </x:c>
      <x:c r="BF96" s="43" t="str">
        <x:v>7.802</x:v>
      </x:c>
      <x:c r="BG96" s="43" t="str">
        <x:v>20</x:v>
      </x:c>
      <x:c r="BH96" s="43" t="str"/>
      <x:c r="BI96" s="43" t="str"/>
      <x:c r="BJ96" s="43" t="str">
        <x:v>Figure only showed mean, imputated sd=SQRT(mean) as are counts in a certain tine</x:v>
      </x:c>
      <x:c r="BK96"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96" s="43" t="str"/>
      <x:c r="BM96" s="43" t="str"/>
      <x:c r="BN96" s="43" t="str"/>
      <x:c r="BO96" s="43" t="str"/>
      <x:c r="BP96" s="43" t="str"/>
      <x:c r="BQ96" s="43" t="str"/>
      <x:c r="BR96" s="43" t="str">
        <x:v>yes</x:v>
      </x:c>
      <x:c r="BS96" s="43" t="str">
        <x:v>adjust comments text</x:v>
      </x:c>
      <x:c r="BT96" s="43" t="str"/>
      <x:c r="BU96" s="43" t="str"/>
      <x:c r="BV96" s="43" t="str"/>
      <x:c r="BW96" s="43" t="str">
        <x:v>1.811483</x:v>
      </x:c>
      <x:c r="BX96" s="43" t="str">
        <x:v>Accepted analysis assumption: SD = sqrt(mean); SE = SD / sqrt(n)</x:v>
      </x:c>
      <x:c r="BY96" s="43" t="str">
        <x:v>included_studies/whitlow_1978_thesis.pdf; figure error bars are not defined; assumption approved by reviewer</x:v>
      </x:c>
      <x:c r="BZ96" s="43" t="str"/>
      <x:c r="CA96" s="43" t="str">
        <x:v>1.74458</x:v>
      </x:c>
      <x:c r="CB96" s="43" t="str">
        <x:v>Accepted analysis assumption: SD = sqrt(mean); SE = SD / sqrt(n)</x:v>
      </x:c>
      <x:c r="CC96" s="43" t="str">
        <x:v>included_studies/whitlow_1978_thesis.pdf; figure error bars are not defined; assumption approved by reviewer</x:v>
      </x:c>
      <x:c r="CD96" s="43" t="str">
        <x:v>Corrected derived value</x:v>
      </x:c>
      <x:c r="CE96" s="43" t="str">
        <x:v>Variance decision – Whitlow 1978</x:v>
      </x:c>
      <x:c r="CF96" s="43" t="str">
        <x:v>Variance assumption accepted: SD=sqrt(mean), then SE=SD/sqrt(n).</x:v>
      </x:c>
    </x:row>
    <x:row r="97">
      <x:c r="A97" s="43" t="str">
        <x:v>97</x:v>
      </x:c>
      <x:c r="B97" s="43" t="str">
        <x:v>whitlow_1978_thesis</x:v>
      </x:c>
      <x:c r="C97" s="43" t="str">
        <x:v>ex021</x:v>
      </x:c>
      <x:c r="D97" s="43" t="str">
        <x:v>con017</x:v>
      </x:c>
      <x:c r="E97" s="43" t="str">
        <x:v>out055</x:v>
      </x:c>
      <x:c r="F97" s="43" t="str">
        <x:v>es096</x:v>
      </x:c>
      <x:c r="G97" s="43" t="str">
        <x:v>Yes</x:v>
      </x:c>
      <x:c r="H97" s="43" t="str">
        <x:v>They had two experimental groups, 65dB and 85dB, they did 3 trials, one per day of the OFT</x:v>
      </x:c>
      <x:c r="I97" s="43" t="str">
        <x:v>THE EFFECT OF SOUND STIMULATION DURING GESTATION  ON THE BEHAVIOR OF RAT OFFSPRING</x:v>
      </x:c>
      <x:c r="J97" s="43" t="str"/>
      <x:c r="K97" s="43" t="str">
        <x:v>Thesis</x:v>
      </x:c>
      <x:c r="L97" s="43" t="str"/>
      <x:c r="M97" s="43" t="str">
        <x:v>Rattus norvegicus</x:v>
      </x:c>
      <x:c r="N97" s="43" t="str">
        <x:v>hooded rat</x:v>
      </x:c>
      <x:c r="O97" s="43" t="str">
        <x:v>Lister rat</x:v>
      </x:c>
      <x:c r="P97" s="43" t="str"/>
      <x:c r="Q97" s="43" t="str">
        <x:v>not reported</x:v>
      </x:c>
      <x:c r="R97" s="43" t="str">
        <x:v>mid, late</x:v>
      </x:c>
      <x:c r="S97" s="43" t="str">
        <x:v>day 12-19</x:v>
      </x:c>
      <x:c r="T97" s="43" t="str">
        <x:v>8</x:v>
      </x:c>
      <x:c r="U97" s="43" t="str">
        <x:v>Intermitent</x:v>
      </x:c>
      <x:c r="V97" s="43" t="str">
        <x:v>0.005</x:v>
      </x:c>
      <x:c r="W97" s="43" t="str">
        <x:v>18 seconds per day. It was a tone</x:v>
      </x:c>
      <x:c r="X97" s="43" t="str">
        <x:v>White noise</x:v>
      </x:c>
      <x:c r="Y97" s="43" t="str">
        <x:v>Audible</x:v>
      </x:c>
      <x:c r="Z97" s="43" t="str">
        <x:v>85</x:v>
      </x:c>
      <x:c r="AA97" s="43" t="str">
        <x:v>2500</x:v>
      </x:c>
      <x:c r="AB97" s="43" t="str">
        <x:v>Unclear</x:v>
      </x:c>
      <x:c r="AC97" s="43" t="str"/>
      <x:c r="AD97" s="43" t="str">
        <x:v>No noise, moved into experimental sound cage</x:v>
      </x:c>
      <x:c r="AE97" s="43" t="str">
        <x:v>male</x:v>
      </x:c>
      <x:c r="AF97" s="43" t="str">
        <x:v>26</x:v>
      </x:c>
      <x:c r="AG97" s="43" t="str"/>
      <x:c r="AH97" s="43" t="str">
        <x:v>Cross-Fostered</x:v>
      </x:c>
      <x:c r="AI97" s="43" t="str"/>
      <x:c r="AJ97" s="43" t="str">
        <x:v>Anxiety</x:v>
      </x:c>
      <x:c r="AK97" s="43" t="str">
        <x:v>Open Field Test (OFT)</x:v>
      </x:c>
      <x:c r="AL97" s="43" t="str">
        <x:v>Circular open-field, duration 3 minutes and repeated in 3 consecutive days</x:v>
      </x:c>
      <x:c r="AM97" s="43" t="str">
        <x:v>Sections crossed</x:v>
      </x:c>
      <x:c r="AN97" s="43" t="str">
        <x:v>Count</x:v>
      </x:c>
      <x:c r="AO97" s="43" t="str">
        <x:v>Count</x:v>
      </x:c>
      <x:c r="AP97" s="43" t="str">
        <x:v>Not reported</x:v>
      </x:c>
      <x:c r="AQ97" s="43" t="str">
        <x:v>Figure 2</x:v>
      </x:c>
      <x:c r="AR97" s="43" t="str">
        <x:v>whitlow_1978_thesis_fig2</x:v>
      </x:c>
      <x:c r="AS97" s="43" t="str">
        <x:v>HNoN_2_sq</x:v>
      </x:c>
      <x:c r="AT97" s="43" t="str">
        <x:v>HN_2_sq</x:v>
      </x:c>
      <x:c r="AU97" s="43" t="str">
        <x:v>HNoN_HN_2_sq</x:v>
      </x:c>
      <x:c r="AV97" s="43" t="str">
        <x:v>Dependent</x:v>
      </x:c>
      <x:c r="AW97" s="43" t="str">
        <x:v>Yes</x:v>
      </x:c>
      <x:c r="AX97" s="43" t="str">
        <x:v>Negative</x:v>
      </x:c>
      <x:c r="AY97" s="43" t="str"/>
      <x:c r="AZ97" s="43" t="str">
        <x:v>39.74</x:v>
      </x:c>
      <x:c r="BA97" s="43" t="str">
        <x:v>6.304</x:v>
      </x:c>
      <x:c r="BB97" s="43" t="str">
        <x:v>20</x:v>
      </x:c>
      <x:c r="BC97" s="43" t="str"/>
      <x:c r="BD97" s="43" t="str"/>
      <x:c r="BE97" s="43" t="str">
        <x:v>42.8005</x:v>
      </x:c>
      <x:c r="BF97" s="43" t="str">
        <x:v>6.5422</x:v>
      </x:c>
      <x:c r="BG97" s="43" t="str">
        <x:v>20</x:v>
      </x:c>
      <x:c r="BH97" s="43" t="str"/>
      <x:c r="BI97" s="43" t="str"/>
      <x:c r="BJ97" s="43" t="str">
        <x:v>Figure only showed mean, imputated sd=SQRT(mean) as are counts in a certain tine</x:v>
      </x:c>
      <x:c r="BK97"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97" s="43" t="str"/>
      <x:c r="BM97" s="43" t="str"/>
      <x:c r="BN97" s="43" t="str"/>
      <x:c r="BO97" s="43" t="str"/>
      <x:c r="BP97" s="43" t="str"/>
      <x:c r="BQ97" s="43" t="str"/>
      <x:c r="BR97" s="43" t="str">
        <x:v>yes</x:v>
      </x:c>
      <x:c r="BS97" s="43" t="str">
        <x:v>adjust comments text</x:v>
      </x:c>
      <x:c r="BT97" s="43" t="str"/>
      <x:c r="BU97" s="43" t="str"/>
      <x:c r="BV97" s="43" t="str"/>
      <x:c r="BW97" s="43" t="str">
        <x:v>1.409617</x:v>
      </x:c>
      <x:c r="BX97" s="43" t="str">
        <x:v>Accepted analysis assumption: SD = sqrt(mean); SE = SD / sqrt(n)</x:v>
      </x:c>
      <x:c r="BY97" s="43" t="str">
        <x:v>included_studies/whitlow_1978_thesis.pdf; figure error bars are not defined; assumption approved by reviewer</x:v>
      </x:c>
      <x:c r="BZ97" s="43" t="str"/>
      <x:c r="CA97" s="43" t="str">
        <x:v>1.46288</x:v>
      </x:c>
      <x:c r="CB97" s="43" t="str">
        <x:v>Accepted analysis assumption: SD = sqrt(mean); SE = SD / sqrt(n)</x:v>
      </x:c>
      <x:c r="CC97" s="43" t="str">
        <x:v>included_studies/whitlow_1978_thesis.pdf; figure error bars are not defined; assumption approved by reviewer</x:v>
      </x:c>
      <x:c r="CD97" s="43" t="str">
        <x:v>Corrected derived value</x:v>
      </x:c>
      <x:c r="CE97" s="43" t="str">
        <x:v>Variance decision – Whitlow 1978</x:v>
      </x:c>
      <x:c r="CF97" s="43" t="str">
        <x:v>Variance assumption accepted: SD=sqrt(mean), then SE=SD/sqrt(n).</x:v>
      </x:c>
    </x:row>
    <x:row r="98">
      <x:c r="A98" s="43" t="str">
        <x:v>98</x:v>
      </x:c>
      <x:c r="B98" s="43" t="str">
        <x:v>whitlow_1978_thesis</x:v>
      </x:c>
      <x:c r="C98" s="43" t="str">
        <x:v>ex022</x:v>
      </x:c>
      <x:c r="D98" s="43" t="str">
        <x:v>con017</x:v>
      </x:c>
      <x:c r="E98" s="43" t="str">
        <x:v>out055</x:v>
      </x:c>
      <x:c r="F98" s="43" t="str">
        <x:v>es097</x:v>
      </x:c>
      <x:c r="G98" s="43" t="str">
        <x:v>Yes</x:v>
      </x:c>
      <x:c r="H98" s="43" t="str">
        <x:v>They had two experimental groups, 65dB and 85dB, they did 3 trials, one per day of the OFT</x:v>
      </x:c>
      <x:c r="I98" s="43" t="str">
        <x:v>THE EFFECT OF SOUND STIMULATION DURING GESTATION  ON THE BEHAVIOR OF RAT OFFSPRING</x:v>
      </x:c>
      <x:c r="J98" s="43" t="str"/>
      <x:c r="K98" s="43" t="str">
        <x:v>Thesis</x:v>
      </x:c>
      <x:c r="L98" s="43" t="str"/>
      <x:c r="M98" s="43" t="str">
        <x:v>Rattus norvegicus</x:v>
      </x:c>
      <x:c r="N98" s="43" t="str">
        <x:v>hooded rat</x:v>
      </x:c>
      <x:c r="O98" s="43" t="str">
        <x:v>Lister rat</x:v>
      </x:c>
      <x:c r="P98" s="43" t="str"/>
      <x:c r="Q98" s="43" t="str">
        <x:v>not reported</x:v>
      </x:c>
      <x:c r="R98" s="43" t="str">
        <x:v>mid, late</x:v>
      </x:c>
      <x:c r="S98" s="43" t="str">
        <x:v>day 12-19</x:v>
      </x:c>
      <x:c r="T98" s="43" t="str">
        <x:v>8</x:v>
      </x:c>
      <x:c r="U98" s="43" t="str">
        <x:v>Intermitent</x:v>
      </x:c>
      <x:c r="V98" s="43" t="str">
        <x:v>0.005</x:v>
      </x:c>
      <x:c r="W98" s="43" t="str">
        <x:v>18 seconds per day. It was a tone</x:v>
      </x:c>
      <x:c r="X98" s="43" t="str">
        <x:v>White noise</x:v>
      </x:c>
      <x:c r="Y98" s="43" t="str">
        <x:v>Audible</x:v>
      </x:c>
      <x:c r="Z98" s="43" t="str">
        <x:v>65</x:v>
      </x:c>
      <x:c r="AA98" s="43" t="str">
        <x:v>2500</x:v>
      </x:c>
      <x:c r="AB98" s="43" t="str">
        <x:v>Unclear</x:v>
      </x:c>
      <x:c r="AC98" s="43" t="str"/>
      <x:c r="AD98" s="43" t="str">
        <x:v>No noise, moved into experimental sound cage</x:v>
      </x:c>
      <x:c r="AE98" s="43" t="str">
        <x:v>male</x:v>
      </x:c>
      <x:c r="AF98" s="43" t="str">
        <x:v>26</x:v>
      </x:c>
      <x:c r="AG98" s="43" t="str"/>
      <x:c r="AH98" s="43" t="str">
        <x:v>Cross-Fostered</x:v>
      </x:c>
      <x:c r="AI98" s="43" t="str"/>
      <x:c r="AJ98" s="43" t="str">
        <x:v>Anxiety</x:v>
      </x:c>
      <x:c r="AK98" s="43" t="str">
        <x:v>Open Field Test (OFT)</x:v>
      </x:c>
      <x:c r="AL98" s="43" t="str">
        <x:v>Circular open-field, duration 3 minutes and repeated in 3 consecutive days</x:v>
      </x:c>
      <x:c r="AM98" s="43" t="str">
        <x:v>Sections crossed</x:v>
      </x:c>
      <x:c r="AN98" s="43" t="str">
        <x:v>Count</x:v>
      </x:c>
      <x:c r="AO98" s="43" t="str">
        <x:v>Count</x:v>
      </x:c>
      <x:c r="AP98" s="43" t="str">
        <x:v>Not reported</x:v>
      </x:c>
      <x:c r="AQ98" s="43" t="str">
        <x:v>Figure 2</x:v>
      </x:c>
      <x:c r="AR98" s="43" t="str">
        <x:v>whitlow_1978_thesis_fig2</x:v>
      </x:c>
      <x:c r="AS98" s="43" t="str">
        <x:v>HNoN_2_sq</x:v>
      </x:c>
      <x:c r="AT98" s="43" t="str">
        <x:v>HLN_2_sq</x:v>
      </x:c>
      <x:c r="AU98" s="43" t="str">
        <x:v>HNoN_HLN_2_sq</x:v>
      </x:c>
      <x:c r="AV98" s="43" t="str">
        <x:v>Dependent</x:v>
      </x:c>
      <x:c r="AW98" s="43" t="str">
        <x:v>Yes</x:v>
      </x:c>
      <x:c r="AX98" s="43" t="str">
        <x:v>Negative</x:v>
      </x:c>
      <x:c r="AY98" s="43" t="str"/>
      <x:c r="AZ98" s="43" t="str">
        <x:v>39.74</x:v>
      </x:c>
      <x:c r="BA98" s="43" t="str">
        <x:v>6.304</x:v>
      </x:c>
      <x:c r="BB98" s="43" t="str">
        <x:v>20</x:v>
      </x:c>
      <x:c r="BC98" s="43" t="str"/>
      <x:c r="BD98" s="43" t="str"/>
      <x:c r="BE98" s="43" t="str">
        <x:v>36.8824</x:v>
      </x:c>
      <x:c r="BF98" s="43" t="str">
        <x:v>6.0731</x:v>
      </x:c>
      <x:c r="BG98" s="43" t="str">
        <x:v>20</x:v>
      </x:c>
      <x:c r="BH98" s="43" t="str"/>
      <x:c r="BI98" s="43" t="str"/>
      <x:c r="BJ98" s="43" t="str">
        <x:v>Figure only showed mean, imputated sd=SQRT(mean) as are counts in a certain tine</x:v>
      </x:c>
      <x:c r="BK98"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98" s="43" t="str"/>
      <x:c r="BM98" s="43" t="str"/>
      <x:c r="BN98" s="43" t="str"/>
      <x:c r="BO98" s="43" t="str"/>
      <x:c r="BP98" s="43" t="str"/>
      <x:c r="BQ98" s="43" t="str"/>
      <x:c r="BR98" s="43" t="str">
        <x:v>yes</x:v>
      </x:c>
      <x:c r="BS98" s="43" t="str">
        <x:v>adjust comments text</x:v>
      </x:c>
      <x:c r="BT98" s="43" t="str"/>
      <x:c r="BU98" s="43" t="str"/>
      <x:c r="BV98" s="43" t="str"/>
      <x:c r="BW98" s="43" t="str">
        <x:v>1.409617</x:v>
      </x:c>
      <x:c r="BX98" s="43" t="str">
        <x:v>Accepted analysis assumption: SD = sqrt(mean); SE = SD / sqrt(n)</x:v>
      </x:c>
      <x:c r="BY98" s="43" t="str">
        <x:v>included_studies/whitlow_1978_thesis.pdf; figure error bars are not defined; assumption approved by reviewer</x:v>
      </x:c>
      <x:c r="BZ98" s="43" t="str"/>
      <x:c r="CA98" s="43" t="str">
        <x:v>1.357986</x:v>
      </x:c>
      <x:c r="CB98" s="43" t="str">
        <x:v>Accepted analysis assumption: SD = sqrt(mean); SE = SD / sqrt(n)</x:v>
      </x:c>
      <x:c r="CC98" s="43" t="str">
        <x:v>included_studies/whitlow_1978_thesis.pdf; figure error bars are not defined; assumption approved by reviewer</x:v>
      </x:c>
      <x:c r="CD98" s="43" t="str">
        <x:v>Corrected derived value</x:v>
      </x:c>
      <x:c r="CE98" s="43" t="str">
        <x:v>Variance decision – Whitlow 1978</x:v>
      </x:c>
      <x:c r="CF98" s="43" t="str">
        <x:v>Variance assumption accepted: SD=sqrt(mean), then SE=SD/sqrt(n).</x:v>
      </x:c>
    </x:row>
    <x:row r="99">
      <x:c r="A99" s="43" t="str">
        <x:v>99</x:v>
      </x:c>
      <x:c r="B99" s="43" t="str">
        <x:v>whitlow_1978_thesis</x:v>
      </x:c>
      <x:c r="C99" s="43" t="str">
        <x:v>ex021</x:v>
      </x:c>
      <x:c r="D99" s="43" t="str">
        <x:v>con017</x:v>
      </x:c>
      <x:c r="E99" s="43" t="str">
        <x:v>out055</x:v>
      </x:c>
      <x:c r="F99" s="43" t="str">
        <x:v>es098</x:v>
      </x:c>
      <x:c r="G99" s="43" t="str">
        <x:v>Yes</x:v>
      </x:c>
      <x:c r="H99" s="43" t="str">
        <x:v>They had two experimental groups, 65dB and 85dB, they did 3 trials, one per day of the OFT</x:v>
      </x:c>
      <x:c r="I99" s="43" t="str">
        <x:v>THE EFFECT OF SOUND STIMULATION DURING GESTATION  ON THE BEHAVIOR OF RAT OFFSPRING</x:v>
      </x:c>
      <x:c r="J99" s="43" t="str"/>
      <x:c r="K99" s="43" t="str">
        <x:v>Thesis</x:v>
      </x:c>
      <x:c r="L99" s="43" t="str"/>
      <x:c r="M99" s="43" t="str">
        <x:v>Rattus norvegicus</x:v>
      </x:c>
      <x:c r="N99" s="43" t="str">
        <x:v>hooded rat</x:v>
      </x:c>
      <x:c r="O99" s="43" t="str">
        <x:v>Lister rat</x:v>
      </x:c>
      <x:c r="P99" s="43" t="str"/>
      <x:c r="Q99" s="43" t="str">
        <x:v>not reported</x:v>
      </x:c>
      <x:c r="R99" s="43" t="str">
        <x:v>mid, late</x:v>
      </x:c>
      <x:c r="S99" s="43" t="str">
        <x:v>day 12-19</x:v>
      </x:c>
      <x:c r="T99" s="43" t="str">
        <x:v>8</x:v>
      </x:c>
      <x:c r="U99" s="43" t="str">
        <x:v>Intermitent</x:v>
      </x:c>
      <x:c r="V99" s="43" t="str">
        <x:v>0.005</x:v>
      </x:c>
      <x:c r="W99" s="43" t="str">
        <x:v>18 seconds per day. It was a tone</x:v>
      </x:c>
      <x:c r="X99" s="43" t="str">
        <x:v>White noise</x:v>
      </x:c>
      <x:c r="Y99" s="43" t="str">
        <x:v>Audible</x:v>
      </x:c>
      <x:c r="Z99" s="43" t="str">
        <x:v>85</x:v>
      </x:c>
      <x:c r="AA99" s="43" t="str">
        <x:v>2500</x:v>
      </x:c>
      <x:c r="AB99" s="43" t="str">
        <x:v>Unclear</x:v>
      </x:c>
      <x:c r="AC99" s="43" t="str"/>
      <x:c r="AD99" s="43" t="str">
        <x:v>No noise, moved into experimental sound cage</x:v>
      </x:c>
      <x:c r="AE99" s="43" t="str">
        <x:v>male</x:v>
      </x:c>
      <x:c r="AF99" s="43" t="str">
        <x:v>27</x:v>
      </x:c>
      <x:c r="AG99" s="43" t="str"/>
      <x:c r="AH99" s="43" t="str">
        <x:v>Cross-Fostered</x:v>
      </x:c>
      <x:c r="AI99" s="43" t="str"/>
      <x:c r="AJ99" s="43" t="str">
        <x:v>Anxiety</x:v>
      </x:c>
      <x:c r="AK99" s="43" t="str">
        <x:v>Open Field Test (OFT)</x:v>
      </x:c>
      <x:c r="AL99" s="43" t="str">
        <x:v>Circular open-field, duration 3 minutes and repeated in 3 consecutive days</x:v>
      </x:c>
      <x:c r="AM99" s="43" t="str">
        <x:v>Sections crossed</x:v>
      </x:c>
      <x:c r="AN99" s="43" t="str">
        <x:v>Count</x:v>
      </x:c>
      <x:c r="AO99" s="43" t="str">
        <x:v>Count</x:v>
      </x:c>
      <x:c r="AP99" s="43" t="str">
        <x:v>Not reported</x:v>
      </x:c>
      <x:c r="AQ99" s="43" t="str">
        <x:v>Figure 2</x:v>
      </x:c>
      <x:c r="AR99" s="43" t="str">
        <x:v>whitlow_1978_thesis_fig2</x:v>
      </x:c>
      <x:c r="AS99" s="43" t="str">
        <x:v>HNoN_3_sq</x:v>
      </x:c>
      <x:c r="AT99" s="43" t="str">
        <x:v>HN_3_sq</x:v>
      </x:c>
      <x:c r="AU99" s="43" t="str">
        <x:v>HNoN_HN_3_sq</x:v>
      </x:c>
      <x:c r="AV99" s="43" t="str">
        <x:v>Dependent</x:v>
      </x:c>
      <x:c r="AW99" s="43" t="str">
        <x:v>Yes</x:v>
      </x:c>
      <x:c r="AX99" s="43" t="str">
        <x:v>Negative</x:v>
      </x:c>
      <x:c r="AY99" s="43" t="str"/>
      <x:c r="AZ99" s="43" t="str">
        <x:v>17.33</x:v>
      </x:c>
      <x:c r="BA99" s="43" t="str">
        <x:v>4.1629</x:v>
      </x:c>
      <x:c r="BB99" s="43" t="str">
        <x:v>20</x:v>
      </x:c>
      <x:c r="BC99" s="43" t="str"/>
      <x:c r="BD99" s="43" t="str"/>
      <x:c r="BE99" s="43" t="str">
        <x:v>26.7371</x:v>
      </x:c>
      <x:c r="BF99" s="43" t="str">
        <x:v>5.1708</x:v>
      </x:c>
      <x:c r="BG99" s="43" t="str">
        <x:v>20</x:v>
      </x:c>
      <x:c r="BH99" s="43" t="str"/>
      <x:c r="BI99" s="43" t="str"/>
      <x:c r="BJ99" s="43" t="str">
        <x:v>Figure only showed mean, imputated sd=SQRT(mean) as are counts in a certain tine</x:v>
      </x:c>
      <x:c r="BK99"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99" s="43" t="str"/>
      <x:c r="BM99" s="43" t="str"/>
      <x:c r="BN99" s="43" t="str"/>
      <x:c r="BO99" s="43" t="str"/>
      <x:c r="BP99" s="43" t="str"/>
      <x:c r="BQ99" s="43" t="str"/>
      <x:c r="BR99" s="43" t="str">
        <x:v>yes</x:v>
      </x:c>
      <x:c r="BS99" s="43" t="str">
        <x:v>adjust comments text</x:v>
      </x:c>
      <x:c r="BT99" s="43" t="str"/>
      <x:c r="BU99" s="43" t="str"/>
      <x:c r="BV99" s="43" t="str"/>
      <x:c r="BW99" s="43" t="str">
        <x:v>0.930853</x:v>
      </x:c>
      <x:c r="BX99" s="43" t="str">
        <x:v>Accepted analysis assumption: SD = sqrt(mean); SE = SD / sqrt(n)</x:v>
      </x:c>
      <x:c r="BY99" s="43" t="str">
        <x:v>included_studies/whitlow_1978_thesis.pdf; figure error bars are not defined; assumption approved by reviewer</x:v>
      </x:c>
      <x:c r="BZ99" s="43" t="str"/>
      <x:c r="CA99" s="43" t="str">
        <x:v>1.156226</x:v>
      </x:c>
      <x:c r="CB99" s="43" t="str">
        <x:v>Accepted analysis assumption: SD = sqrt(mean); SE = SD / sqrt(n)</x:v>
      </x:c>
      <x:c r="CC99" s="43" t="str">
        <x:v>included_studies/whitlow_1978_thesis.pdf; figure error bars are not defined; assumption approved by reviewer</x:v>
      </x:c>
      <x:c r="CD99" s="43" t="str">
        <x:v>Corrected derived value</x:v>
      </x:c>
      <x:c r="CE99" s="43" t="str">
        <x:v>Variance decision – Whitlow 1978</x:v>
      </x:c>
      <x:c r="CF99" s="43" t="str">
        <x:v>Variance assumption accepted: SD=sqrt(mean), then SE=SD/sqrt(n).</x:v>
      </x:c>
    </x:row>
    <x:row r="100">
      <x:c r="A100" s="43" t="str">
        <x:v>100</x:v>
      </x:c>
      <x:c r="B100" s="43" t="str">
        <x:v>whitlow_1978_thesis</x:v>
      </x:c>
      <x:c r="C100" s="43" t="str">
        <x:v>ex022</x:v>
      </x:c>
      <x:c r="D100" s="43" t="str">
        <x:v>con017</x:v>
      </x:c>
      <x:c r="E100" s="43" t="str">
        <x:v>out055</x:v>
      </x:c>
      <x:c r="F100" s="43" t="str">
        <x:v>es099</x:v>
      </x:c>
      <x:c r="G100" s="43" t="str">
        <x:v>Yes</x:v>
      </x:c>
      <x:c r="H100" s="43" t="str">
        <x:v>They had two experimental groups, 65dB and 85dB, they did 3 trials, one per day of the OFT</x:v>
      </x:c>
      <x:c r="I100" s="43" t="str">
        <x:v>THE EFFECT OF SOUND STIMULATION DURING GESTATION  ON THE BEHAVIOR OF RAT OFFSPRING</x:v>
      </x:c>
      <x:c r="J100" s="43" t="str"/>
      <x:c r="K100" s="43" t="str">
        <x:v>Thesis</x:v>
      </x:c>
      <x:c r="L100" s="43" t="str"/>
      <x:c r="M100" s="43" t="str">
        <x:v>Rattus norvegicus</x:v>
      </x:c>
      <x:c r="N100" s="43" t="str">
        <x:v>hooded rat</x:v>
      </x:c>
      <x:c r="O100" s="43" t="str">
        <x:v>Lister rat</x:v>
      </x:c>
      <x:c r="P100" s="43" t="str"/>
      <x:c r="Q100" s="43" t="str">
        <x:v>not reported</x:v>
      </x:c>
      <x:c r="R100" s="43" t="str">
        <x:v>mid, late</x:v>
      </x:c>
      <x:c r="S100" s="43" t="str">
        <x:v>day 12-19</x:v>
      </x:c>
      <x:c r="T100" s="43" t="str">
        <x:v>8</x:v>
      </x:c>
      <x:c r="U100" s="43" t="str">
        <x:v>Intermitent</x:v>
      </x:c>
      <x:c r="V100" s="43" t="str">
        <x:v>0.005</x:v>
      </x:c>
      <x:c r="W100" s="43" t="str">
        <x:v>18 seconds per day. It was a tone</x:v>
      </x:c>
      <x:c r="X100" s="43" t="str">
        <x:v>White noise</x:v>
      </x:c>
      <x:c r="Y100" s="43" t="str">
        <x:v>Audible</x:v>
      </x:c>
      <x:c r="Z100" s="43" t="str">
        <x:v>65</x:v>
      </x:c>
      <x:c r="AA100" s="43" t="str">
        <x:v>2500</x:v>
      </x:c>
      <x:c r="AB100" s="43" t="str">
        <x:v>Unclear</x:v>
      </x:c>
      <x:c r="AC100" s="43" t="str"/>
      <x:c r="AD100" s="43" t="str">
        <x:v>No noise, moved into experimental sound cage</x:v>
      </x:c>
      <x:c r="AE100" s="43" t="str">
        <x:v>male</x:v>
      </x:c>
      <x:c r="AF100" s="43" t="str">
        <x:v>27</x:v>
      </x:c>
      <x:c r="AG100" s="43" t="str"/>
      <x:c r="AH100" s="43" t="str">
        <x:v>Cross-Fostered</x:v>
      </x:c>
      <x:c r="AI100" s="43" t="str"/>
      <x:c r="AJ100" s="43" t="str">
        <x:v>Anxiety</x:v>
      </x:c>
      <x:c r="AK100" s="43" t="str">
        <x:v>Open Field Test (OFT)</x:v>
      </x:c>
      <x:c r="AL100" s="43" t="str">
        <x:v>Circular open-field, duration 3 minutes and repeated in 3 consecutive days</x:v>
      </x:c>
      <x:c r="AM100" s="43" t="str">
        <x:v>Sections crossed</x:v>
      </x:c>
      <x:c r="AN100" s="43" t="str">
        <x:v>Count</x:v>
      </x:c>
      <x:c r="AO100" s="43" t="str">
        <x:v>Count</x:v>
      </x:c>
      <x:c r="AP100" s="43" t="str">
        <x:v>Not reported</x:v>
      </x:c>
      <x:c r="AQ100" s="43" t="str">
        <x:v>Figure 2</x:v>
      </x:c>
      <x:c r="AR100" s="43" t="str">
        <x:v>whitlow_1978_thesis_fig2</x:v>
      </x:c>
      <x:c r="AS100" s="43" t="str">
        <x:v>HNoN_3_sq</x:v>
      </x:c>
      <x:c r="AT100" s="43" t="str">
        <x:v>HLN_3_sq</x:v>
      </x:c>
      <x:c r="AU100" s="43" t="str">
        <x:v>HNoN_HLN_3_sq</x:v>
      </x:c>
      <x:c r="AV100" s="43" t="str">
        <x:v>Dependent</x:v>
      </x:c>
      <x:c r="AW100" s="43" t="str">
        <x:v>Yes</x:v>
      </x:c>
      <x:c r="AX100" s="43" t="str">
        <x:v>Negative</x:v>
      </x:c>
      <x:c r="AY100" s="43" t="str"/>
      <x:c r="AZ100" s="43" t="str">
        <x:v>17.33</x:v>
      </x:c>
      <x:c r="BA100" s="43" t="str">
        <x:v>4.1629</x:v>
      </x:c>
      <x:c r="BB100" s="43" t="str">
        <x:v>20</x:v>
      </x:c>
      <x:c r="BC100" s="43" t="str"/>
      <x:c r="BD100" s="43" t="str"/>
      <x:c r="BE100" s="43" t="str">
        <x:v>15.7464</x:v>
      </x:c>
      <x:c r="BF100" s="43" t="str">
        <x:v>3.9682</x:v>
      </x:c>
      <x:c r="BG100" s="43" t="str">
        <x:v>20</x:v>
      </x:c>
      <x:c r="BH100" s="43" t="str"/>
      <x:c r="BI100" s="43" t="str"/>
      <x:c r="BJ100" s="43" t="str">
        <x:v>Figure only showed mean, imputated sd=SQRT(mean) as are counts in a certain tine</x:v>
      </x:c>
      <x:c r="BK100"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0" s="43" t="str"/>
      <x:c r="BM100" s="43" t="str"/>
      <x:c r="BN100" s="43" t="str"/>
      <x:c r="BO100" s="43" t="str"/>
      <x:c r="BP100" s="43" t="str"/>
      <x:c r="BQ100" s="43" t="str"/>
      <x:c r="BR100" s="43" t="str">
        <x:v>yes</x:v>
      </x:c>
      <x:c r="BS100" s="43" t="str">
        <x:v>adjust comments text</x:v>
      </x:c>
      <x:c r="BT100" s="43" t="str"/>
      <x:c r="BU100" s="43" t="str"/>
      <x:c r="BV100" s="43" t="str"/>
      <x:c r="BW100" s="43" t="str">
        <x:v>0.930853</x:v>
      </x:c>
      <x:c r="BX100" s="43" t="str">
        <x:v>Accepted analysis assumption: SD = sqrt(mean); SE = SD / sqrt(n)</x:v>
      </x:c>
      <x:c r="BY100" s="43" t="str">
        <x:v>included_studies/whitlow_1978_thesis.pdf; figure error bars are not defined; assumption approved by reviewer</x:v>
      </x:c>
      <x:c r="BZ100" s="43" t="str"/>
      <x:c r="CA100" s="43" t="str">
        <x:v>0.887316</x:v>
      </x:c>
      <x:c r="CB100" s="43" t="str">
        <x:v>Accepted analysis assumption: SD = sqrt(mean); SE = SD / sqrt(n)</x:v>
      </x:c>
      <x:c r="CC100" s="43" t="str">
        <x:v>included_studies/whitlow_1978_thesis.pdf; figure error bars are not defined; assumption approved by reviewer</x:v>
      </x:c>
      <x:c r="CD100" s="43" t="str">
        <x:v>Corrected derived value</x:v>
      </x:c>
      <x:c r="CE100" s="43" t="str">
        <x:v>Variance decision – Whitlow 1978</x:v>
      </x:c>
      <x:c r="CF100" s="43" t="str">
        <x:v>Variance assumption accepted: SD=sqrt(mean), then SE=SD/sqrt(n).</x:v>
      </x:c>
    </x:row>
    <x:row r="101">
      <x:c r="A101" s="43" t="str">
        <x:v>101</x:v>
      </x:c>
      <x:c r="B101" s="43" t="str">
        <x:v>whitlow_1978_thesis</x:v>
      </x:c>
      <x:c r="C101" s="43" t="str">
        <x:v>ex021</x:v>
      </x:c>
      <x:c r="D101" s="43" t="str">
        <x:v>con017</x:v>
      </x:c>
      <x:c r="E101" s="43" t="str">
        <x:v>out056</x:v>
      </x:c>
      <x:c r="F101" s="43" t="str">
        <x:v>es100</x:v>
      </x:c>
      <x:c r="G101" s="43" t="str">
        <x:v>Yes</x:v>
      </x:c>
      <x:c r="H101" s="43" t="str">
        <x:v>They had two experimental groups, 65dB and 85dB, they did 3 trials, one per day of the OFT</x:v>
      </x:c>
      <x:c r="I101" s="43" t="str">
        <x:v>THE EFFECT OF SOUND STIMULATION DURING GESTATION  ON THE BEHAVIOR OF RAT OFFSPRING</x:v>
      </x:c>
      <x:c r="J101" s="43" t="str"/>
      <x:c r="K101" s="43" t="str">
        <x:v>Thesis</x:v>
      </x:c>
      <x:c r="L101" s="43" t="str"/>
      <x:c r="M101" s="43" t="str">
        <x:v>Rattus norvegicus</x:v>
      </x:c>
      <x:c r="N101" s="43" t="str">
        <x:v>hooded rat</x:v>
      </x:c>
      <x:c r="O101" s="43" t="str">
        <x:v>Lister rat</x:v>
      </x:c>
      <x:c r="P101" s="43" t="str"/>
      <x:c r="Q101" s="43" t="str">
        <x:v>not reported</x:v>
      </x:c>
      <x:c r="R101" s="43" t="str">
        <x:v>mid, late</x:v>
      </x:c>
      <x:c r="S101" s="43" t="str">
        <x:v>day 12-19</x:v>
      </x:c>
      <x:c r="T101" s="43" t="str">
        <x:v>8</x:v>
      </x:c>
      <x:c r="U101" s="43" t="str">
        <x:v>Intermitent</x:v>
      </x:c>
      <x:c r="V101" s="43" t="str">
        <x:v>0.005</x:v>
      </x:c>
      <x:c r="W101" s="43" t="str">
        <x:v>18 seconds per day. It was a tone</x:v>
      </x:c>
      <x:c r="X101" s="43" t="str">
        <x:v>White noise</x:v>
      </x:c>
      <x:c r="Y101" s="43" t="str">
        <x:v>Audible</x:v>
      </x:c>
      <x:c r="Z101" s="43" t="str">
        <x:v>85</x:v>
      </x:c>
      <x:c r="AA101" s="43" t="str">
        <x:v>2500</x:v>
      </x:c>
      <x:c r="AB101" s="43" t="str">
        <x:v>Unclear</x:v>
      </x:c>
      <x:c r="AC101" s="43" t="str"/>
      <x:c r="AD101" s="43" t="str">
        <x:v>No noise, moved into experimental sound cage</x:v>
      </x:c>
      <x:c r="AE101" s="43" t="str">
        <x:v>male</x:v>
      </x:c>
      <x:c r="AF101" s="43" t="str">
        <x:v>25</x:v>
      </x:c>
      <x:c r="AG101" s="43" t="str"/>
      <x:c r="AH101" s="43" t="str">
        <x:v>Cross-Fostered</x:v>
      </x:c>
      <x:c r="AI101" s="43" t="str"/>
      <x:c r="AJ101" s="43" t="str">
        <x:v>Anxiety</x:v>
      </x:c>
      <x:c r="AK101" s="43" t="str">
        <x:v>Open Field Test (OFT)</x:v>
      </x:c>
      <x:c r="AL101" s="43" t="str">
        <x:v>Circular open-field, duration 3 minutes and repeated in 3 consecutive days</x:v>
      </x:c>
      <x:c r="AM101" s="43" t="str">
        <x:v>Grooming frequency</x:v>
      </x:c>
      <x:c r="AN101" s="43" t="str">
        <x:v>Count</x:v>
      </x:c>
      <x:c r="AO101" s="43" t="str">
        <x:v>Count</x:v>
      </x:c>
      <x:c r="AP101" s="43" t="str">
        <x:v>Not reported</x:v>
      </x:c>
      <x:c r="AQ101" s="43" t="str">
        <x:v>Figure 4</x:v>
      </x:c>
      <x:c r="AR101" s="43" t="str">
        <x:v>whitlow_1978_thesis_fig4</x:v>
      </x:c>
      <x:c r="AS101" s="43" t="str">
        <x:v>HNoN_1_gr</x:v>
      </x:c>
      <x:c r="AT101" s="43" t="str">
        <x:v>HN_1_gr</x:v>
      </x:c>
      <x:c r="AU101" s="43" t="str">
        <x:v>HNoN_HN_1_gr</x:v>
      </x:c>
      <x:c r="AV101" s="43" t="str">
        <x:v>Dependent</x:v>
      </x:c>
      <x:c r="AW101" s="43" t="str">
        <x:v>No</x:v>
      </x:c>
      <x:c r="AX101" s="43" t="str">
        <x:v>Positive</x:v>
      </x:c>
      <x:c r="AY101" s="43" t="str"/>
      <x:c r="AZ101" s="43" t="str">
        <x:v>4.48</x:v>
      </x:c>
      <x:c r="BA101" s="43" t="str">
        <x:v>2.1166</x:v>
      </x:c>
      <x:c r="BB101" s="43" t="str">
        <x:v>20</x:v>
      </x:c>
      <x:c r="BC101" s="43" t="str"/>
      <x:c r="BD101" s="43" t="str"/>
      <x:c r="BE101" s="43" t="str">
        <x:v>3.6809</x:v>
      </x:c>
      <x:c r="BF101" s="43" t="str">
        <x:v>1.9186</x:v>
      </x:c>
      <x:c r="BG101" s="43" t="str">
        <x:v>20</x:v>
      </x:c>
      <x:c r="BH101" s="43" t="str"/>
      <x:c r="BI101" s="43" t="str"/>
      <x:c r="BJ101" s="43" t="str">
        <x:v>Figure only showed mean, imputated sd=SQRT(mean) as are counts in a certain tine</x:v>
      </x:c>
      <x:c r="BK101"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1" s="43" t="str"/>
      <x:c r="BM101" s="43" t="str"/>
      <x:c r="BN101" s="43" t="str"/>
      <x:c r="BO101" s="43" t="str"/>
      <x:c r="BP101" s="43" t="str"/>
      <x:c r="BQ101" s="43" t="str"/>
      <x:c r="BR101" s="43" t="str">
        <x:v>yes</x:v>
      </x:c>
      <x:c r="BS101" s="43" t="str">
        <x:v>adjust comments text</x:v>
      </x:c>
      <x:c r="BT101" s="43" t="str"/>
      <x:c r="BU101" s="43" t="str"/>
      <x:c r="BV101" s="43" t="str"/>
      <x:c r="BW101" s="43" t="str">
        <x:v>0.473286</x:v>
      </x:c>
      <x:c r="BX101" s="43" t="str">
        <x:v>Accepted analysis assumption: SD = sqrt(mean); SE = SD / sqrt(n)</x:v>
      </x:c>
      <x:c r="BY101" s="43" t="str">
        <x:v>included_studies/whitlow_1978_thesis.pdf; figure error bars are not defined; assumption approved by reviewer</x:v>
      </x:c>
      <x:c r="BZ101" s="43" t="str"/>
      <x:c r="CA101" s="43" t="str">
        <x:v>0.429012</x:v>
      </x:c>
      <x:c r="CB101" s="43" t="str">
        <x:v>Accepted analysis assumption: SD = sqrt(mean); SE = SD / sqrt(n)</x:v>
      </x:c>
      <x:c r="CC101" s="43" t="str">
        <x:v>included_studies/whitlow_1978_thesis.pdf; figure error bars are not defined; assumption approved by reviewer</x:v>
      </x:c>
      <x:c r="CD101" s="43" t="str">
        <x:v>Corrected derived value</x:v>
      </x:c>
      <x:c r="CE101" s="43" t="str">
        <x:v>Variance decision – Whitlow 1978</x:v>
      </x:c>
      <x:c r="CF101" s="43" t="str">
        <x:v>Variance assumption accepted: SD=sqrt(mean), then SE=SD/sqrt(n).</x:v>
      </x:c>
    </x:row>
    <x:row r="102">
      <x:c r="A102" s="43" t="str">
        <x:v>102</x:v>
      </x:c>
      <x:c r="B102" s="43" t="str">
        <x:v>whitlow_1978_thesis</x:v>
      </x:c>
      <x:c r="C102" s="43" t="str">
        <x:v>ex022</x:v>
      </x:c>
      <x:c r="D102" s="43" t="str">
        <x:v>con017</x:v>
      </x:c>
      <x:c r="E102" s="43" t="str">
        <x:v>out056</x:v>
      </x:c>
      <x:c r="F102" s="43" t="str">
        <x:v>es101</x:v>
      </x:c>
      <x:c r="G102" s="43" t="str">
        <x:v>Yes</x:v>
      </x:c>
      <x:c r="H102" s="43" t="str">
        <x:v>They had two experimental groups, 65dB and 85dB, they did 3 trials, one per day of the OFT</x:v>
      </x:c>
      <x:c r="I102" s="43" t="str">
        <x:v>THE EFFECT OF SOUND STIMULATION DURING GESTATION  ON THE BEHAVIOR OF RAT OFFSPRING</x:v>
      </x:c>
      <x:c r="J102" s="43" t="str"/>
      <x:c r="K102" s="43" t="str">
        <x:v>Thesis</x:v>
      </x:c>
      <x:c r="L102" s="43" t="str"/>
      <x:c r="M102" s="43" t="str">
        <x:v>Rattus norvegicus</x:v>
      </x:c>
      <x:c r="N102" s="43" t="str">
        <x:v>hooded rat</x:v>
      </x:c>
      <x:c r="O102" s="43" t="str">
        <x:v>Lister rat</x:v>
      </x:c>
      <x:c r="P102" s="43" t="str"/>
      <x:c r="Q102" s="43" t="str">
        <x:v>not reported</x:v>
      </x:c>
      <x:c r="R102" s="43" t="str">
        <x:v>mid, late</x:v>
      </x:c>
      <x:c r="S102" s="43" t="str">
        <x:v>day 12-19</x:v>
      </x:c>
      <x:c r="T102" s="43" t="str">
        <x:v>8</x:v>
      </x:c>
      <x:c r="U102" s="43" t="str">
        <x:v>Intermitent</x:v>
      </x:c>
      <x:c r="V102" s="43" t="str">
        <x:v>0.005</x:v>
      </x:c>
      <x:c r="W102" s="43" t="str">
        <x:v>18 seconds per day. It was a tone</x:v>
      </x:c>
      <x:c r="X102" s="43" t="str">
        <x:v>White noise</x:v>
      </x:c>
      <x:c r="Y102" s="43" t="str">
        <x:v>Audible</x:v>
      </x:c>
      <x:c r="Z102" s="43" t="str">
        <x:v>65</x:v>
      </x:c>
      <x:c r="AA102" s="43" t="str">
        <x:v>2500</x:v>
      </x:c>
      <x:c r="AB102" s="43" t="str">
        <x:v>Unclear</x:v>
      </x:c>
      <x:c r="AC102" s="43" t="str"/>
      <x:c r="AD102" s="43" t="str">
        <x:v>No noise, moved into experimental sound cage</x:v>
      </x:c>
      <x:c r="AE102" s="43" t="str">
        <x:v>male</x:v>
      </x:c>
      <x:c r="AF102" s="43" t="str">
        <x:v>25</x:v>
      </x:c>
      <x:c r="AG102" s="43" t="str"/>
      <x:c r="AH102" s="43" t="str">
        <x:v>Cross-Fostered</x:v>
      </x:c>
      <x:c r="AI102" s="43" t="str"/>
      <x:c r="AJ102" s="43" t="str">
        <x:v>Anxiety</x:v>
      </x:c>
      <x:c r="AK102" s="43" t="str">
        <x:v>Open Field Test (OFT)</x:v>
      </x:c>
      <x:c r="AL102" s="43" t="str">
        <x:v>Circular open-field, duration 3 minutes and repeated in 3 consecutive days</x:v>
      </x:c>
      <x:c r="AM102" s="43" t="str">
        <x:v>Grooming frequency</x:v>
      </x:c>
      <x:c r="AN102" s="43" t="str">
        <x:v>Count</x:v>
      </x:c>
      <x:c r="AO102" s="43" t="str">
        <x:v>Count</x:v>
      </x:c>
      <x:c r="AP102" s="43" t="str">
        <x:v>Not reported</x:v>
      </x:c>
      <x:c r="AQ102" s="43" t="str">
        <x:v>Figure 4</x:v>
      </x:c>
      <x:c r="AR102" s="43" t="str">
        <x:v>whitlow_1978_thesis_fig4</x:v>
      </x:c>
      <x:c r="AS102" s="43" t="str">
        <x:v>HNoN_1_gr</x:v>
      </x:c>
      <x:c r="AT102" s="43" t="str">
        <x:v>HLN_1_gr</x:v>
      </x:c>
      <x:c r="AU102" s="43" t="str">
        <x:v>HNoN_HLN_1_gr</x:v>
      </x:c>
      <x:c r="AV102" s="43" t="str">
        <x:v>Dependent</x:v>
      </x:c>
      <x:c r="AW102" s="43" t="str">
        <x:v>No</x:v>
      </x:c>
      <x:c r="AX102" s="43" t="str">
        <x:v>Positive</x:v>
      </x:c>
      <x:c r="AY102" s="43" t="str"/>
      <x:c r="AZ102" s="43" t="str">
        <x:v>4.48</x:v>
      </x:c>
      <x:c r="BA102" s="43" t="str">
        <x:v>2.1166</x:v>
      </x:c>
      <x:c r="BB102" s="43" t="str">
        <x:v>20</x:v>
      </x:c>
      <x:c r="BC102" s="43" t="str"/>
      <x:c r="BD102" s="43" t="str"/>
      <x:c r="BE102" s="43" t="str">
        <x:v>3.708</x:v>
      </x:c>
      <x:c r="BF102" s="43" t="str">
        <x:v>1.9256</x:v>
      </x:c>
      <x:c r="BG102" s="43" t="str">
        <x:v>20</x:v>
      </x:c>
      <x:c r="BH102" s="43" t="str"/>
      <x:c r="BI102" s="43" t="str"/>
      <x:c r="BJ102" s="43" t="str">
        <x:v>Figure only showed mean, imputated sd=SQRT(mean) as are counts in a certain tine</x:v>
      </x:c>
      <x:c r="BK102"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2" s="43" t="str"/>
      <x:c r="BM102" s="43" t="str"/>
      <x:c r="BN102" s="43" t="str"/>
      <x:c r="BO102" s="43" t="str"/>
      <x:c r="BP102" s="43" t="str"/>
      <x:c r="BQ102" s="43" t="str"/>
      <x:c r="BR102" s="43" t="str">
        <x:v>yes</x:v>
      </x:c>
      <x:c r="BS102" s="43" t="str">
        <x:v>adjust comments text</x:v>
      </x:c>
      <x:c r="BT102" s="43" t="str"/>
      <x:c r="BU102" s="43" t="str"/>
      <x:c r="BV102" s="43" t="str"/>
      <x:c r="BW102" s="43" t="str">
        <x:v>0.473286</x:v>
      </x:c>
      <x:c r="BX102" s="43" t="str">
        <x:v>Accepted analysis assumption: SD = sqrt(mean); SE = SD / sqrt(n)</x:v>
      </x:c>
      <x:c r="BY102" s="43" t="str">
        <x:v>included_studies/whitlow_1978_thesis.pdf; figure error bars are not defined; assumption approved by reviewer</x:v>
      </x:c>
      <x:c r="BZ102" s="43" t="str"/>
      <x:c r="CA102" s="43" t="str">
        <x:v>0.430577</x:v>
      </x:c>
      <x:c r="CB102" s="43" t="str">
        <x:v>Accepted analysis assumption: SD = sqrt(mean); SE = SD / sqrt(n)</x:v>
      </x:c>
      <x:c r="CC102" s="43" t="str">
        <x:v>included_studies/whitlow_1978_thesis.pdf; figure error bars are not defined; assumption approved by reviewer</x:v>
      </x:c>
      <x:c r="CD102" s="43" t="str">
        <x:v>Corrected derived value</x:v>
      </x:c>
      <x:c r="CE102" s="43" t="str">
        <x:v>Variance decision – Whitlow 1978</x:v>
      </x:c>
      <x:c r="CF102" s="43" t="str">
        <x:v>Variance assumption accepted: SD=sqrt(mean), then SE=SD/sqrt(n).</x:v>
      </x:c>
    </x:row>
    <x:row r="103">
      <x:c r="A103" s="43" t="str">
        <x:v>103</x:v>
      </x:c>
      <x:c r="B103" s="43" t="str">
        <x:v>whitlow_1978_thesis</x:v>
      </x:c>
      <x:c r="C103" s="43" t="str">
        <x:v>ex021</x:v>
      </x:c>
      <x:c r="D103" s="43" t="str">
        <x:v>con017</x:v>
      </x:c>
      <x:c r="E103" s="43" t="str">
        <x:v>out056</x:v>
      </x:c>
      <x:c r="F103" s="43" t="str">
        <x:v>es102</x:v>
      </x:c>
      <x:c r="G103" s="43" t="str">
        <x:v>Yes</x:v>
      </x:c>
      <x:c r="H103" s="43" t="str">
        <x:v>They had two experimental groups, 65dB and 85dB, they did 3 trials, one per day of the OFT</x:v>
      </x:c>
      <x:c r="I103" s="43" t="str">
        <x:v>THE EFFECT OF SOUND STIMULATION DURING GESTATION  ON THE BEHAVIOR OF RAT OFFSPRING</x:v>
      </x:c>
      <x:c r="J103" s="43" t="str"/>
      <x:c r="K103" s="43" t="str">
        <x:v>Thesis</x:v>
      </x:c>
      <x:c r="L103" s="43" t="str"/>
      <x:c r="M103" s="43" t="str">
        <x:v>Rattus norvegicus</x:v>
      </x:c>
      <x:c r="N103" s="43" t="str">
        <x:v>hooded rat</x:v>
      </x:c>
      <x:c r="O103" s="43" t="str">
        <x:v>Lister rat</x:v>
      </x:c>
      <x:c r="P103" s="43" t="str"/>
      <x:c r="Q103" s="43" t="str">
        <x:v>not reported</x:v>
      </x:c>
      <x:c r="R103" s="43" t="str">
        <x:v>mid, late</x:v>
      </x:c>
      <x:c r="S103" s="43" t="str">
        <x:v>day 12-19</x:v>
      </x:c>
      <x:c r="T103" s="43" t="str">
        <x:v>8</x:v>
      </x:c>
      <x:c r="U103" s="43" t="str">
        <x:v>Intermitent</x:v>
      </x:c>
      <x:c r="V103" s="43" t="str">
        <x:v>0.005</x:v>
      </x:c>
      <x:c r="W103" s="43" t="str">
        <x:v>18 seconds per day. It was a tone</x:v>
      </x:c>
      <x:c r="X103" s="43" t="str">
        <x:v>White noise</x:v>
      </x:c>
      <x:c r="Y103" s="43" t="str">
        <x:v>Audible</x:v>
      </x:c>
      <x:c r="Z103" s="43" t="str">
        <x:v>85</x:v>
      </x:c>
      <x:c r="AA103" s="43" t="str">
        <x:v>2500</x:v>
      </x:c>
      <x:c r="AB103" s="43" t="str">
        <x:v>Unclear</x:v>
      </x:c>
      <x:c r="AC103" s="43" t="str"/>
      <x:c r="AD103" s="43" t="str">
        <x:v>No noise, moved into experimental sound cage</x:v>
      </x:c>
      <x:c r="AE103" s="43" t="str">
        <x:v>male</x:v>
      </x:c>
      <x:c r="AF103" s="43" t="str">
        <x:v>26</x:v>
      </x:c>
      <x:c r="AG103" s="43" t="str"/>
      <x:c r="AH103" s="43" t="str">
        <x:v>Cross-Fostered</x:v>
      </x:c>
      <x:c r="AI103" s="43" t="str"/>
      <x:c r="AJ103" s="43" t="str">
        <x:v>Anxiety</x:v>
      </x:c>
      <x:c r="AK103" s="43" t="str">
        <x:v>Open Field Test (OFT)</x:v>
      </x:c>
      <x:c r="AL103" s="43" t="str">
        <x:v>Circular open-field, duration 3 minutes and repeated in 3 consecutive days</x:v>
      </x:c>
      <x:c r="AM103" s="43" t="str">
        <x:v>Grooming frequency</x:v>
      </x:c>
      <x:c r="AN103" s="43" t="str">
        <x:v>Count</x:v>
      </x:c>
      <x:c r="AO103" s="43" t="str">
        <x:v>Count</x:v>
      </x:c>
      <x:c r="AP103" s="43" t="str">
        <x:v>Not reported</x:v>
      </x:c>
      <x:c r="AQ103" s="43" t="str">
        <x:v>Figure 4</x:v>
      </x:c>
      <x:c r="AR103" s="43" t="str">
        <x:v>whitlow_1978_thesis_fig4</x:v>
      </x:c>
      <x:c r="AS103" s="43" t="str">
        <x:v>HNoN_2_gr</x:v>
      </x:c>
      <x:c r="AT103" s="43" t="str">
        <x:v>HN_2_gr</x:v>
      </x:c>
      <x:c r="AU103" s="43" t="str">
        <x:v>HNoN_HN_2_gr</x:v>
      </x:c>
      <x:c r="AV103" s="43" t="str">
        <x:v>Dependent</x:v>
      </x:c>
      <x:c r="AW103" s="43" t="str">
        <x:v>No</x:v>
      </x:c>
      <x:c r="AX103" s="43" t="str">
        <x:v>Positive</x:v>
      </x:c>
      <x:c r="AY103" s="43" t="str"/>
      <x:c r="AZ103" s="43" t="str">
        <x:v>6.39</x:v>
      </x:c>
      <x:c r="BA103" s="43" t="str">
        <x:v>2.5278</x:v>
      </x:c>
      <x:c r="BB103" s="43" t="str">
        <x:v>20</x:v>
      </x:c>
      <x:c r="BC103" s="43" t="str"/>
      <x:c r="BD103" s="43" t="str"/>
      <x:c r="BE103" s="43" t="str">
        <x:v>5.6705</x:v>
      </x:c>
      <x:c r="BF103" s="43" t="str">
        <x:v>2.3813</x:v>
      </x:c>
      <x:c r="BG103" s="43" t="str">
        <x:v>20</x:v>
      </x:c>
      <x:c r="BH103" s="43" t="str"/>
      <x:c r="BI103" s="43" t="str"/>
      <x:c r="BJ103" s="43" t="str">
        <x:v>Figure only showed mean, imputated sd=SQRT(mean) as are counts in a certain tine</x:v>
      </x:c>
      <x:c r="BK103"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3" s="43" t="str"/>
      <x:c r="BM103" s="43" t="str"/>
      <x:c r="BN103" s="43" t="str"/>
      <x:c r="BO103" s="43" t="str"/>
      <x:c r="BP103" s="43" t="str"/>
      <x:c r="BQ103" s="43" t="str"/>
      <x:c r="BR103" s="43" t="str">
        <x:v>yes</x:v>
      </x:c>
      <x:c r="BS103" s="43" t="str">
        <x:v>adjust comments text</x:v>
      </x:c>
      <x:c r="BT103" s="43" t="str"/>
      <x:c r="BU103" s="43" t="str"/>
      <x:c r="BV103" s="43" t="str"/>
      <x:c r="BW103" s="43" t="str">
        <x:v>0.565233</x:v>
      </x:c>
      <x:c r="BX103" s="43" t="str">
        <x:v>Accepted analysis assumption: SD = sqrt(mean); SE = SD / sqrt(n)</x:v>
      </x:c>
      <x:c r="BY103" s="43" t="str">
        <x:v>included_studies/whitlow_1978_thesis.pdf; figure error bars are not defined; assumption approved by reviewer</x:v>
      </x:c>
      <x:c r="BZ103" s="43" t="str"/>
      <x:c r="CA103" s="43" t="str">
        <x:v>0.532475</x:v>
      </x:c>
      <x:c r="CB103" s="43" t="str">
        <x:v>Accepted analysis assumption: SD = sqrt(mean); SE = SD / sqrt(n)</x:v>
      </x:c>
      <x:c r="CC103" s="43" t="str">
        <x:v>included_studies/whitlow_1978_thesis.pdf; figure error bars are not defined; assumption approved by reviewer</x:v>
      </x:c>
      <x:c r="CD103" s="43" t="str">
        <x:v>Corrected derived value</x:v>
      </x:c>
      <x:c r="CE103" s="43" t="str">
        <x:v>Variance decision – Whitlow 1978</x:v>
      </x:c>
      <x:c r="CF103" s="43" t="str">
        <x:v>Variance assumption accepted: SD=sqrt(mean), then SE=SD/sqrt(n).</x:v>
      </x:c>
    </x:row>
    <x:row r="104">
      <x:c r="A104" s="43" t="str">
        <x:v>104</x:v>
      </x:c>
      <x:c r="B104" s="43" t="str">
        <x:v>whitlow_1978_thesis</x:v>
      </x:c>
      <x:c r="C104" s="43" t="str">
        <x:v>ex022</x:v>
      </x:c>
      <x:c r="D104" s="43" t="str">
        <x:v>con017</x:v>
      </x:c>
      <x:c r="E104" s="43" t="str">
        <x:v>out056</x:v>
      </x:c>
      <x:c r="F104" s="43" t="str">
        <x:v>es103</x:v>
      </x:c>
      <x:c r="G104" s="43" t="str">
        <x:v>Yes</x:v>
      </x:c>
      <x:c r="H104" s="43" t="str">
        <x:v>They had two experimental groups, 65dB and 85dB, they did 3 trials, one per day of the OFT</x:v>
      </x:c>
      <x:c r="I104" s="43" t="str">
        <x:v>THE EFFECT OF SOUND STIMULATION DURING GESTATION  ON THE BEHAVIOR OF RAT OFFSPRING</x:v>
      </x:c>
      <x:c r="J104" s="43" t="str"/>
      <x:c r="K104" s="43" t="str">
        <x:v>Thesis</x:v>
      </x:c>
      <x:c r="L104" s="43" t="str"/>
      <x:c r="M104" s="43" t="str">
        <x:v>Rattus norvegicus</x:v>
      </x:c>
      <x:c r="N104" s="43" t="str">
        <x:v>hooded rat</x:v>
      </x:c>
      <x:c r="O104" s="43" t="str">
        <x:v>Lister rat</x:v>
      </x:c>
      <x:c r="P104" s="43" t="str"/>
      <x:c r="Q104" s="43" t="str">
        <x:v>not reported</x:v>
      </x:c>
      <x:c r="R104" s="43" t="str">
        <x:v>mid, late</x:v>
      </x:c>
      <x:c r="S104" s="43" t="str">
        <x:v>day 12-19</x:v>
      </x:c>
      <x:c r="T104" s="43" t="str">
        <x:v>8</x:v>
      </x:c>
      <x:c r="U104" s="43" t="str">
        <x:v>Intermitent</x:v>
      </x:c>
      <x:c r="V104" s="43" t="str">
        <x:v>0.005</x:v>
      </x:c>
      <x:c r="W104" s="43" t="str">
        <x:v>18 seconds per day. It was a tone</x:v>
      </x:c>
      <x:c r="X104" s="43" t="str">
        <x:v>White noise</x:v>
      </x:c>
      <x:c r="Y104" s="43" t="str">
        <x:v>Audible</x:v>
      </x:c>
      <x:c r="Z104" s="43" t="str">
        <x:v>65</x:v>
      </x:c>
      <x:c r="AA104" s="43" t="str">
        <x:v>2500</x:v>
      </x:c>
      <x:c r="AB104" s="43" t="str">
        <x:v>Unclear</x:v>
      </x:c>
      <x:c r="AC104" s="43" t="str"/>
      <x:c r="AD104" s="43" t="str">
        <x:v>No noise, moved into experimental sound cage</x:v>
      </x:c>
      <x:c r="AE104" s="43" t="str">
        <x:v>male</x:v>
      </x:c>
      <x:c r="AF104" s="43" t="str">
        <x:v>26</x:v>
      </x:c>
      <x:c r="AG104" s="43" t="str"/>
      <x:c r="AH104" s="43" t="str">
        <x:v>Cross-Fostered</x:v>
      </x:c>
      <x:c r="AI104" s="43" t="str"/>
      <x:c r="AJ104" s="43" t="str">
        <x:v>Anxiety</x:v>
      </x:c>
      <x:c r="AK104" s="43" t="str">
        <x:v>Open Field Test (OFT)</x:v>
      </x:c>
      <x:c r="AL104" s="43" t="str">
        <x:v>Circular open-field, duration 3 minutes and repeated in 3 consecutive days</x:v>
      </x:c>
      <x:c r="AM104" s="43" t="str">
        <x:v>Grooming frequency</x:v>
      </x:c>
      <x:c r="AN104" s="43" t="str">
        <x:v>Count</x:v>
      </x:c>
      <x:c r="AO104" s="43" t="str">
        <x:v>Count</x:v>
      </x:c>
      <x:c r="AP104" s="43" t="str">
        <x:v>Not reported</x:v>
      </x:c>
      <x:c r="AQ104" s="43" t="str">
        <x:v>Figure 4</x:v>
      </x:c>
      <x:c r="AR104" s="43" t="str">
        <x:v>whitlow_1978_thesis_fig4</x:v>
      </x:c>
      <x:c r="AS104" s="43" t="str">
        <x:v>HNoN_2_gr</x:v>
      </x:c>
      <x:c r="AT104" s="43" t="str">
        <x:v>HLN_2_gr</x:v>
      </x:c>
      <x:c r="AU104" s="43" t="str">
        <x:v>HNoN_HLN_2_gr</x:v>
      </x:c>
      <x:c r="AV104" s="43" t="str">
        <x:v>Dependent</x:v>
      </x:c>
      <x:c r="AW104" s="43" t="str">
        <x:v>No</x:v>
      </x:c>
      <x:c r="AX104" s="43" t="str">
        <x:v>Positive</x:v>
      </x:c>
      <x:c r="AY104" s="43" t="str"/>
      <x:c r="AZ104" s="43" t="str">
        <x:v>6.39</x:v>
      </x:c>
      <x:c r="BA104" s="43" t="str">
        <x:v>2.5278</x:v>
      </x:c>
      <x:c r="BB104" s="43" t="str">
        <x:v>20</x:v>
      </x:c>
      <x:c r="BC104" s="43" t="str"/>
      <x:c r="BD104" s="43" t="str"/>
      <x:c r="BE104" s="43" t="str">
        <x:v>4.8023</x:v>
      </x:c>
      <x:c r="BF104" s="43" t="str">
        <x:v>2.1914</x:v>
      </x:c>
      <x:c r="BG104" s="43" t="str">
        <x:v>20</x:v>
      </x:c>
      <x:c r="BH104" s="43" t="str"/>
      <x:c r="BI104" s="43" t="str"/>
      <x:c r="BJ104" s="43" t="str">
        <x:v>Figure only showed mean, imputated sd=SQRT(mean) as are counts in a certain tine</x:v>
      </x:c>
      <x:c r="BK104"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4" s="43" t="str"/>
      <x:c r="BM104" s="43" t="str"/>
      <x:c r="BN104" s="43" t="str"/>
      <x:c r="BO104" s="43" t="str"/>
      <x:c r="BP104" s="43" t="str"/>
      <x:c r="BQ104" s="43" t="str"/>
      <x:c r="BR104" s="43" t="str">
        <x:v>yes</x:v>
      </x:c>
      <x:c r="BS104" s="43" t="str">
        <x:v>adjust comments text</x:v>
      </x:c>
      <x:c r="BT104" s="43" t="str"/>
      <x:c r="BU104" s="43" t="str"/>
      <x:c r="BV104" s="43" t="str"/>
      <x:c r="BW104" s="43" t="str">
        <x:v>0.565233</x:v>
      </x:c>
      <x:c r="BX104" s="43" t="str">
        <x:v>Accepted analysis assumption: SD = sqrt(mean); SE = SD / sqrt(n)</x:v>
      </x:c>
      <x:c r="BY104" s="43" t="str">
        <x:v>included_studies/whitlow_1978_thesis.pdf; figure error bars are not defined; assumption approved by reviewer</x:v>
      </x:c>
      <x:c r="BZ104" s="43" t="str"/>
      <x:c r="CA104" s="43" t="str">
        <x:v>0.490012</x:v>
      </x:c>
      <x:c r="CB104" s="43" t="str">
        <x:v>Accepted analysis assumption: SD = sqrt(mean); SE = SD / sqrt(n)</x:v>
      </x:c>
      <x:c r="CC104" s="43" t="str">
        <x:v>included_studies/whitlow_1978_thesis.pdf; figure error bars are not defined; assumption approved by reviewer</x:v>
      </x:c>
      <x:c r="CD104" s="43" t="str">
        <x:v>Corrected derived value</x:v>
      </x:c>
      <x:c r="CE104" s="43" t="str">
        <x:v>Variance decision – Whitlow 1978</x:v>
      </x:c>
      <x:c r="CF104" s="43" t="str">
        <x:v>Variance assumption accepted: SD=sqrt(mean), then SE=SD/sqrt(n).</x:v>
      </x:c>
    </x:row>
    <x:row r="105">
      <x:c r="A105" s="43" t="str">
        <x:v>105</x:v>
      </x:c>
      <x:c r="B105" s="43" t="str">
        <x:v>whitlow_1978_thesis</x:v>
      </x:c>
      <x:c r="C105" s="43" t="str">
        <x:v>ex021</x:v>
      </x:c>
      <x:c r="D105" s="43" t="str">
        <x:v>con017</x:v>
      </x:c>
      <x:c r="E105" s="43" t="str">
        <x:v>out056</x:v>
      </x:c>
      <x:c r="F105" s="43" t="str">
        <x:v>es104</x:v>
      </x:c>
      <x:c r="G105" s="43" t="str">
        <x:v>Yes</x:v>
      </x:c>
      <x:c r="H105" s="43" t="str">
        <x:v>They had two experimental groups, 65dB and 85dB, they did 3 trials, one per day of the OFT</x:v>
      </x:c>
      <x:c r="I105" s="43" t="str">
        <x:v>THE EFFECT OF SOUND STIMULATION DURING GESTATION  ON THE BEHAVIOR OF RAT OFFSPRING</x:v>
      </x:c>
      <x:c r="J105" s="43" t="str"/>
      <x:c r="K105" s="43" t="str">
        <x:v>Thesis</x:v>
      </x:c>
      <x:c r="L105" s="43" t="str"/>
      <x:c r="M105" s="43" t="str">
        <x:v>Rattus norvegicus</x:v>
      </x:c>
      <x:c r="N105" s="43" t="str">
        <x:v>hooded rat</x:v>
      </x:c>
      <x:c r="O105" s="43" t="str">
        <x:v>Lister rat</x:v>
      </x:c>
      <x:c r="P105" s="43" t="str"/>
      <x:c r="Q105" s="43" t="str">
        <x:v>not reported</x:v>
      </x:c>
      <x:c r="R105" s="43" t="str">
        <x:v>mid, late</x:v>
      </x:c>
      <x:c r="S105" s="43" t="str">
        <x:v>day 12-19</x:v>
      </x:c>
      <x:c r="T105" s="43" t="str">
        <x:v>8</x:v>
      </x:c>
      <x:c r="U105" s="43" t="str">
        <x:v>Intermitent</x:v>
      </x:c>
      <x:c r="V105" s="43" t="str">
        <x:v>0.005</x:v>
      </x:c>
      <x:c r="W105" s="43" t="str">
        <x:v>18 seconds per day. It was a tone</x:v>
      </x:c>
      <x:c r="X105" s="43" t="str">
        <x:v>White noise</x:v>
      </x:c>
      <x:c r="Y105" s="43" t="str">
        <x:v>Audible</x:v>
      </x:c>
      <x:c r="Z105" s="43" t="str">
        <x:v>85</x:v>
      </x:c>
      <x:c r="AA105" s="43" t="str">
        <x:v>2500</x:v>
      </x:c>
      <x:c r="AB105" s="43" t="str">
        <x:v>Unclear</x:v>
      </x:c>
      <x:c r="AC105" s="43" t="str"/>
      <x:c r="AD105" s="43" t="str">
        <x:v>No noise, moved into experimental sound cage</x:v>
      </x:c>
      <x:c r="AE105" s="43" t="str">
        <x:v>male</x:v>
      </x:c>
      <x:c r="AF105" s="43" t="str">
        <x:v>27</x:v>
      </x:c>
      <x:c r="AG105" s="43" t="str"/>
      <x:c r="AH105" s="43" t="str">
        <x:v>Cross-Fostered</x:v>
      </x:c>
      <x:c r="AI105" s="43" t="str"/>
      <x:c r="AJ105" s="43" t="str">
        <x:v>Anxiety</x:v>
      </x:c>
      <x:c r="AK105" s="43" t="str">
        <x:v>Open Field Test (OFT)</x:v>
      </x:c>
      <x:c r="AL105" s="43" t="str">
        <x:v>Circular open-field, duration 3 minutes and repeated in 3 consecutive days</x:v>
      </x:c>
      <x:c r="AM105" s="43" t="str">
        <x:v>Grooming frequency</x:v>
      </x:c>
      <x:c r="AN105" s="43" t="str">
        <x:v>Count</x:v>
      </x:c>
      <x:c r="AO105" s="43" t="str">
        <x:v>Count</x:v>
      </x:c>
      <x:c r="AP105" s="43" t="str">
        <x:v>Not reported</x:v>
      </x:c>
      <x:c r="AQ105" s="43" t="str">
        <x:v>Figure 4</x:v>
      </x:c>
      <x:c r="AR105" s="43" t="str">
        <x:v>whitlow_1978_thesis_fig4</x:v>
      </x:c>
      <x:c r="AS105" s="43" t="str">
        <x:v>HNoN_3_gr</x:v>
      </x:c>
      <x:c r="AT105" s="43" t="str">
        <x:v>HN_3_gr</x:v>
      </x:c>
      <x:c r="AU105" s="43" t="str">
        <x:v>HNoN_HN_3_gr</x:v>
      </x:c>
      <x:c r="AV105" s="43" t="str">
        <x:v>Dependent</x:v>
      </x:c>
      <x:c r="AW105" s="43" t="str">
        <x:v>No</x:v>
      </x:c>
      <x:c r="AX105" s="43" t="str">
        <x:v>Positive</x:v>
      </x:c>
      <x:c r="AY105" s="43" t="str"/>
      <x:c r="AZ105" s="43" t="str">
        <x:v>3.84</x:v>
      </x:c>
      <x:c r="BA105" s="43" t="str">
        <x:v>1.9596</x:v>
      </x:c>
      <x:c r="BB105" s="43" t="str">
        <x:v>20</x:v>
      </x:c>
      <x:c r="BC105" s="43" t="str"/>
      <x:c r="BD105" s="43" t="str"/>
      <x:c r="BE105" s="43" t="str">
        <x:v>3.6899</x:v>
      </x:c>
      <x:c r="BF105" s="43" t="str">
        <x:v>1.9209</x:v>
      </x:c>
      <x:c r="BG105" s="43" t="str">
        <x:v>20</x:v>
      </x:c>
      <x:c r="BH105" s="43" t="str"/>
      <x:c r="BI105" s="43" t="str"/>
      <x:c r="BJ105" s="43" t="str">
        <x:v>Figure only showed mean, imputated sd=SQRT(mean) as are counts in a certain tine</x:v>
      </x:c>
      <x:c r="BK105"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5" s="43" t="str"/>
      <x:c r="BM105" s="43" t="str"/>
      <x:c r="BN105" s="43" t="str"/>
      <x:c r="BO105" s="43" t="str"/>
      <x:c r="BP105" s="43" t="str"/>
      <x:c r="BQ105" s="43" t="str"/>
      <x:c r="BR105" s="43" t="str">
        <x:v>yes</x:v>
      </x:c>
      <x:c r="BS105" s="43" t="str">
        <x:v>adjust comments text</x:v>
      </x:c>
      <x:c r="BT105" s="43" t="str"/>
      <x:c r="BU105" s="43" t="str"/>
      <x:c r="BV105" s="43" t="str"/>
      <x:c r="BW105" s="43" t="str">
        <x:v>0.43818</x:v>
      </x:c>
      <x:c r="BX105" s="43" t="str">
        <x:v>Accepted analysis assumption: SD = sqrt(mean); SE = SD / sqrt(n)</x:v>
      </x:c>
      <x:c r="BY105" s="43" t="str">
        <x:v>included_studies/whitlow_1978_thesis.pdf; figure error bars are not defined; assumption approved by reviewer</x:v>
      </x:c>
      <x:c r="BZ105" s="43" t="str"/>
      <x:c r="CA105" s="43" t="str">
        <x:v>0.429526</x:v>
      </x:c>
      <x:c r="CB105" s="43" t="str">
        <x:v>Accepted analysis assumption: SD = sqrt(mean); SE = SD / sqrt(n)</x:v>
      </x:c>
      <x:c r="CC105" s="43" t="str">
        <x:v>included_studies/whitlow_1978_thesis.pdf; figure error bars are not defined; assumption approved by reviewer</x:v>
      </x:c>
      <x:c r="CD105" s="43" t="str">
        <x:v>Corrected derived value</x:v>
      </x:c>
      <x:c r="CE105" s="43" t="str">
        <x:v>Variance decision – Whitlow 1978</x:v>
      </x:c>
      <x:c r="CF105" s="43" t="str">
        <x:v>Variance assumption accepted: SD=sqrt(mean), then SE=SD/sqrt(n).</x:v>
      </x:c>
    </x:row>
    <x:row r="106">
      <x:c r="A106" s="43" t="str">
        <x:v>106</x:v>
      </x:c>
      <x:c r="B106" s="43" t="str">
        <x:v>whitlow_1978_thesis</x:v>
      </x:c>
      <x:c r="C106" s="43" t="str">
        <x:v>ex022</x:v>
      </x:c>
      <x:c r="D106" s="43" t="str">
        <x:v>con017</x:v>
      </x:c>
      <x:c r="E106" s="43" t="str">
        <x:v>out056</x:v>
      </x:c>
      <x:c r="F106" s="43" t="str">
        <x:v>es105</x:v>
      </x:c>
      <x:c r="G106" s="43" t="str">
        <x:v>Yes</x:v>
      </x:c>
      <x:c r="H106" s="43" t="str">
        <x:v>They had two experimental groups, 65dB and 85dB, they did 3 trials, one per day of the OFT</x:v>
      </x:c>
      <x:c r="I106" s="43" t="str">
        <x:v>THE EFFECT OF SOUND STIMULATION DURING GESTATION  ON THE BEHAVIOR OF RAT OFFSPRING</x:v>
      </x:c>
      <x:c r="J106" s="43" t="str"/>
      <x:c r="K106" s="43" t="str">
        <x:v>Thesis</x:v>
      </x:c>
      <x:c r="L106" s="43" t="str"/>
      <x:c r="M106" s="43" t="str">
        <x:v>Rattus norvegicus</x:v>
      </x:c>
      <x:c r="N106" s="43" t="str">
        <x:v>hooded rat</x:v>
      </x:c>
      <x:c r="O106" s="43" t="str">
        <x:v>Lister rat</x:v>
      </x:c>
      <x:c r="P106" s="43" t="str"/>
      <x:c r="Q106" s="43" t="str">
        <x:v>not reported</x:v>
      </x:c>
      <x:c r="R106" s="43" t="str">
        <x:v>mid, late</x:v>
      </x:c>
      <x:c r="S106" s="43" t="str">
        <x:v>day 12-19</x:v>
      </x:c>
      <x:c r="T106" s="43" t="str">
        <x:v>8</x:v>
      </x:c>
      <x:c r="U106" s="43" t="str">
        <x:v>Intermitent</x:v>
      </x:c>
      <x:c r="V106" s="43" t="str">
        <x:v>0.005</x:v>
      </x:c>
      <x:c r="W106" s="43" t="str">
        <x:v>18 seconds per day. It was a tone</x:v>
      </x:c>
      <x:c r="X106" s="43" t="str">
        <x:v>White noise</x:v>
      </x:c>
      <x:c r="Y106" s="43" t="str">
        <x:v>Audible</x:v>
      </x:c>
      <x:c r="Z106" s="43" t="str">
        <x:v>65</x:v>
      </x:c>
      <x:c r="AA106" s="43" t="str">
        <x:v>2500</x:v>
      </x:c>
      <x:c r="AB106" s="43" t="str">
        <x:v>Unclear</x:v>
      </x:c>
      <x:c r="AC106" s="43" t="str"/>
      <x:c r="AD106" s="43" t="str">
        <x:v>No noise, moved into experimental sound cage</x:v>
      </x:c>
      <x:c r="AE106" s="43" t="str">
        <x:v>male</x:v>
      </x:c>
      <x:c r="AF106" s="43" t="str">
        <x:v>27</x:v>
      </x:c>
      <x:c r="AG106" s="43" t="str"/>
      <x:c r="AH106" s="43" t="str">
        <x:v>Cross-Fostered</x:v>
      </x:c>
      <x:c r="AI106" s="43" t="str"/>
      <x:c r="AJ106" s="43" t="str">
        <x:v>Anxiety</x:v>
      </x:c>
      <x:c r="AK106" s="43" t="str">
        <x:v>Open Field Test (OFT)</x:v>
      </x:c>
      <x:c r="AL106" s="43" t="str">
        <x:v>Circular open-field, duration 3 minutes and repeated in 3 consecutive days</x:v>
      </x:c>
      <x:c r="AM106" s="43" t="str">
        <x:v>Grooming frequency</x:v>
      </x:c>
      <x:c r="AN106" s="43" t="str">
        <x:v>Count</x:v>
      </x:c>
      <x:c r="AO106" s="43" t="str">
        <x:v>Count</x:v>
      </x:c>
      <x:c r="AP106" s="43" t="str">
        <x:v>Not reported</x:v>
      </x:c>
      <x:c r="AQ106" s="43" t="str">
        <x:v>Figure 4</x:v>
      </x:c>
      <x:c r="AR106" s="43" t="str">
        <x:v>whitlow_1978_thesis_fig4</x:v>
      </x:c>
      <x:c r="AS106" s="43" t="str">
        <x:v>HNoN_3_gr</x:v>
      </x:c>
      <x:c r="AT106" s="43" t="str">
        <x:v>HLN_3_gr</x:v>
      </x:c>
      <x:c r="AU106" s="43" t="str">
        <x:v>HNoN_HLN_3_gr</x:v>
      </x:c>
      <x:c r="AV106" s="43" t="str">
        <x:v>Dependent</x:v>
      </x:c>
      <x:c r="AW106" s="43" t="str">
        <x:v>No</x:v>
      </x:c>
      <x:c r="AX106" s="43" t="str">
        <x:v>Positive</x:v>
      </x:c>
      <x:c r="AY106" s="43" t="str"/>
      <x:c r="AZ106" s="43" t="str">
        <x:v>3.84</x:v>
      </x:c>
      <x:c r="BA106" s="43" t="str">
        <x:v>1.9596</x:v>
      </x:c>
      <x:c r="BB106" s="43" t="str">
        <x:v>20</x:v>
      </x:c>
      <x:c r="BC106" s="43" t="str"/>
      <x:c r="BD106" s="43" t="str"/>
      <x:c r="BE106" s="43" t="str">
        <x:v>3.0749</x:v>
      </x:c>
      <x:c r="BF106" s="43" t="str">
        <x:v>1.7535</x:v>
      </x:c>
      <x:c r="BG106" s="43" t="str">
        <x:v>20</x:v>
      </x:c>
      <x:c r="BH106" s="43" t="str"/>
      <x:c r="BI106" s="43" t="str"/>
      <x:c r="BJ106" s="43" t="str">
        <x:v>Figure only showed mean, imputated sd=SQRT(mean) as are counts in a certain tine</x:v>
      </x:c>
      <x:c r="BK106"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6" s="43" t="str"/>
      <x:c r="BM106" s="43" t="str"/>
      <x:c r="BN106" s="43" t="str"/>
      <x:c r="BO106" s="43" t="str"/>
      <x:c r="BP106" s="43" t="str"/>
      <x:c r="BQ106" s="43" t="str"/>
      <x:c r="BR106" s="43" t="str">
        <x:v>yes</x:v>
      </x:c>
      <x:c r="BS106" s="43" t="str">
        <x:v>adjust comments text</x:v>
      </x:c>
      <x:c r="BT106" s="43" t="str"/>
      <x:c r="BU106" s="43" t="str"/>
      <x:c r="BV106" s="43" t="str"/>
      <x:c r="BW106" s="43" t="str">
        <x:v>0.43818</x:v>
      </x:c>
      <x:c r="BX106" s="43" t="str">
        <x:v>Accepted analysis assumption: SD = sqrt(mean); SE = SD / sqrt(n)</x:v>
      </x:c>
      <x:c r="BY106" s="43" t="str">
        <x:v>included_studies/whitlow_1978_thesis.pdf; figure error bars are not defined; assumption approved by reviewer</x:v>
      </x:c>
      <x:c r="BZ106" s="43" t="str"/>
      <x:c r="CA106" s="43" t="str">
        <x:v>0.392095</x:v>
      </x:c>
      <x:c r="CB106" s="43" t="str">
        <x:v>Accepted analysis assumption: SD = sqrt(mean); SE = SD / sqrt(n)</x:v>
      </x:c>
      <x:c r="CC106" s="43" t="str">
        <x:v>included_studies/whitlow_1978_thesis.pdf; figure error bars are not defined; assumption approved by reviewer</x:v>
      </x:c>
      <x:c r="CD106" s="43" t="str">
        <x:v>Corrected derived value</x:v>
      </x:c>
      <x:c r="CE106" s="43" t="str">
        <x:v>Variance decision – Whitlow 1978</x:v>
      </x:c>
      <x:c r="CF106" s="43" t="str">
        <x:v>Variance assumption accepted: SD=sqrt(mean), then SE=SD/sqrt(n).</x:v>
      </x:c>
    </x:row>
    <x:row r="107">
      <x:c r="A107" s="43" t="str">
        <x:v>107</x:v>
      </x:c>
      <x:c r="B107" s="43" t="str">
        <x:v>whitlow_1978_thesis</x:v>
      </x:c>
      <x:c r="C107" s="43" t="str">
        <x:v>ex021</x:v>
      </x:c>
      <x:c r="D107" s="43" t="str">
        <x:v>con017</x:v>
      </x:c>
      <x:c r="E107" s="43" t="str">
        <x:v>out057</x:v>
      </x:c>
      <x:c r="F107" s="43" t="str">
        <x:v>es106</x:v>
      </x:c>
      <x:c r="G107" s="43" t="str">
        <x:v>Yes</x:v>
      </x:c>
      <x:c r="H107" s="43" t="str">
        <x:v>They had two experimental groups, 65dB and 85dB, they did 3 trials, one per day of the OFT</x:v>
      </x:c>
      <x:c r="I107" s="43" t="str">
        <x:v>THE EFFECT OF SOUND STIMULATION DURING GESTATION  ON THE BEHAVIOR OF RAT OFFSPRING</x:v>
      </x:c>
      <x:c r="J107" s="43" t="str"/>
      <x:c r="K107" s="43" t="str">
        <x:v>Thesis</x:v>
      </x:c>
      <x:c r="L107" s="43" t="str"/>
      <x:c r="M107" s="43" t="str">
        <x:v>Rattus norvegicus</x:v>
      </x:c>
      <x:c r="N107" s="43" t="str">
        <x:v>hooded rat</x:v>
      </x:c>
      <x:c r="O107" s="43" t="str">
        <x:v>Lister rat</x:v>
      </x:c>
      <x:c r="P107" s="43" t="str"/>
      <x:c r="Q107" s="43" t="str">
        <x:v>not reported</x:v>
      </x:c>
      <x:c r="R107" s="43" t="str">
        <x:v>mid, late</x:v>
      </x:c>
      <x:c r="S107" s="43" t="str">
        <x:v>day 12-19</x:v>
      </x:c>
      <x:c r="T107" s="43" t="str">
        <x:v>8</x:v>
      </x:c>
      <x:c r="U107" s="43" t="str">
        <x:v>Intermitent</x:v>
      </x:c>
      <x:c r="V107" s="43" t="str">
        <x:v>0.005</x:v>
      </x:c>
      <x:c r="W107" s="43" t="str">
        <x:v>18 seconds per day. It was a tone</x:v>
      </x:c>
      <x:c r="X107" s="43" t="str">
        <x:v>White noise</x:v>
      </x:c>
      <x:c r="Y107" s="43" t="str">
        <x:v>Audible</x:v>
      </x:c>
      <x:c r="Z107" s="43" t="str">
        <x:v>85</x:v>
      </x:c>
      <x:c r="AA107" s="43" t="str">
        <x:v>2500</x:v>
      </x:c>
      <x:c r="AB107" s="43" t="str">
        <x:v>Unclear</x:v>
      </x:c>
      <x:c r="AC107" s="43" t="str"/>
      <x:c r="AD107" s="43" t="str">
        <x:v>No noise, moved into experimental sound cage</x:v>
      </x:c>
      <x:c r="AE107" s="43" t="str">
        <x:v>male</x:v>
      </x:c>
      <x:c r="AF107" s="43" t="str">
        <x:v>25</x:v>
      </x:c>
      <x:c r="AG107" s="43" t="str"/>
      <x:c r="AH107" s="43" t="str">
        <x:v>Cross-Fostered</x:v>
      </x:c>
      <x:c r="AI107" s="43" t="str"/>
      <x:c r="AJ107" s="43" t="str">
        <x:v>Anxiety</x:v>
      </x:c>
      <x:c r="AK107" s="43" t="str">
        <x:v>Open Field Test (OFT)</x:v>
      </x:c>
      <x:c r="AL107" s="43" t="str">
        <x:v>Circular open-field, duration 3 minutes and repeated in 3 consecutive days</x:v>
      </x:c>
      <x:c r="AM107" s="43" t="str">
        <x:v>Defecation amount</x:v>
      </x:c>
      <x:c r="AN107" s="43" t="str">
        <x:v>Count</x:v>
      </x:c>
      <x:c r="AO107" s="43" t="str">
        <x:v>Count</x:v>
      </x:c>
      <x:c r="AP107" s="43" t="str">
        <x:v>Not reported</x:v>
      </x:c>
      <x:c r="AQ107" s="43" t="str">
        <x:v>Figure 5</x:v>
      </x:c>
      <x:c r="AR107" s="43" t="str">
        <x:v>whitlow_1978_thesis_fig5</x:v>
      </x:c>
      <x:c r="AS107" s="43" t="str">
        <x:v>HNoN_1_de</x:v>
      </x:c>
      <x:c r="AT107" s="43" t="str">
        <x:v>HN_1_de</x:v>
      </x:c>
      <x:c r="AU107" s="43" t="str">
        <x:v>HNoN_HN_1_de</x:v>
      </x:c>
      <x:c r="AV107" s="43" t="str">
        <x:v>Dependent</x:v>
      </x:c>
      <x:c r="AW107" s="43" t="str">
        <x:v>No</x:v>
      </x:c>
      <x:c r="AX107" s="43" t="str">
        <x:v>Positive</x:v>
      </x:c>
      <x:c r="AY107" s="43" t="str"/>
      <x:c r="AZ107" s="43" t="str">
        <x:v>1.74</x:v>
      </x:c>
      <x:c r="BA107" s="43" t="str">
        <x:v>1.3191</x:v>
      </x:c>
      <x:c r="BB107" s="43" t="str">
        <x:v>20</x:v>
      </x:c>
      <x:c r="BC107" s="43" t="str"/>
      <x:c r="BD107" s="43" t="str"/>
      <x:c r="BE107" s="43" t="str">
        <x:v>2.3777</x:v>
      </x:c>
      <x:c r="BF107" s="43" t="str">
        <x:v>1.542</x:v>
      </x:c>
      <x:c r="BG107" s="43" t="str">
        <x:v>20</x:v>
      </x:c>
      <x:c r="BH107" s="43" t="str"/>
      <x:c r="BI107" s="43" t="str"/>
      <x:c r="BJ107" s="43" t="str">
        <x:v>Figure only showed mean, imputated sd=SQRT(mean) as are counts in a certain tine</x:v>
      </x:c>
      <x:c r="BK107"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7" s="43" t="str"/>
      <x:c r="BM107" s="43" t="str"/>
      <x:c r="BN107" s="43" t="str"/>
      <x:c r="BO107" s="43" t="str"/>
      <x:c r="BP107" s="43" t="str"/>
      <x:c r="BQ107" s="43" t="str"/>
      <x:c r="BR107" s="43" t="str">
        <x:v>yes</x:v>
      </x:c>
      <x:c r="BS107" s="43" t="str">
        <x:v>adjust comments text</x:v>
      </x:c>
      <x:c r="BT107" s="43" t="str"/>
      <x:c r="BU107" s="43" t="str"/>
      <x:c r="BV107" s="43" t="str"/>
      <x:c r="BW107" s="43" t="str">
        <x:v>0.29496</x:v>
      </x:c>
      <x:c r="BX107" s="43" t="str">
        <x:v>Accepted analysis assumption: SD = sqrt(mean); SE = SD / sqrt(n)</x:v>
      </x:c>
      <x:c r="BY107" s="43" t="str">
        <x:v>included_studies/whitlow_1978_thesis.pdf; figure error bars are not defined; assumption approved by reviewer</x:v>
      </x:c>
      <x:c r="BZ107" s="43" t="str"/>
      <x:c r="CA107" s="43" t="str">
        <x:v>0.344802</x:v>
      </x:c>
      <x:c r="CB107" s="43" t="str">
        <x:v>Accepted analysis assumption: SD = sqrt(mean); SE = SD / sqrt(n)</x:v>
      </x:c>
      <x:c r="CC107" s="43" t="str">
        <x:v>included_studies/whitlow_1978_thesis.pdf; figure error bars are not defined; assumption approved by reviewer</x:v>
      </x:c>
      <x:c r="CD107" s="43" t="str">
        <x:v>Corrected derived value</x:v>
      </x:c>
      <x:c r="CE107" s="43" t="str">
        <x:v>Variance decision – Whitlow 1978</x:v>
      </x:c>
      <x:c r="CF107" s="43" t="str">
        <x:v>Variance assumption accepted: SD=sqrt(mean), then SE=SD/sqrt(n).</x:v>
      </x:c>
    </x:row>
    <x:row r="108">
      <x:c r="A108" s="43" t="str">
        <x:v>108</x:v>
      </x:c>
      <x:c r="B108" s="43" t="str">
        <x:v>whitlow_1978_thesis</x:v>
      </x:c>
      <x:c r="C108" s="43" t="str">
        <x:v>ex022</x:v>
      </x:c>
      <x:c r="D108" s="43" t="str">
        <x:v>con017</x:v>
      </x:c>
      <x:c r="E108" s="43" t="str">
        <x:v>out057</x:v>
      </x:c>
      <x:c r="F108" s="43" t="str">
        <x:v>es107</x:v>
      </x:c>
      <x:c r="G108" s="43" t="str">
        <x:v>Yes</x:v>
      </x:c>
      <x:c r="H108" s="43" t="str">
        <x:v>They had two experimental groups, 65dB and 85dB, they did 3 trials, one per day of the OFT</x:v>
      </x:c>
      <x:c r="I108" s="43" t="str">
        <x:v>THE EFFECT OF SOUND STIMULATION DURING GESTATION  ON THE BEHAVIOR OF RAT OFFSPRING</x:v>
      </x:c>
      <x:c r="J108" s="43" t="str"/>
      <x:c r="K108" s="43" t="str">
        <x:v>Thesis</x:v>
      </x:c>
      <x:c r="L108" s="43" t="str"/>
      <x:c r="M108" s="43" t="str">
        <x:v>Rattus norvegicus</x:v>
      </x:c>
      <x:c r="N108" s="43" t="str">
        <x:v>hooded rat</x:v>
      </x:c>
      <x:c r="O108" s="43" t="str">
        <x:v>Lister rat</x:v>
      </x:c>
      <x:c r="P108" s="43" t="str"/>
      <x:c r="Q108" s="43" t="str">
        <x:v>not reported</x:v>
      </x:c>
      <x:c r="R108" s="43" t="str">
        <x:v>mid, late</x:v>
      </x:c>
      <x:c r="S108" s="43" t="str">
        <x:v>day 12-19</x:v>
      </x:c>
      <x:c r="T108" s="43" t="str">
        <x:v>8</x:v>
      </x:c>
      <x:c r="U108" s="43" t="str">
        <x:v>Intermitent</x:v>
      </x:c>
      <x:c r="V108" s="43" t="str">
        <x:v>0.005</x:v>
      </x:c>
      <x:c r="W108" s="43" t="str">
        <x:v>18 seconds per day. It was a tone</x:v>
      </x:c>
      <x:c r="X108" s="43" t="str">
        <x:v>White noise</x:v>
      </x:c>
      <x:c r="Y108" s="43" t="str">
        <x:v>Audible</x:v>
      </x:c>
      <x:c r="Z108" s="43" t="str">
        <x:v>65</x:v>
      </x:c>
      <x:c r="AA108" s="43" t="str">
        <x:v>2500</x:v>
      </x:c>
      <x:c r="AB108" s="43" t="str">
        <x:v>Unclear</x:v>
      </x:c>
      <x:c r="AC108" s="43" t="str"/>
      <x:c r="AD108" s="43" t="str">
        <x:v>No noise, moved into experimental sound cage</x:v>
      </x:c>
      <x:c r="AE108" s="43" t="str">
        <x:v>male</x:v>
      </x:c>
      <x:c r="AF108" s="43" t="str">
        <x:v>25</x:v>
      </x:c>
      <x:c r="AG108" s="43" t="str"/>
      <x:c r="AH108" s="43" t="str">
        <x:v>Cross-Fostered</x:v>
      </x:c>
      <x:c r="AI108" s="43" t="str"/>
      <x:c r="AJ108" s="43" t="str">
        <x:v>Anxiety</x:v>
      </x:c>
      <x:c r="AK108" s="43" t="str">
        <x:v>Open Field Test (OFT)</x:v>
      </x:c>
      <x:c r="AL108" s="43" t="str">
        <x:v>Circular open-field, duration 3 minutes and repeated in 3 consecutive days</x:v>
      </x:c>
      <x:c r="AM108" s="43" t="str">
        <x:v>Defecation amount</x:v>
      </x:c>
      <x:c r="AN108" s="43" t="str">
        <x:v>Count</x:v>
      </x:c>
      <x:c r="AO108" s="43" t="str">
        <x:v>Count</x:v>
      </x:c>
      <x:c r="AP108" s="43" t="str">
        <x:v>Not reported</x:v>
      </x:c>
      <x:c r="AQ108" s="43" t="str">
        <x:v>Figure 5</x:v>
      </x:c>
      <x:c r="AR108" s="43" t="str">
        <x:v>whitlow_1978_thesis_fig5</x:v>
      </x:c>
      <x:c r="AS108" s="43" t="str">
        <x:v>HNoN_1_de</x:v>
      </x:c>
      <x:c r="AT108" s="43" t="str">
        <x:v>HLN_1_de</x:v>
      </x:c>
      <x:c r="AU108" s="43" t="str">
        <x:v>HNoN_HLN_1_de</x:v>
      </x:c>
      <x:c r="AV108" s="43" t="str">
        <x:v>Dependent</x:v>
      </x:c>
      <x:c r="AW108" s="43" t="str">
        <x:v>No</x:v>
      </x:c>
      <x:c r="AX108" s="43" t="str">
        <x:v>Positive</x:v>
      </x:c>
      <x:c r="AY108" s="43" t="str"/>
      <x:c r="AZ108" s="43" t="str">
        <x:v>1.74</x:v>
      </x:c>
      <x:c r="BA108" s="43" t="str">
        <x:v>1.3191</x:v>
      </x:c>
      <x:c r="BB108" s="43" t="str">
        <x:v>20</x:v>
      </x:c>
      <x:c r="BC108" s="43" t="str"/>
      <x:c r="BD108" s="43" t="str"/>
      <x:c r="BE108" s="43" t="str">
        <x:v>2.0226</x:v>
      </x:c>
      <x:c r="BF108" s="43" t="str">
        <x:v>1.4222</x:v>
      </x:c>
      <x:c r="BG108" s="43" t="str">
        <x:v>20</x:v>
      </x:c>
      <x:c r="BH108" s="43" t="str"/>
      <x:c r="BI108" s="43" t="str"/>
      <x:c r="BJ108" s="43" t="str">
        <x:v>Figure only showed mean, imputated sd=SQRT(mean) as are counts in a certain tine</x:v>
      </x:c>
      <x:c r="BK108"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8" s="43" t="str"/>
      <x:c r="BM108" s="43" t="str"/>
      <x:c r="BN108" s="43" t="str"/>
      <x:c r="BO108" s="43" t="str"/>
      <x:c r="BP108" s="43" t="str"/>
      <x:c r="BQ108" s="43" t="str"/>
      <x:c r="BR108" s="43" t="str">
        <x:v>yes</x:v>
      </x:c>
      <x:c r="BS108" s="43" t="str">
        <x:v>adjust comments text</x:v>
      </x:c>
      <x:c r="BT108" s="43" t="str"/>
      <x:c r="BU108" s="43" t="str"/>
      <x:c r="BV108" s="43" t="str"/>
      <x:c r="BW108" s="43" t="str">
        <x:v>0.29496</x:v>
      </x:c>
      <x:c r="BX108" s="43" t="str">
        <x:v>Accepted analysis assumption: SD = sqrt(mean); SE = SD / sqrt(n)</x:v>
      </x:c>
      <x:c r="BY108" s="43" t="str">
        <x:v>included_studies/whitlow_1978_thesis.pdf; figure error bars are not defined; assumption approved by reviewer</x:v>
      </x:c>
      <x:c r="BZ108" s="43" t="str"/>
      <x:c r="CA108" s="43" t="str">
        <x:v>0.318014</x:v>
      </x:c>
      <x:c r="CB108" s="43" t="str">
        <x:v>Accepted analysis assumption: SD = sqrt(mean); SE = SD / sqrt(n)</x:v>
      </x:c>
      <x:c r="CC108" s="43" t="str">
        <x:v>included_studies/whitlow_1978_thesis.pdf; figure error bars are not defined; assumption approved by reviewer</x:v>
      </x:c>
      <x:c r="CD108" s="43" t="str">
        <x:v>Corrected derived value</x:v>
      </x:c>
      <x:c r="CE108" s="43" t="str">
        <x:v>Variance decision – Whitlow 1978</x:v>
      </x:c>
      <x:c r="CF108" s="43" t="str">
        <x:v>Variance assumption accepted: SD=sqrt(mean), then SE=SD/sqrt(n).</x:v>
      </x:c>
    </x:row>
    <x:row r="109">
      <x:c r="A109" s="43" t="str">
        <x:v>109</x:v>
      </x:c>
      <x:c r="B109" s="43" t="str">
        <x:v>whitlow_1978_thesis</x:v>
      </x:c>
      <x:c r="C109" s="43" t="str">
        <x:v>ex021</x:v>
      </x:c>
      <x:c r="D109" s="43" t="str">
        <x:v>con017</x:v>
      </x:c>
      <x:c r="E109" s="43" t="str">
        <x:v>out057</x:v>
      </x:c>
      <x:c r="F109" s="43" t="str">
        <x:v>es108</x:v>
      </x:c>
      <x:c r="G109" s="43" t="str">
        <x:v>Yes</x:v>
      </x:c>
      <x:c r="H109" s="43" t="str">
        <x:v>They had two experimental groups, 65dB and 85dB, they did 3 trials, one per day of the OFT</x:v>
      </x:c>
      <x:c r="I109" s="43" t="str">
        <x:v>THE EFFECT OF SOUND STIMULATION DURING GESTATION  ON THE BEHAVIOR OF RAT OFFSPRING</x:v>
      </x:c>
      <x:c r="J109" s="43" t="str"/>
      <x:c r="K109" s="43" t="str">
        <x:v>Thesis</x:v>
      </x:c>
      <x:c r="L109" s="43" t="str"/>
      <x:c r="M109" s="43" t="str">
        <x:v>Rattus norvegicus</x:v>
      </x:c>
      <x:c r="N109" s="43" t="str">
        <x:v>hooded rat</x:v>
      </x:c>
      <x:c r="O109" s="43" t="str">
        <x:v>Lister rat</x:v>
      </x:c>
      <x:c r="P109" s="43" t="str"/>
      <x:c r="Q109" s="43" t="str">
        <x:v>not reported</x:v>
      </x:c>
      <x:c r="R109" s="43" t="str">
        <x:v>mid, late</x:v>
      </x:c>
      <x:c r="S109" s="43" t="str">
        <x:v>day 12-19</x:v>
      </x:c>
      <x:c r="T109" s="43" t="str">
        <x:v>8</x:v>
      </x:c>
      <x:c r="U109" s="43" t="str">
        <x:v>Intermitent</x:v>
      </x:c>
      <x:c r="V109" s="43" t="str">
        <x:v>0.005</x:v>
      </x:c>
      <x:c r="W109" s="43" t="str">
        <x:v>18 seconds per day. It was a tone</x:v>
      </x:c>
      <x:c r="X109" s="43" t="str">
        <x:v>White noise</x:v>
      </x:c>
      <x:c r="Y109" s="43" t="str">
        <x:v>Audible</x:v>
      </x:c>
      <x:c r="Z109" s="43" t="str">
        <x:v>85</x:v>
      </x:c>
      <x:c r="AA109" s="43" t="str">
        <x:v>2500</x:v>
      </x:c>
      <x:c r="AB109" s="43" t="str">
        <x:v>Unclear</x:v>
      </x:c>
      <x:c r="AC109" s="43" t="str"/>
      <x:c r="AD109" s="43" t="str">
        <x:v>No noise, moved into experimental sound cage</x:v>
      </x:c>
      <x:c r="AE109" s="43" t="str">
        <x:v>male</x:v>
      </x:c>
      <x:c r="AF109" s="43" t="str">
        <x:v>26</x:v>
      </x:c>
      <x:c r="AG109" s="43" t="str"/>
      <x:c r="AH109" s="43" t="str">
        <x:v>Cross-Fostered</x:v>
      </x:c>
      <x:c r="AI109" s="43" t="str"/>
      <x:c r="AJ109" s="43" t="str">
        <x:v>Anxiety</x:v>
      </x:c>
      <x:c r="AK109" s="43" t="str">
        <x:v>Open Field Test (OFT)</x:v>
      </x:c>
      <x:c r="AL109" s="43" t="str">
        <x:v>Circular open-field, duration 3 minutes and repeated in 3 consecutive days</x:v>
      </x:c>
      <x:c r="AM109" s="43" t="str">
        <x:v>Defecation amount</x:v>
      </x:c>
      <x:c r="AN109" s="43" t="str">
        <x:v>Count</x:v>
      </x:c>
      <x:c r="AO109" s="43" t="str">
        <x:v>Count</x:v>
      </x:c>
      <x:c r="AP109" s="43" t="str">
        <x:v>Not reported</x:v>
      </x:c>
      <x:c r="AQ109" s="43" t="str">
        <x:v>Figure 5</x:v>
      </x:c>
      <x:c r="AR109" s="43" t="str">
        <x:v>whitlow_1978_thesis_fig5</x:v>
      </x:c>
      <x:c r="AS109" s="43" t="str">
        <x:v>HNoN_2_de</x:v>
      </x:c>
      <x:c r="AT109" s="43" t="str">
        <x:v>HN_2_de</x:v>
      </x:c>
      <x:c r="AU109" s="43" t="str">
        <x:v>HNoN_HN_2_de</x:v>
      </x:c>
      <x:c r="AV109" s="43" t="str">
        <x:v>Dependent</x:v>
      </x:c>
      <x:c r="AW109" s="43" t="str">
        <x:v>No</x:v>
      </x:c>
      <x:c r="AX109" s="43" t="str">
        <x:v>Positive</x:v>
      </x:c>
      <x:c r="AY109" s="43" t="str"/>
      <x:c r="AZ109" s="43" t="str">
        <x:v>2.22</x:v>
      </x:c>
      <x:c r="BA109" s="43" t="str">
        <x:v>1.49</x:v>
      </x:c>
      <x:c r="BB109" s="43" t="str">
        <x:v>20</x:v>
      </x:c>
      <x:c r="BC109" s="43" t="str"/>
      <x:c r="BD109" s="43" t="str"/>
      <x:c r="BE109" s="43" t="str">
        <x:v>1.9827</x:v>
      </x:c>
      <x:c r="BF109" s="43" t="str">
        <x:v>1.4081</x:v>
      </x:c>
      <x:c r="BG109" s="43" t="str">
        <x:v>20</x:v>
      </x:c>
      <x:c r="BH109" s="43" t="str"/>
      <x:c r="BI109" s="43" t="str"/>
      <x:c r="BJ109" s="43" t="str">
        <x:v>Figure only showed mean, imputated sd=SQRT(mean) as are counts in a certain tine</x:v>
      </x:c>
      <x:c r="BK109"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09" s="43" t="str"/>
      <x:c r="BM109" s="43" t="str"/>
      <x:c r="BN109" s="43" t="str"/>
      <x:c r="BO109" s="43" t="str"/>
      <x:c r="BP109" s="43" t="str"/>
      <x:c r="BQ109" s="43" t="str"/>
      <x:c r="BR109" s="43" t="str">
        <x:v>yes</x:v>
      </x:c>
      <x:c r="BS109" s="43" t="str">
        <x:v>adjust comments text</x:v>
      </x:c>
      <x:c r="BT109" s="43" t="str"/>
      <x:c r="BU109" s="43" t="str"/>
      <x:c r="BV109" s="43" t="str"/>
      <x:c r="BW109" s="43" t="str">
        <x:v>0.333174</x:v>
      </x:c>
      <x:c r="BX109" s="43" t="str">
        <x:v>Accepted analysis assumption: SD = sqrt(mean); SE = SD / sqrt(n)</x:v>
      </x:c>
      <x:c r="BY109" s="43" t="str">
        <x:v>included_studies/whitlow_1978_thesis.pdf; figure error bars are not defined; assumption approved by reviewer</x:v>
      </x:c>
      <x:c r="BZ109" s="43" t="str"/>
      <x:c r="CA109" s="43" t="str">
        <x:v>0.314861</x:v>
      </x:c>
      <x:c r="CB109" s="43" t="str">
        <x:v>Accepted analysis assumption: SD = sqrt(mean); SE = SD / sqrt(n)</x:v>
      </x:c>
      <x:c r="CC109" s="43" t="str">
        <x:v>included_studies/whitlow_1978_thesis.pdf; figure error bars are not defined; assumption approved by reviewer</x:v>
      </x:c>
      <x:c r="CD109" s="43" t="str">
        <x:v>Corrected derived value</x:v>
      </x:c>
      <x:c r="CE109" s="43" t="str">
        <x:v>Variance decision – Whitlow 1978</x:v>
      </x:c>
      <x:c r="CF109" s="43" t="str">
        <x:v>Variance assumption accepted: SD=sqrt(mean), then SE=SD/sqrt(n).</x:v>
      </x:c>
    </x:row>
    <x:row r="110">
      <x:c r="A110" s="43" t="str">
        <x:v>110</x:v>
      </x:c>
      <x:c r="B110" s="43" t="str">
        <x:v>whitlow_1978_thesis</x:v>
      </x:c>
      <x:c r="C110" s="43" t="str">
        <x:v>ex022</x:v>
      </x:c>
      <x:c r="D110" s="43" t="str">
        <x:v>con017</x:v>
      </x:c>
      <x:c r="E110" s="43" t="str">
        <x:v>out057</x:v>
      </x:c>
      <x:c r="F110" s="43" t="str">
        <x:v>es109</x:v>
      </x:c>
      <x:c r="G110" s="43" t="str">
        <x:v>Yes</x:v>
      </x:c>
      <x:c r="H110" s="43" t="str">
        <x:v>They had two experimental groups, 65dB and 85dB, they did 3 trials, one per day of the OFT</x:v>
      </x:c>
      <x:c r="I110" s="43" t="str">
        <x:v>THE EFFECT OF SOUND STIMULATION DURING GESTATION  ON THE BEHAVIOR OF RAT OFFSPRING</x:v>
      </x:c>
      <x:c r="J110" s="43" t="str"/>
      <x:c r="K110" s="43" t="str">
        <x:v>Thesis</x:v>
      </x:c>
      <x:c r="L110" s="43" t="str"/>
      <x:c r="M110" s="43" t="str">
        <x:v>Rattus norvegicus</x:v>
      </x:c>
      <x:c r="N110" s="43" t="str">
        <x:v>hooded rat</x:v>
      </x:c>
      <x:c r="O110" s="43" t="str">
        <x:v>Lister rat</x:v>
      </x:c>
      <x:c r="P110" s="43" t="str"/>
      <x:c r="Q110" s="43" t="str">
        <x:v>not reported</x:v>
      </x:c>
      <x:c r="R110" s="43" t="str">
        <x:v>mid, late</x:v>
      </x:c>
      <x:c r="S110" s="43" t="str">
        <x:v>day 12-19</x:v>
      </x:c>
      <x:c r="T110" s="43" t="str">
        <x:v>8</x:v>
      </x:c>
      <x:c r="U110" s="43" t="str">
        <x:v>Intermitent</x:v>
      </x:c>
      <x:c r="V110" s="43" t="str">
        <x:v>0.005</x:v>
      </x:c>
      <x:c r="W110" s="43" t="str">
        <x:v>18 seconds per day. It was a tone</x:v>
      </x:c>
      <x:c r="X110" s="43" t="str">
        <x:v>White noise</x:v>
      </x:c>
      <x:c r="Y110" s="43" t="str">
        <x:v>Audible</x:v>
      </x:c>
      <x:c r="Z110" s="43" t="str">
        <x:v>65</x:v>
      </x:c>
      <x:c r="AA110" s="43" t="str">
        <x:v>2500</x:v>
      </x:c>
      <x:c r="AB110" s="43" t="str">
        <x:v>Unclear</x:v>
      </x:c>
      <x:c r="AC110" s="43" t="str"/>
      <x:c r="AD110" s="43" t="str">
        <x:v>No noise, moved into experimental sound cage</x:v>
      </x:c>
      <x:c r="AE110" s="43" t="str">
        <x:v>male</x:v>
      </x:c>
      <x:c r="AF110" s="43" t="str">
        <x:v>26</x:v>
      </x:c>
      <x:c r="AG110" s="43" t="str"/>
      <x:c r="AH110" s="43" t="str">
        <x:v>Cross-Fostered</x:v>
      </x:c>
      <x:c r="AI110" s="43" t="str"/>
      <x:c r="AJ110" s="43" t="str">
        <x:v>Anxiety</x:v>
      </x:c>
      <x:c r="AK110" s="43" t="str">
        <x:v>Open Field Test (OFT)</x:v>
      </x:c>
      <x:c r="AL110" s="43" t="str">
        <x:v>Circular open-field, duration 3 minutes and repeated in 3 consecutive days</x:v>
      </x:c>
      <x:c r="AM110" s="43" t="str">
        <x:v>Defecation amount</x:v>
      </x:c>
      <x:c r="AN110" s="43" t="str">
        <x:v>Count</x:v>
      </x:c>
      <x:c r="AO110" s="43" t="str">
        <x:v>Count</x:v>
      </x:c>
      <x:c r="AP110" s="43" t="str">
        <x:v>Not reported</x:v>
      </x:c>
      <x:c r="AQ110" s="43" t="str">
        <x:v>Figure 5</x:v>
      </x:c>
      <x:c r="AR110" s="43" t="str">
        <x:v>whitlow_1978_thesis_fig5</x:v>
      </x:c>
      <x:c r="AS110" s="43" t="str">
        <x:v>HNoN_2_de</x:v>
      </x:c>
      <x:c r="AT110" s="43" t="str">
        <x:v>HLN_2_de</x:v>
      </x:c>
      <x:c r="AU110" s="43" t="str">
        <x:v>HNoN_HLN_2_de</x:v>
      </x:c>
      <x:c r="AV110" s="43" t="str">
        <x:v>Dependent</x:v>
      </x:c>
      <x:c r="AW110" s="43" t="str">
        <x:v>No</x:v>
      </x:c>
      <x:c r="AX110" s="43" t="str">
        <x:v>Positive</x:v>
      </x:c>
      <x:c r="AY110" s="43" t="str"/>
      <x:c r="AZ110" s="43" t="str">
        <x:v>2.22</x:v>
      </x:c>
      <x:c r="BA110" s="43" t="str">
        <x:v>1.49</x:v>
      </x:c>
      <x:c r="BB110" s="43" t="str">
        <x:v>20</x:v>
      </x:c>
      <x:c r="BC110" s="43" t="str"/>
      <x:c r="BD110" s="43" t="str"/>
      <x:c r="BE110" s="43" t="str">
        <x:v>1.8311</x:v>
      </x:c>
      <x:c r="BF110" s="43" t="str">
        <x:v>1.3532</x:v>
      </x:c>
      <x:c r="BG110" s="43" t="str">
        <x:v>20</x:v>
      </x:c>
      <x:c r="BH110" s="43" t="str"/>
      <x:c r="BI110" s="43" t="str"/>
      <x:c r="BJ110" s="43" t="str">
        <x:v>Figure only showed mean, imputated sd=SQRT(mean) as are counts in a certain tine</x:v>
      </x:c>
      <x:c r="BK110"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0" s="43" t="str"/>
      <x:c r="BM110" s="43" t="str"/>
      <x:c r="BN110" s="43" t="str"/>
      <x:c r="BO110" s="43" t="str"/>
      <x:c r="BP110" s="43" t="str"/>
      <x:c r="BQ110" s="43" t="str"/>
      <x:c r="BR110" s="43" t="str">
        <x:v>yes</x:v>
      </x:c>
      <x:c r="BS110" s="43" t="str">
        <x:v>adjust comments text</x:v>
      </x:c>
      <x:c r="BT110" s="43" t="str"/>
      <x:c r="BU110" s="43" t="str"/>
      <x:c r="BV110" s="43" t="str"/>
      <x:c r="BW110" s="43" t="str">
        <x:v>0.333174</x:v>
      </x:c>
      <x:c r="BX110" s="43" t="str">
        <x:v>Accepted analysis assumption: SD = sqrt(mean); SE = SD / sqrt(n)</x:v>
      </x:c>
      <x:c r="BY110" s="43" t="str">
        <x:v>included_studies/whitlow_1978_thesis.pdf; figure error bars are not defined; assumption approved by reviewer</x:v>
      </x:c>
      <x:c r="BZ110" s="43" t="str"/>
      <x:c r="CA110" s="43" t="str">
        <x:v>0.302585</x:v>
      </x:c>
      <x:c r="CB110" s="43" t="str">
        <x:v>Accepted analysis assumption: SD = sqrt(mean); SE = SD / sqrt(n)</x:v>
      </x:c>
      <x:c r="CC110" s="43" t="str">
        <x:v>included_studies/whitlow_1978_thesis.pdf; figure error bars are not defined; assumption approved by reviewer</x:v>
      </x:c>
      <x:c r="CD110" s="43" t="str">
        <x:v>Corrected derived value</x:v>
      </x:c>
      <x:c r="CE110" s="43" t="str">
        <x:v>Variance decision – Whitlow 1978</x:v>
      </x:c>
      <x:c r="CF110" s="43" t="str">
        <x:v>Variance assumption accepted: SD=sqrt(mean), then SE=SD/sqrt(n).</x:v>
      </x:c>
    </x:row>
    <x:row r="111">
      <x:c r="A111" s="43" t="str">
        <x:v>111</x:v>
      </x:c>
      <x:c r="B111" s="43" t="str">
        <x:v>whitlow_1978_thesis</x:v>
      </x:c>
      <x:c r="C111" s="43" t="str">
        <x:v>ex021</x:v>
      </x:c>
      <x:c r="D111" s="43" t="str">
        <x:v>con017</x:v>
      </x:c>
      <x:c r="E111" s="43" t="str">
        <x:v>out057</x:v>
      </x:c>
      <x:c r="F111" s="43" t="str">
        <x:v>es110</x:v>
      </x:c>
      <x:c r="G111" s="43" t="str">
        <x:v>Yes</x:v>
      </x:c>
      <x:c r="H111" s="43" t="str">
        <x:v>They had two experimental groups, 65dB and 85dB, they did 3 trials, one per day of the OFT</x:v>
      </x:c>
      <x:c r="I111" s="43" t="str">
        <x:v>THE EFFECT OF SOUND STIMULATION DURING GESTATION  ON THE BEHAVIOR OF RAT OFFSPRING</x:v>
      </x:c>
      <x:c r="J111" s="43" t="str"/>
      <x:c r="K111" s="43" t="str">
        <x:v>Thesis</x:v>
      </x:c>
      <x:c r="L111" s="43" t="str"/>
      <x:c r="M111" s="43" t="str">
        <x:v>Rattus norvegicus</x:v>
      </x:c>
      <x:c r="N111" s="43" t="str">
        <x:v>hooded rat</x:v>
      </x:c>
      <x:c r="O111" s="43" t="str">
        <x:v>Lister rat</x:v>
      </x:c>
      <x:c r="P111" s="43" t="str"/>
      <x:c r="Q111" s="43" t="str">
        <x:v>not reported</x:v>
      </x:c>
      <x:c r="R111" s="43" t="str">
        <x:v>mid, late</x:v>
      </x:c>
      <x:c r="S111" s="43" t="str">
        <x:v>day 12-19</x:v>
      </x:c>
      <x:c r="T111" s="43" t="str">
        <x:v>8</x:v>
      </x:c>
      <x:c r="U111" s="43" t="str">
        <x:v>Intermitent</x:v>
      </x:c>
      <x:c r="V111" s="43" t="str">
        <x:v>0.005</x:v>
      </x:c>
      <x:c r="W111" s="43" t="str">
        <x:v>18 seconds per day. It was a tone</x:v>
      </x:c>
      <x:c r="X111" s="43" t="str">
        <x:v>White noise</x:v>
      </x:c>
      <x:c r="Y111" s="43" t="str">
        <x:v>Audible</x:v>
      </x:c>
      <x:c r="Z111" s="43" t="str">
        <x:v>85</x:v>
      </x:c>
      <x:c r="AA111" s="43" t="str">
        <x:v>2500</x:v>
      </x:c>
      <x:c r="AB111" s="43" t="str">
        <x:v>Unclear</x:v>
      </x:c>
      <x:c r="AC111" s="43" t="str"/>
      <x:c r="AD111" s="43" t="str">
        <x:v>No noise, moved into experimental sound cage</x:v>
      </x:c>
      <x:c r="AE111" s="43" t="str">
        <x:v>male</x:v>
      </x:c>
      <x:c r="AF111" s="43" t="str">
        <x:v>27</x:v>
      </x:c>
      <x:c r="AG111" s="43" t="str"/>
      <x:c r="AH111" s="43" t="str">
        <x:v>Cross-Fostered</x:v>
      </x:c>
      <x:c r="AI111" s="43" t="str"/>
      <x:c r="AJ111" s="43" t="str">
        <x:v>Anxiety</x:v>
      </x:c>
      <x:c r="AK111" s="43" t="str">
        <x:v>Open Field Test (OFT)</x:v>
      </x:c>
      <x:c r="AL111" s="43" t="str">
        <x:v>Circular open-field, duration 3 minutes and repeated in 3 consecutive days</x:v>
      </x:c>
      <x:c r="AM111" s="43" t="str">
        <x:v>Defecation amount</x:v>
      </x:c>
      <x:c r="AN111" s="43" t="str">
        <x:v>Count</x:v>
      </x:c>
      <x:c r="AO111" s="43" t="str">
        <x:v>Count</x:v>
      </x:c>
      <x:c r="AP111" s="43" t="str">
        <x:v>Not reported</x:v>
      </x:c>
      <x:c r="AQ111" s="43" t="str">
        <x:v>Figure 5</x:v>
      </x:c>
      <x:c r="AR111" s="43" t="str">
        <x:v>whitlow_1978_thesis_fig5</x:v>
      </x:c>
      <x:c r="AS111" s="43" t="str">
        <x:v>HNoN_3_de</x:v>
      </x:c>
      <x:c r="AT111" s="43" t="str">
        <x:v>HN_3_de</x:v>
      </x:c>
      <x:c r="AU111" s="43" t="str">
        <x:v>HNoN_HN_3_de</x:v>
      </x:c>
      <x:c r="AV111" s="43" t="str">
        <x:v>Dependent</x:v>
      </x:c>
      <x:c r="AW111" s="43" t="str">
        <x:v>No</x:v>
      </x:c>
      <x:c r="AX111" s="43" t="str">
        <x:v>Positive</x:v>
      </x:c>
      <x:c r="AY111" s="43" t="str"/>
      <x:c r="AZ111" s="43" t="str">
        <x:v>1.14</x:v>
      </x:c>
      <x:c r="BA111" s="43" t="str">
        <x:v>1.0677</x:v>
      </x:c>
      <x:c r="BB111" s="43" t="str">
        <x:v>20</x:v>
      </x:c>
      <x:c r="BC111" s="43" t="str"/>
      <x:c r="BD111" s="43" t="str"/>
      <x:c r="BE111" s="43" t="str">
        <x:v>2.5731</x:v>
      </x:c>
      <x:c r="BF111" s="43" t="str">
        <x:v>1.6041</x:v>
      </x:c>
      <x:c r="BG111" s="43" t="str">
        <x:v>20</x:v>
      </x:c>
      <x:c r="BH111" s="43" t="str"/>
      <x:c r="BI111" s="43" t="str"/>
      <x:c r="BJ111" s="43" t="str">
        <x:v>Figure only showed mean, imputated sd=SQRT(mean) as are counts in a certain tine</x:v>
      </x:c>
      <x:c r="BK111"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1" s="43" t="str"/>
      <x:c r="BM111" s="43" t="str"/>
      <x:c r="BN111" s="43" t="str"/>
      <x:c r="BO111" s="43" t="str"/>
      <x:c r="BP111" s="43" t="str"/>
      <x:c r="BQ111" s="43" t="str"/>
      <x:c r="BR111" s="43" t="str">
        <x:v>yes</x:v>
      </x:c>
      <x:c r="BS111" s="43" t="str">
        <x:v>adjust comments text</x:v>
      </x:c>
      <x:c r="BT111" s="43" t="str"/>
      <x:c r="BU111" s="43" t="str"/>
      <x:c r="BV111" s="43" t="str"/>
      <x:c r="BW111" s="43" t="str">
        <x:v>0.238745</x:v>
      </x:c>
      <x:c r="BX111" s="43" t="str">
        <x:v>Accepted analysis assumption: SD = sqrt(mean); SE = SD / sqrt(n)</x:v>
      </x:c>
      <x:c r="BY111" s="43" t="str">
        <x:v>included_studies/whitlow_1978_thesis.pdf; figure error bars are not defined; assumption approved by reviewer</x:v>
      </x:c>
      <x:c r="BZ111" s="43" t="str"/>
      <x:c r="CA111" s="43" t="str">
        <x:v>0.358688</x:v>
      </x:c>
      <x:c r="CB111" s="43" t="str">
        <x:v>Accepted analysis assumption: SD = sqrt(mean); SE = SD / sqrt(n)</x:v>
      </x:c>
      <x:c r="CC111" s="43" t="str">
        <x:v>included_studies/whitlow_1978_thesis.pdf; figure error bars are not defined; assumption approved by reviewer</x:v>
      </x:c>
      <x:c r="CD111" s="43" t="str">
        <x:v>Corrected derived value</x:v>
      </x:c>
      <x:c r="CE111" s="43" t="str">
        <x:v>Variance decision – Whitlow 1978</x:v>
      </x:c>
      <x:c r="CF111" s="43" t="str">
        <x:v>Variance assumption accepted: SD=sqrt(mean), then SE=SD/sqrt(n).</x:v>
      </x:c>
    </x:row>
    <x:row r="112">
      <x:c r="A112" s="43" t="str">
        <x:v>112</x:v>
      </x:c>
      <x:c r="B112" s="43" t="str">
        <x:v>whitlow_1978_thesis</x:v>
      </x:c>
      <x:c r="C112" s="43" t="str">
        <x:v>ex022</x:v>
      </x:c>
      <x:c r="D112" s="43" t="str">
        <x:v>con017</x:v>
      </x:c>
      <x:c r="E112" s="43" t="str">
        <x:v>out057</x:v>
      </x:c>
      <x:c r="F112" s="43" t="str">
        <x:v>es111</x:v>
      </x:c>
      <x:c r="G112" s="43" t="str">
        <x:v>Yes</x:v>
      </x:c>
      <x:c r="H112" s="43" t="str">
        <x:v>They had two experimental groups, 65dB and 85dB, they did 3 trials, one per day of the OFT</x:v>
      </x:c>
      <x:c r="I112" s="43" t="str">
        <x:v>THE EFFECT OF SOUND STIMULATION DURING GESTATION  ON THE BEHAVIOR OF RAT OFFSPRING</x:v>
      </x:c>
      <x:c r="J112" s="43" t="str"/>
      <x:c r="K112" s="43" t="str">
        <x:v>Thesis</x:v>
      </x:c>
      <x:c r="L112" s="43" t="str"/>
      <x:c r="M112" s="43" t="str">
        <x:v>Rattus norvegicus</x:v>
      </x:c>
      <x:c r="N112" s="43" t="str">
        <x:v>hooded rat</x:v>
      </x:c>
      <x:c r="O112" s="43" t="str">
        <x:v>Lister rat</x:v>
      </x:c>
      <x:c r="P112" s="43" t="str"/>
      <x:c r="Q112" s="43" t="str">
        <x:v>not reported</x:v>
      </x:c>
      <x:c r="R112" s="43" t="str">
        <x:v>mid, late</x:v>
      </x:c>
      <x:c r="S112" s="43" t="str">
        <x:v>day 12-19</x:v>
      </x:c>
      <x:c r="T112" s="43" t="str">
        <x:v>8</x:v>
      </x:c>
      <x:c r="U112" s="43" t="str">
        <x:v>Intermitent</x:v>
      </x:c>
      <x:c r="V112" s="43" t="str">
        <x:v>0.005</x:v>
      </x:c>
      <x:c r="W112" s="43" t="str">
        <x:v>18 seconds per day. It was a tone</x:v>
      </x:c>
      <x:c r="X112" s="43" t="str">
        <x:v>White noise</x:v>
      </x:c>
      <x:c r="Y112" s="43" t="str">
        <x:v>Audible</x:v>
      </x:c>
      <x:c r="Z112" s="43" t="str">
        <x:v>65</x:v>
      </x:c>
      <x:c r="AA112" s="43" t="str">
        <x:v>2500</x:v>
      </x:c>
      <x:c r="AB112" s="43" t="str">
        <x:v>Unclear</x:v>
      </x:c>
      <x:c r="AC112" s="43" t="str"/>
      <x:c r="AD112" s="43" t="str">
        <x:v>No noise, moved into experimental sound cage</x:v>
      </x:c>
      <x:c r="AE112" s="43" t="str">
        <x:v>male</x:v>
      </x:c>
      <x:c r="AF112" s="43" t="str">
        <x:v>26</x:v>
      </x:c>
      <x:c r="AG112" s="43" t="str"/>
      <x:c r="AH112" s="43" t="str">
        <x:v>Cross-Fostered</x:v>
      </x:c>
      <x:c r="AI112" s="43" t="str"/>
      <x:c r="AJ112" s="43" t="str">
        <x:v>Anxiety</x:v>
      </x:c>
      <x:c r="AK112" s="43" t="str">
        <x:v>Open Field Test (OFT)</x:v>
      </x:c>
      <x:c r="AL112" s="43" t="str">
        <x:v>Circular open-field, duration 3 minutes and repeated in 3 consecutive days</x:v>
      </x:c>
      <x:c r="AM112" s="43" t="str">
        <x:v>Defecation amount</x:v>
      </x:c>
      <x:c r="AN112" s="43" t="str">
        <x:v>Count</x:v>
      </x:c>
      <x:c r="AO112" s="43" t="str">
        <x:v>Count</x:v>
      </x:c>
      <x:c r="AP112" s="43" t="str">
        <x:v>Not reported</x:v>
      </x:c>
      <x:c r="AQ112" s="43" t="str">
        <x:v>Figure 5</x:v>
      </x:c>
      <x:c r="AR112" s="43" t="str">
        <x:v>whitlow_1978_thesis_fig5</x:v>
      </x:c>
      <x:c r="AS112" s="43" t="str">
        <x:v>HNoN_3_de</x:v>
      </x:c>
      <x:c r="AT112" s="43" t="str">
        <x:v>HLN_3_de</x:v>
      </x:c>
      <x:c r="AU112" s="43" t="str">
        <x:v>HNoN_HLN_3_de</x:v>
      </x:c>
      <x:c r="AV112" s="43" t="str">
        <x:v>Dependent</x:v>
      </x:c>
      <x:c r="AW112" s="43" t="str">
        <x:v>No</x:v>
      </x:c>
      <x:c r="AX112" s="43" t="str">
        <x:v>Positive</x:v>
      </x:c>
      <x:c r="AY112" s="43" t="str"/>
      <x:c r="AZ112" s="43" t="str">
        <x:v>1.14</x:v>
      </x:c>
      <x:c r="BA112" s="43" t="str">
        <x:v>1.0677</x:v>
      </x:c>
      <x:c r="BB112" s="43" t="str">
        <x:v>20</x:v>
      </x:c>
      <x:c r="BC112" s="43" t="str"/>
      <x:c r="BD112" s="43" t="str"/>
      <x:c r="BE112" s="43" t="str">
        <x:v>2.8604</x:v>
      </x:c>
      <x:c r="BF112" s="43" t="str">
        <x:v>1.6913</x:v>
      </x:c>
      <x:c r="BG112" s="43" t="str">
        <x:v>20</x:v>
      </x:c>
      <x:c r="BH112" s="43" t="str"/>
      <x:c r="BI112" s="43" t="str"/>
      <x:c r="BJ112" s="43" t="str">
        <x:v>Figure only showed mean, imputated sd=SQRT(mean) as are counts in a certain tine</x:v>
      </x:c>
      <x:c r="BK112"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2" s="43" t="str"/>
      <x:c r="BM112" s="43" t="str"/>
      <x:c r="BN112" s="43" t="str"/>
      <x:c r="BO112" s="43" t="str"/>
      <x:c r="BP112" s="43" t="str"/>
      <x:c r="BQ112" s="43" t="str"/>
      <x:c r="BR112" s="43" t="str">
        <x:v>yes</x:v>
      </x:c>
      <x:c r="BS112" s="43" t="str">
        <x:v>adjust comments text</x:v>
      </x:c>
      <x:c r="BT112" s="43" t="str"/>
      <x:c r="BU112" s="43" t="str"/>
      <x:c r="BV112" s="43" t="str"/>
      <x:c r="BW112" s="43" t="str">
        <x:v>0.238745</x:v>
      </x:c>
      <x:c r="BX112" s="43" t="str">
        <x:v>Accepted analysis assumption: SD = sqrt(mean); SE = SD / sqrt(n)</x:v>
      </x:c>
      <x:c r="BY112" s="43" t="str">
        <x:v>included_studies/whitlow_1978_thesis.pdf; figure error bars are not defined; assumption approved by reviewer</x:v>
      </x:c>
      <x:c r="BZ112" s="43" t="str"/>
      <x:c r="CA112" s="43" t="str">
        <x:v>0.378186</x:v>
      </x:c>
      <x:c r="CB112" s="43" t="str">
        <x:v>Accepted analysis assumption: SD = sqrt(mean); SE = SD / sqrt(n)</x:v>
      </x:c>
      <x:c r="CC112" s="43" t="str">
        <x:v>included_studies/whitlow_1978_thesis.pdf; figure error bars are not defined; assumption approved by reviewer</x:v>
      </x:c>
      <x:c r="CD112" s="43" t="str">
        <x:v>Corrected derived value</x:v>
      </x:c>
      <x:c r="CE112" s="43" t="str">
        <x:v>Variance decision – Whitlow 1978</x:v>
      </x:c>
      <x:c r="CF112" s="43" t="str">
        <x:v>Variance assumption accepted: SD=sqrt(mean), then SE=SD/sqrt(n).</x:v>
      </x:c>
    </x:row>
    <x:row r="113">
      <x:c r="A113" s="43" t="str">
        <x:v>113</x:v>
      </x:c>
      <x:c r="B113" s="43" t="str">
        <x:v>whitlow_1978_thesis</x:v>
      </x:c>
      <x:c r="C113" s="43" t="str">
        <x:v>ex021</x:v>
      </x:c>
      <x:c r="D113" s="43" t="str">
        <x:v>con018</x:v>
      </x:c>
      <x:c r="E113" s="43" t="str">
        <x:v>out058</x:v>
      </x:c>
      <x:c r="F113" s="43" t="str">
        <x:v>es112</x:v>
      </x:c>
      <x:c r="G113" s="43" t="str">
        <x:v>Yes</x:v>
      </x:c>
      <x:c r="H113" s="43" t="str">
        <x:v>They had two experimental groups, 65dB and 85dB, they did 3 trials, one per day of the OFT</x:v>
      </x:c>
      <x:c r="I113" s="43" t="str">
        <x:v>THE EFFECT OF SOUND STIMULATION DURING GESTATION  ON THE BEHAVIOR OF RAT OFFSPRING</x:v>
      </x:c>
      <x:c r="J113" s="43" t="str"/>
      <x:c r="K113" s="43" t="str">
        <x:v>Thesis</x:v>
      </x:c>
      <x:c r="L113" s="43" t="str"/>
      <x:c r="M113" s="43" t="str">
        <x:v>Rattus norvegicus</x:v>
      </x:c>
      <x:c r="N113" s="43" t="str">
        <x:v>hooded rat</x:v>
      </x:c>
      <x:c r="O113" s="43" t="str">
        <x:v>Lister rat</x:v>
      </x:c>
      <x:c r="P113" s="43" t="str"/>
      <x:c r="Q113" s="43" t="str">
        <x:v>not reported</x:v>
      </x:c>
      <x:c r="R113" s="43" t="str">
        <x:v>mid, late</x:v>
      </x:c>
      <x:c r="S113" s="43" t="str">
        <x:v>day 12-19</x:v>
      </x:c>
      <x:c r="T113" s="43" t="str">
        <x:v>8</x:v>
      </x:c>
      <x:c r="U113" s="43" t="str">
        <x:v>Intermitent</x:v>
      </x:c>
      <x:c r="V113" s="43" t="str">
        <x:v>0.005</x:v>
      </x:c>
      <x:c r="W113" s="43" t="str">
        <x:v>18 seconds per day. It was a tone</x:v>
      </x:c>
      <x:c r="X113" s="43" t="str">
        <x:v>White noise</x:v>
      </x:c>
      <x:c r="Y113" s="43" t="str">
        <x:v>Audible</x:v>
      </x:c>
      <x:c r="Z113" s="43" t="str">
        <x:v>85</x:v>
      </x:c>
      <x:c r="AA113" s="43" t="str">
        <x:v>2500</x:v>
      </x:c>
      <x:c r="AB113" s="43" t="str">
        <x:v>Unclear</x:v>
      </x:c>
      <x:c r="AC113" s="43" t="str"/>
      <x:c r="AD113" s="43" t="str">
        <x:v>undisturbed controls</x:v>
      </x:c>
      <x:c r="AE113" s="43" t="str">
        <x:v>male</x:v>
      </x:c>
      <x:c r="AF113" s="43" t="str">
        <x:v>25</x:v>
      </x:c>
      <x:c r="AG113" s="43" t="str"/>
      <x:c r="AH113" s="43" t="str">
        <x:v>Cross-Fostered</x:v>
      </x:c>
      <x:c r="AI113" s="43" t="str"/>
      <x:c r="AJ113" s="43" t="str">
        <x:v>Anxiety</x:v>
      </x:c>
      <x:c r="AK113" s="43" t="str">
        <x:v>Open Field Test (OFT)</x:v>
      </x:c>
      <x:c r="AL113" s="43" t="str">
        <x:v>Circular open-field, duration 3 minutes and repeated in 3 consecutive days</x:v>
      </x:c>
      <x:c r="AM113" s="43" t="str">
        <x:v>Sections crossed</x:v>
      </x:c>
      <x:c r="AN113" s="43" t="str">
        <x:v>Count</x:v>
      </x:c>
      <x:c r="AO113" s="43" t="str">
        <x:v>Count</x:v>
      </x:c>
      <x:c r="AP113" s="43" t="str">
        <x:v>Not reported</x:v>
      </x:c>
      <x:c r="AQ113" s="43" t="str">
        <x:v>Figure 2</x:v>
      </x:c>
      <x:c r="AR113" s="43" t="str">
        <x:v>whitlow_1978_thesis_fig2</x:v>
      </x:c>
      <x:c r="AS113" s="43" t="str">
        <x:v>C_1_sq</x:v>
      </x:c>
      <x:c r="AT113" s="43" t="str">
        <x:v>HN_1_sq</x:v>
      </x:c>
      <x:c r="AU113" s="43" t="str">
        <x:v>C_HN_1_sq</x:v>
      </x:c>
      <x:c r="AV113" s="43" t="str">
        <x:v>Dependent</x:v>
      </x:c>
      <x:c r="AW113" s="43" t="str">
        <x:v>Yes</x:v>
      </x:c>
      <x:c r="AX113" s="43" t="str">
        <x:v>Negative</x:v>
      </x:c>
      <x:c r="AY113" s="43" t="str"/>
      <x:c r="AZ113" s="43" t="str">
        <x:v>45.7671</x:v>
      </x:c>
      <x:c r="BA113" s="43" t="str">
        <x:v>6.7651</x:v>
      </x:c>
      <x:c r="BB113" s="43" t="str">
        <x:v>20</x:v>
      </x:c>
      <x:c r="BC113" s="43" t="str"/>
      <x:c r="BD113" s="43" t="str"/>
      <x:c r="BE113" s="43" t="str">
        <x:v>71.2285</x:v>
      </x:c>
      <x:c r="BF113" s="43" t="str">
        <x:v>8.4397</x:v>
      </x:c>
      <x:c r="BG113" s="43" t="str">
        <x:v>20</x:v>
      </x:c>
      <x:c r="BH113" s="43" t="str"/>
      <x:c r="BI113" s="43" t="str"/>
      <x:c r="BJ113" s="43" t="str">
        <x:v>Figure only showed mean, imputated sd=SQRT(mean) as are counts in a certain tine</x:v>
      </x:c>
      <x:c r="BK113"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3" s="43" t="str"/>
      <x:c r="BM113" s="43" t="str"/>
      <x:c r="BN113" s="43" t="str"/>
      <x:c r="BO113" s="43" t="str"/>
      <x:c r="BP113" s="43" t="str"/>
      <x:c r="BQ113" s="43" t="str"/>
      <x:c r="BR113" s="43" t="str">
        <x:v>yes</x:v>
      </x:c>
      <x:c r="BS113" s="43" t="str">
        <x:v>adjust comments text</x:v>
      </x:c>
      <x:c r="BT113" s="43" t="str"/>
      <x:c r="BU113" s="43" t="str"/>
      <x:c r="BV113" s="43" t="str"/>
      <x:c r="BW113" s="43" t="str">
        <x:v>1.512722</x:v>
      </x:c>
      <x:c r="BX113" s="43" t="str">
        <x:v>Accepted analysis assumption: SD = sqrt(mean); SE = SD / sqrt(n)</x:v>
      </x:c>
      <x:c r="BY113" s="43" t="str">
        <x:v>included_studies/whitlow_1978_thesis.pdf; figure error bars are not defined; assumption approved by reviewer</x:v>
      </x:c>
      <x:c r="BZ113" s="43" t="str"/>
      <x:c r="CA113" s="43" t="str">
        <x:v>1.887174</x:v>
      </x:c>
      <x:c r="CB113" s="43" t="str">
        <x:v>Accepted analysis assumption: SD = sqrt(mean); SE = SD / sqrt(n)</x:v>
      </x:c>
      <x:c r="CC113" s="43" t="str">
        <x:v>included_studies/whitlow_1978_thesis.pdf; figure error bars are not defined; assumption approved by reviewer</x:v>
      </x:c>
      <x:c r="CD113" s="43" t="str">
        <x:v>Corrected derived value</x:v>
      </x:c>
      <x:c r="CE113" s="43" t="str">
        <x:v>Variance decision – Whitlow 1978</x:v>
      </x:c>
      <x:c r="CF113" s="43" t="str">
        <x:v>Variance assumption accepted: SD=sqrt(mean), then SE=SD/sqrt(n).</x:v>
      </x:c>
    </x:row>
    <x:row r="114">
      <x:c r="A114" s="43" t="str">
        <x:v>114</x:v>
      </x:c>
      <x:c r="B114" s="43" t="str">
        <x:v>whitlow_1978_thesis</x:v>
      </x:c>
      <x:c r="C114" s="43" t="str">
        <x:v>ex022</x:v>
      </x:c>
      <x:c r="D114" s="43" t="str">
        <x:v>con018</x:v>
      </x:c>
      <x:c r="E114" s="43" t="str">
        <x:v>out058</x:v>
      </x:c>
      <x:c r="F114" s="43" t="str">
        <x:v>es113</x:v>
      </x:c>
      <x:c r="G114" s="43" t="str">
        <x:v>Yes</x:v>
      </x:c>
      <x:c r="H114" s="43" t="str">
        <x:v>They had two experimental groups, 65dB and 85dB, they did 3 trials, one per day of the OFT</x:v>
      </x:c>
      <x:c r="I114" s="43" t="str">
        <x:v>THE EFFECT OF SOUND STIMULATION DURING GESTATION  ON THE BEHAVIOR OF RAT OFFSPRING</x:v>
      </x:c>
      <x:c r="J114" s="43" t="str"/>
      <x:c r="K114" s="43" t="str">
        <x:v>Thesis</x:v>
      </x:c>
      <x:c r="L114" s="43" t="str"/>
      <x:c r="M114" s="43" t="str">
        <x:v>Rattus norvegicus</x:v>
      </x:c>
      <x:c r="N114" s="43" t="str">
        <x:v>hooded rat</x:v>
      </x:c>
      <x:c r="O114" s="43" t="str">
        <x:v>Lister rat</x:v>
      </x:c>
      <x:c r="P114" s="43" t="str"/>
      <x:c r="Q114" s="43" t="str">
        <x:v>not reported</x:v>
      </x:c>
      <x:c r="R114" s="43" t="str">
        <x:v>mid, late</x:v>
      </x:c>
      <x:c r="S114" s="43" t="str">
        <x:v>day 12-19</x:v>
      </x:c>
      <x:c r="T114" s="43" t="str">
        <x:v>8</x:v>
      </x:c>
      <x:c r="U114" s="43" t="str">
        <x:v>Intermitent</x:v>
      </x:c>
      <x:c r="V114" s="43" t="str">
        <x:v>0.005</x:v>
      </x:c>
      <x:c r="W114" s="43" t="str">
        <x:v>18 seconds per day. It was a tone</x:v>
      </x:c>
      <x:c r="X114" s="43" t="str">
        <x:v>White noise</x:v>
      </x:c>
      <x:c r="Y114" s="43" t="str">
        <x:v>Audible</x:v>
      </x:c>
      <x:c r="Z114" s="43" t="str">
        <x:v>65</x:v>
      </x:c>
      <x:c r="AA114" s="43" t="str">
        <x:v>2500</x:v>
      </x:c>
      <x:c r="AB114" s="43" t="str">
        <x:v>Unclear</x:v>
      </x:c>
      <x:c r="AC114" s="43" t="str"/>
      <x:c r="AD114" s="43" t="str">
        <x:v>undisturbed controls</x:v>
      </x:c>
      <x:c r="AE114" s="43" t="str">
        <x:v>male</x:v>
      </x:c>
      <x:c r="AF114" s="43" t="str">
        <x:v>25</x:v>
      </x:c>
      <x:c r="AG114" s="43" t="str"/>
      <x:c r="AH114" s="43" t="str">
        <x:v>Cross-Fostered</x:v>
      </x:c>
      <x:c r="AI114" s="43" t="str"/>
      <x:c r="AJ114" s="43" t="str">
        <x:v>Anxiety</x:v>
      </x:c>
      <x:c r="AK114" s="43" t="str">
        <x:v>Open Field Test (OFT)</x:v>
      </x:c>
      <x:c r="AL114" s="43" t="str">
        <x:v>Circular open-field, duration 3 minutes and repeated in 3 consecutive days</x:v>
      </x:c>
      <x:c r="AM114" s="43" t="str">
        <x:v>Sections crossed</x:v>
      </x:c>
      <x:c r="AN114" s="43" t="str">
        <x:v>Count</x:v>
      </x:c>
      <x:c r="AO114" s="43" t="str">
        <x:v>Count</x:v>
      </x:c>
      <x:c r="AP114" s="43" t="str">
        <x:v>Not reported</x:v>
      </x:c>
      <x:c r="AQ114" s="43" t="str">
        <x:v>Figure 2</x:v>
      </x:c>
      <x:c r="AR114" s="43" t="str">
        <x:v>whitlow_1978_thesis_fig2</x:v>
      </x:c>
      <x:c r="AS114" s="43" t="str">
        <x:v>C_1_sq</x:v>
      </x:c>
      <x:c r="AT114" s="43" t="str">
        <x:v>HLN_1_sq</x:v>
      </x:c>
      <x:c r="AU114" s="43" t="str">
        <x:v>C_HLN_1_sq</x:v>
      </x:c>
      <x:c r="AV114" s="43" t="str">
        <x:v>Dependent</x:v>
      </x:c>
      <x:c r="AW114" s="43" t="str">
        <x:v>Yes</x:v>
      </x:c>
      <x:c r="AX114" s="43" t="str">
        <x:v>Negative</x:v>
      </x:c>
      <x:c r="AY114" s="43" t="str"/>
      <x:c r="AZ114" s="43" t="str">
        <x:v>45.7671</x:v>
      </x:c>
      <x:c r="BA114" s="43" t="str">
        <x:v>6.7651</x:v>
      </x:c>
      <x:c r="BB114" s="43" t="str">
        <x:v>20</x:v>
      </x:c>
      <x:c r="BC114" s="43" t="str"/>
      <x:c r="BD114" s="43" t="str"/>
      <x:c r="BE114" s="43" t="str">
        <x:v>60.8719</x:v>
      </x:c>
      <x:c r="BF114" s="43" t="str">
        <x:v>7.802</x:v>
      </x:c>
      <x:c r="BG114" s="43" t="str">
        <x:v>20</x:v>
      </x:c>
      <x:c r="BH114" s="43" t="str"/>
      <x:c r="BI114" s="43" t="str"/>
      <x:c r="BJ114" s="43" t="str">
        <x:v>Figure only showed mean, imputated sd=SQRT(mean) as are counts in a certain tine</x:v>
      </x:c>
      <x:c r="BK114"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4" s="43" t="str"/>
      <x:c r="BM114" s="43" t="str"/>
      <x:c r="BN114" s="43" t="str"/>
      <x:c r="BO114" s="43" t="str"/>
      <x:c r="BP114" s="43" t="str"/>
      <x:c r="BQ114" s="43" t="str"/>
      <x:c r="BR114" s="43" t="str">
        <x:v>yes</x:v>
      </x:c>
      <x:c r="BS114" s="43" t="str">
        <x:v>adjust comments text</x:v>
      </x:c>
      <x:c r="BT114" s="43" t="str"/>
      <x:c r="BU114" s="43" t="str"/>
      <x:c r="BV114" s="43" t="str"/>
      <x:c r="BW114" s="43" t="str">
        <x:v>1.512722</x:v>
      </x:c>
      <x:c r="BX114" s="43" t="str">
        <x:v>Accepted analysis assumption: SD = sqrt(mean); SE = SD / sqrt(n)</x:v>
      </x:c>
      <x:c r="BY114" s="43" t="str">
        <x:v>included_studies/whitlow_1978_thesis.pdf; figure error bars are not defined; assumption approved by reviewer</x:v>
      </x:c>
      <x:c r="BZ114" s="43" t="str"/>
      <x:c r="CA114" s="43" t="str">
        <x:v>1.74458</x:v>
      </x:c>
      <x:c r="CB114" s="43" t="str">
        <x:v>Accepted analysis assumption: SD = sqrt(mean); SE = SD / sqrt(n)</x:v>
      </x:c>
      <x:c r="CC114" s="43" t="str">
        <x:v>included_studies/whitlow_1978_thesis.pdf; figure error bars are not defined; assumption approved by reviewer</x:v>
      </x:c>
      <x:c r="CD114" s="43" t="str">
        <x:v>Corrected derived value</x:v>
      </x:c>
      <x:c r="CE114" s="43" t="str">
        <x:v>Variance decision – Whitlow 1978</x:v>
      </x:c>
      <x:c r="CF114" s="43" t="str">
        <x:v>Variance assumption accepted: SD=sqrt(mean), then SE=SD/sqrt(n).</x:v>
      </x:c>
    </x:row>
    <x:row r="115">
      <x:c r="A115" s="43" t="str">
        <x:v>115</x:v>
      </x:c>
      <x:c r="B115" s="43" t="str">
        <x:v>whitlow_1978_thesis</x:v>
      </x:c>
      <x:c r="C115" s="43" t="str">
        <x:v>ex021</x:v>
      </x:c>
      <x:c r="D115" s="43" t="str">
        <x:v>con018</x:v>
      </x:c>
      <x:c r="E115" s="43" t="str">
        <x:v>out058</x:v>
      </x:c>
      <x:c r="F115" s="43" t="str">
        <x:v>es114</x:v>
      </x:c>
      <x:c r="G115" s="43" t="str">
        <x:v>Yes</x:v>
      </x:c>
      <x:c r="H115" s="43" t="str">
        <x:v>They had two experimental groups, 65dB and 85dB, they did 3 trials, one per day of the OFT</x:v>
      </x:c>
      <x:c r="I115" s="43" t="str">
        <x:v>THE EFFECT OF SOUND STIMULATION DURING GESTATION  ON THE BEHAVIOR OF RAT OFFSPRING</x:v>
      </x:c>
      <x:c r="J115" s="43" t="str"/>
      <x:c r="K115" s="43" t="str">
        <x:v>Thesis</x:v>
      </x:c>
      <x:c r="L115" s="43" t="str"/>
      <x:c r="M115" s="43" t="str">
        <x:v>Rattus norvegicus</x:v>
      </x:c>
      <x:c r="N115" s="43" t="str">
        <x:v>hooded rat</x:v>
      </x:c>
      <x:c r="O115" s="43" t="str">
        <x:v>Lister rat</x:v>
      </x:c>
      <x:c r="P115" s="43" t="str"/>
      <x:c r="Q115" s="43" t="str">
        <x:v>not reported</x:v>
      </x:c>
      <x:c r="R115" s="43" t="str">
        <x:v>mid, late</x:v>
      </x:c>
      <x:c r="S115" s="43" t="str">
        <x:v>day 12-19</x:v>
      </x:c>
      <x:c r="T115" s="43" t="str">
        <x:v>8</x:v>
      </x:c>
      <x:c r="U115" s="43" t="str">
        <x:v>Intermitent</x:v>
      </x:c>
      <x:c r="V115" s="43" t="str">
        <x:v>0.005</x:v>
      </x:c>
      <x:c r="W115" s="43" t="str">
        <x:v>18 seconds per day. It was a tone</x:v>
      </x:c>
      <x:c r="X115" s="43" t="str">
        <x:v>White noise</x:v>
      </x:c>
      <x:c r="Y115" s="43" t="str">
        <x:v>Audible</x:v>
      </x:c>
      <x:c r="Z115" s="43" t="str">
        <x:v>85</x:v>
      </x:c>
      <x:c r="AA115" s="43" t="str">
        <x:v>2500</x:v>
      </x:c>
      <x:c r="AB115" s="43" t="str">
        <x:v>Unclear</x:v>
      </x:c>
      <x:c r="AC115" s="43" t="str"/>
      <x:c r="AD115" s="43" t="str">
        <x:v>undisturbed controls</x:v>
      </x:c>
      <x:c r="AE115" s="43" t="str">
        <x:v>male</x:v>
      </x:c>
      <x:c r="AF115" s="43" t="str">
        <x:v>26</x:v>
      </x:c>
      <x:c r="AG115" s="43" t="str"/>
      <x:c r="AH115" s="43" t="str">
        <x:v>Cross-Fostered</x:v>
      </x:c>
      <x:c r="AI115" s="43" t="str"/>
      <x:c r="AJ115" s="43" t="str">
        <x:v>Anxiety</x:v>
      </x:c>
      <x:c r="AK115" s="43" t="str">
        <x:v>Open Field Test (OFT)</x:v>
      </x:c>
      <x:c r="AL115" s="43" t="str">
        <x:v>Circular open-field, duration 3 minutes and repeated in 3 consecutive days</x:v>
      </x:c>
      <x:c r="AM115" s="43" t="str">
        <x:v>Sections crossed</x:v>
      </x:c>
      <x:c r="AN115" s="43" t="str">
        <x:v>Count</x:v>
      </x:c>
      <x:c r="AO115" s="43" t="str">
        <x:v>Count</x:v>
      </x:c>
      <x:c r="AP115" s="43" t="str">
        <x:v>Not reported</x:v>
      </x:c>
      <x:c r="AQ115" s="43" t="str">
        <x:v>Figure 2</x:v>
      </x:c>
      <x:c r="AR115" s="43" t="str">
        <x:v>whitlow_1978_thesis_fig2</x:v>
      </x:c>
      <x:c r="AS115" s="43" t="str">
        <x:v>C_2_sq</x:v>
      </x:c>
      <x:c r="AT115" s="43" t="str">
        <x:v>HN_2_sq</x:v>
      </x:c>
      <x:c r="AU115" s="43" t="str">
        <x:v>C_HN_2_sq</x:v>
      </x:c>
      <x:c r="AV115" s="43" t="str">
        <x:v>Dependent</x:v>
      </x:c>
      <x:c r="AW115" s="43" t="str">
        <x:v>Yes</x:v>
      </x:c>
      <x:c r="AX115" s="43" t="str">
        <x:v>Negative</x:v>
      </x:c>
      <x:c r="AY115" s="43" t="str"/>
      <x:c r="AZ115" s="43" t="str">
        <x:v>31.7366</x:v>
      </x:c>
      <x:c r="BA115" s="43" t="str">
        <x:v>5.6335</x:v>
      </x:c>
      <x:c r="BB115" s="43" t="str">
        <x:v>20</x:v>
      </x:c>
      <x:c r="BC115" s="43" t="str"/>
      <x:c r="BD115" s="43" t="str"/>
      <x:c r="BE115" s="43" t="str">
        <x:v>42.8005</x:v>
      </x:c>
      <x:c r="BF115" s="43" t="str">
        <x:v>6.5422</x:v>
      </x:c>
      <x:c r="BG115" s="43" t="str">
        <x:v>20</x:v>
      </x:c>
      <x:c r="BH115" s="43" t="str"/>
      <x:c r="BI115" s="43" t="str"/>
      <x:c r="BJ115" s="43" t="str">
        <x:v>Figure only showed mean, imputated sd=SQRT(mean) as are counts in a certain tine</x:v>
      </x:c>
      <x:c r="BK115"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5" s="43" t="str"/>
      <x:c r="BM115" s="43" t="str"/>
      <x:c r="BN115" s="43" t="str"/>
      <x:c r="BO115" s="43" t="str"/>
      <x:c r="BP115" s="43" t="str"/>
      <x:c r="BQ115" s="43" t="str"/>
      <x:c r="BR115" s="43" t="str">
        <x:v>yes</x:v>
      </x:c>
      <x:c r="BS115" s="43" t="str">
        <x:v>adjust comments text</x:v>
      </x:c>
      <x:c r="BT115" s="43" t="str"/>
      <x:c r="BU115" s="43" t="str"/>
      <x:c r="BV115" s="43" t="str"/>
      <x:c r="BW115" s="43" t="str">
        <x:v>1.259689</x:v>
      </x:c>
      <x:c r="BX115" s="43" t="str">
        <x:v>Accepted analysis assumption: SD = sqrt(mean); SE = SD / sqrt(n)</x:v>
      </x:c>
      <x:c r="BY115" s="43" t="str">
        <x:v>included_studies/whitlow_1978_thesis.pdf; figure error bars are not defined; assumption approved by reviewer</x:v>
      </x:c>
      <x:c r="BZ115" s="43" t="str"/>
      <x:c r="CA115" s="43" t="str">
        <x:v>1.46288</x:v>
      </x:c>
      <x:c r="CB115" s="43" t="str">
        <x:v>Accepted analysis assumption: SD = sqrt(mean); SE = SD / sqrt(n)</x:v>
      </x:c>
      <x:c r="CC115" s="43" t="str">
        <x:v>included_studies/whitlow_1978_thesis.pdf; figure error bars are not defined; assumption approved by reviewer</x:v>
      </x:c>
      <x:c r="CD115" s="43" t="str">
        <x:v>Corrected derived value</x:v>
      </x:c>
      <x:c r="CE115" s="43" t="str">
        <x:v>Variance decision – Whitlow 1978</x:v>
      </x:c>
      <x:c r="CF115" s="43" t="str">
        <x:v>Variance assumption accepted: SD=sqrt(mean), then SE=SD/sqrt(n).</x:v>
      </x:c>
    </x:row>
    <x:row r="116">
      <x:c r="A116" s="43" t="str">
        <x:v>116</x:v>
      </x:c>
      <x:c r="B116" s="43" t="str">
        <x:v>whitlow_1978_thesis</x:v>
      </x:c>
      <x:c r="C116" s="43" t="str">
        <x:v>ex022</x:v>
      </x:c>
      <x:c r="D116" s="43" t="str">
        <x:v>con018</x:v>
      </x:c>
      <x:c r="E116" s="43" t="str">
        <x:v>out058</x:v>
      </x:c>
      <x:c r="F116" s="43" t="str">
        <x:v>es115</x:v>
      </x:c>
      <x:c r="G116" s="43" t="str">
        <x:v>Yes</x:v>
      </x:c>
      <x:c r="H116" s="43" t="str">
        <x:v>They had two experimental groups, 65dB and 85dB, they did 3 trials, one per day of the OFT</x:v>
      </x:c>
      <x:c r="I116" s="43" t="str">
        <x:v>THE EFFECT OF SOUND STIMULATION DURING GESTATION  ON THE BEHAVIOR OF RAT OFFSPRING</x:v>
      </x:c>
      <x:c r="J116" s="43" t="str"/>
      <x:c r="K116" s="43" t="str">
        <x:v>Thesis</x:v>
      </x:c>
      <x:c r="L116" s="43" t="str"/>
      <x:c r="M116" s="43" t="str">
        <x:v>Rattus norvegicus</x:v>
      </x:c>
      <x:c r="N116" s="43" t="str">
        <x:v>hooded rat</x:v>
      </x:c>
      <x:c r="O116" s="43" t="str">
        <x:v>Lister rat</x:v>
      </x:c>
      <x:c r="P116" s="43" t="str"/>
      <x:c r="Q116" s="43" t="str">
        <x:v>not reported</x:v>
      </x:c>
      <x:c r="R116" s="43" t="str">
        <x:v>mid, late</x:v>
      </x:c>
      <x:c r="S116" s="43" t="str">
        <x:v>day 12-19</x:v>
      </x:c>
      <x:c r="T116" s="43" t="str">
        <x:v>8</x:v>
      </x:c>
      <x:c r="U116" s="43" t="str">
        <x:v>Intermitent</x:v>
      </x:c>
      <x:c r="V116" s="43" t="str">
        <x:v>0.005</x:v>
      </x:c>
      <x:c r="W116" s="43" t="str">
        <x:v>18 seconds per day. It was a tone</x:v>
      </x:c>
      <x:c r="X116" s="43" t="str">
        <x:v>White noise</x:v>
      </x:c>
      <x:c r="Y116" s="43" t="str">
        <x:v>Audible</x:v>
      </x:c>
      <x:c r="Z116" s="43" t="str">
        <x:v>65</x:v>
      </x:c>
      <x:c r="AA116" s="43" t="str">
        <x:v>2500</x:v>
      </x:c>
      <x:c r="AB116" s="43" t="str">
        <x:v>Unclear</x:v>
      </x:c>
      <x:c r="AC116" s="43" t="str"/>
      <x:c r="AD116" s="43" t="str">
        <x:v>undisturbed controls</x:v>
      </x:c>
      <x:c r="AE116" s="43" t="str">
        <x:v>male</x:v>
      </x:c>
      <x:c r="AF116" s="43" t="str">
        <x:v>26</x:v>
      </x:c>
      <x:c r="AG116" s="43" t="str"/>
      <x:c r="AH116" s="43" t="str">
        <x:v>Cross-Fostered</x:v>
      </x:c>
      <x:c r="AI116" s="43" t="str"/>
      <x:c r="AJ116" s="43" t="str">
        <x:v>Anxiety</x:v>
      </x:c>
      <x:c r="AK116" s="43" t="str">
        <x:v>Open Field Test (OFT)</x:v>
      </x:c>
      <x:c r="AL116" s="43" t="str">
        <x:v>Circular open-field, duration 3 minutes and repeated in 3 consecutive days</x:v>
      </x:c>
      <x:c r="AM116" s="43" t="str">
        <x:v>Sections crossed</x:v>
      </x:c>
      <x:c r="AN116" s="43" t="str">
        <x:v>Count</x:v>
      </x:c>
      <x:c r="AO116" s="43" t="str">
        <x:v>Count</x:v>
      </x:c>
      <x:c r="AP116" s="43" t="str">
        <x:v>Not reported</x:v>
      </x:c>
      <x:c r="AQ116" s="43" t="str">
        <x:v>Figure 2</x:v>
      </x:c>
      <x:c r="AR116" s="43" t="str">
        <x:v>whitlow_1978_thesis_fig2</x:v>
      </x:c>
      <x:c r="AS116" s="43" t="str">
        <x:v>C_2_sq</x:v>
      </x:c>
      <x:c r="AT116" s="43" t="str">
        <x:v>HLN_2_sq</x:v>
      </x:c>
      <x:c r="AU116" s="43" t="str">
        <x:v>C_HLN_2_sq</x:v>
      </x:c>
      <x:c r="AV116" s="43" t="str">
        <x:v>Dependent</x:v>
      </x:c>
      <x:c r="AW116" s="43" t="str">
        <x:v>Yes</x:v>
      </x:c>
      <x:c r="AX116" s="43" t="str">
        <x:v>Negative</x:v>
      </x:c>
      <x:c r="AY116" s="43" t="str"/>
      <x:c r="AZ116" s="43" t="str">
        <x:v>31.7366</x:v>
      </x:c>
      <x:c r="BA116" s="43" t="str">
        <x:v>5.6335</x:v>
      </x:c>
      <x:c r="BB116" s="43" t="str">
        <x:v>20</x:v>
      </x:c>
      <x:c r="BC116" s="43" t="str"/>
      <x:c r="BD116" s="43" t="str"/>
      <x:c r="BE116" s="43" t="str">
        <x:v>36.8824</x:v>
      </x:c>
      <x:c r="BF116" s="43" t="str">
        <x:v>6.0731</x:v>
      </x:c>
      <x:c r="BG116" s="43" t="str">
        <x:v>20</x:v>
      </x:c>
      <x:c r="BH116" s="43" t="str"/>
      <x:c r="BI116" s="43" t="str"/>
      <x:c r="BJ116" s="43" t="str">
        <x:v>Figure only showed mean, imputated sd=SQRT(mean) as are counts in a certain tine</x:v>
      </x:c>
      <x:c r="BK116"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6" s="43" t="str"/>
      <x:c r="BM116" s="43" t="str"/>
      <x:c r="BN116" s="43" t="str"/>
      <x:c r="BO116" s="43" t="str"/>
      <x:c r="BP116" s="43" t="str"/>
      <x:c r="BQ116" s="43" t="str"/>
      <x:c r="BR116" s="43" t="str">
        <x:v>yes</x:v>
      </x:c>
      <x:c r="BS116" s="43" t="str">
        <x:v>adjust comments text</x:v>
      </x:c>
      <x:c r="BT116" s="43" t="str"/>
      <x:c r="BU116" s="43" t="str"/>
      <x:c r="BV116" s="43" t="str"/>
      <x:c r="BW116" s="43" t="str">
        <x:v>1.259689</x:v>
      </x:c>
      <x:c r="BX116" s="43" t="str">
        <x:v>Accepted analysis assumption: SD = sqrt(mean); SE = SD / sqrt(n)</x:v>
      </x:c>
      <x:c r="BY116" s="43" t="str">
        <x:v>included_studies/whitlow_1978_thesis.pdf; figure error bars are not defined; assumption approved by reviewer</x:v>
      </x:c>
      <x:c r="BZ116" s="43" t="str"/>
      <x:c r="CA116" s="43" t="str">
        <x:v>1.357986</x:v>
      </x:c>
      <x:c r="CB116" s="43" t="str">
        <x:v>Accepted analysis assumption: SD = sqrt(mean); SE = SD / sqrt(n)</x:v>
      </x:c>
      <x:c r="CC116" s="43" t="str">
        <x:v>included_studies/whitlow_1978_thesis.pdf; figure error bars are not defined; assumption approved by reviewer</x:v>
      </x:c>
      <x:c r="CD116" s="43" t="str">
        <x:v>Corrected derived value</x:v>
      </x:c>
      <x:c r="CE116" s="43" t="str">
        <x:v>Variance decision – Whitlow 1978</x:v>
      </x:c>
      <x:c r="CF116" s="43" t="str">
        <x:v>Variance assumption accepted: SD=sqrt(mean), then SE=SD/sqrt(n).</x:v>
      </x:c>
    </x:row>
    <x:row r="117">
      <x:c r="A117" s="43" t="str">
        <x:v>117</x:v>
      </x:c>
      <x:c r="B117" s="43" t="str">
        <x:v>whitlow_1978_thesis</x:v>
      </x:c>
      <x:c r="C117" s="43" t="str">
        <x:v>ex021</x:v>
      </x:c>
      <x:c r="D117" s="43" t="str">
        <x:v>con018</x:v>
      </x:c>
      <x:c r="E117" s="43" t="str">
        <x:v>out058</x:v>
      </x:c>
      <x:c r="F117" s="43" t="str">
        <x:v>es116</x:v>
      </x:c>
      <x:c r="G117" s="43" t="str">
        <x:v>Yes</x:v>
      </x:c>
      <x:c r="H117" s="43" t="str">
        <x:v>They had two experimental groups, 65dB and 85dB, they did 3 trials, one per day of the OFT</x:v>
      </x:c>
      <x:c r="I117" s="43" t="str">
        <x:v>THE EFFECT OF SOUND STIMULATION DURING GESTATION  ON THE BEHAVIOR OF RAT OFFSPRING</x:v>
      </x:c>
      <x:c r="J117" s="43" t="str"/>
      <x:c r="K117" s="43" t="str">
        <x:v>Thesis</x:v>
      </x:c>
      <x:c r="L117" s="43" t="str"/>
      <x:c r="M117" s="43" t="str">
        <x:v>Rattus norvegicus</x:v>
      </x:c>
      <x:c r="N117" s="43" t="str">
        <x:v>hooded rat</x:v>
      </x:c>
      <x:c r="O117" s="43" t="str">
        <x:v>Lister rat</x:v>
      </x:c>
      <x:c r="P117" s="43" t="str"/>
      <x:c r="Q117" s="43" t="str">
        <x:v>not reported</x:v>
      </x:c>
      <x:c r="R117" s="43" t="str">
        <x:v>mid, late</x:v>
      </x:c>
      <x:c r="S117" s="43" t="str">
        <x:v>day 12-19</x:v>
      </x:c>
      <x:c r="T117" s="43" t="str">
        <x:v>8</x:v>
      </x:c>
      <x:c r="U117" s="43" t="str">
        <x:v>Intermitent</x:v>
      </x:c>
      <x:c r="V117" s="43" t="str">
        <x:v>0.005</x:v>
      </x:c>
      <x:c r="W117" s="43" t="str">
        <x:v>18 seconds per day. It was a tone</x:v>
      </x:c>
      <x:c r="X117" s="43" t="str">
        <x:v>White noise</x:v>
      </x:c>
      <x:c r="Y117" s="43" t="str">
        <x:v>Audible</x:v>
      </x:c>
      <x:c r="Z117" s="43" t="str">
        <x:v>85</x:v>
      </x:c>
      <x:c r="AA117" s="43" t="str">
        <x:v>2500</x:v>
      </x:c>
      <x:c r="AB117" s="43" t="str">
        <x:v>Unclear</x:v>
      </x:c>
      <x:c r="AC117" s="43" t="str"/>
      <x:c r="AD117" s="43" t="str">
        <x:v>undisturbed controls</x:v>
      </x:c>
      <x:c r="AE117" s="43" t="str">
        <x:v>male</x:v>
      </x:c>
      <x:c r="AF117" s="43" t="str">
        <x:v>27</x:v>
      </x:c>
      <x:c r="AG117" s="43" t="str"/>
      <x:c r="AH117" s="43" t="str">
        <x:v>Cross-Fostered</x:v>
      </x:c>
      <x:c r="AI117" s="43" t="str"/>
      <x:c r="AJ117" s="43" t="str">
        <x:v>Anxiety</x:v>
      </x:c>
      <x:c r="AK117" s="43" t="str">
        <x:v>Open Field Test (OFT)</x:v>
      </x:c>
      <x:c r="AL117" s="43" t="str">
        <x:v>Circular open-field, duration 3 minutes and repeated in 3 consecutive days</x:v>
      </x:c>
      <x:c r="AM117" s="43" t="str">
        <x:v>Sections crossed</x:v>
      </x:c>
      <x:c r="AN117" s="43" t="str">
        <x:v>Count</x:v>
      </x:c>
      <x:c r="AO117" s="43" t="str">
        <x:v>Count</x:v>
      </x:c>
      <x:c r="AP117" s="43" t="str">
        <x:v>Not reported</x:v>
      </x:c>
      <x:c r="AQ117" s="43" t="str">
        <x:v>Figure 2</x:v>
      </x:c>
      <x:c r="AR117" s="43" t="str">
        <x:v>whitlow_1978_thesis_fig2</x:v>
      </x:c>
      <x:c r="AS117" s="43" t="str">
        <x:v>C_3_sq</x:v>
      </x:c>
      <x:c r="AT117" s="43" t="str">
        <x:v>HN_3_sq</x:v>
      </x:c>
      <x:c r="AU117" s="43" t="str">
        <x:v>C_HN_3_sq</x:v>
      </x:c>
      <x:c r="AV117" s="43" t="str">
        <x:v>Dependent</x:v>
      </x:c>
      <x:c r="AW117" s="43" t="str">
        <x:v>Yes</x:v>
      </x:c>
      <x:c r="AX117" s="43" t="str">
        <x:v>Negative</x:v>
      </x:c>
      <x:c r="AY117" s="43" t="str"/>
      <x:c r="AZ117" s="43" t="str">
        <x:v>19.1201</x:v>
      </x:c>
      <x:c r="BA117" s="43" t="str">
        <x:v>4.3726</x:v>
      </x:c>
      <x:c r="BB117" s="43" t="str">
        <x:v>20</x:v>
      </x:c>
      <x:c r="BC117" s="43" t="str"/>
      <x:c r="BD117" s="43" t="str"/>
      <x:c r="BE117" s="43" t="str">
        <x:v>26.7371</x:v>
      </x:c>
      <x:c r="BF117" s="43" t="str">
        <x:v>5.1708</x:v>
      </x:c>
      <x:c r="BG117" s="43" t="str">
        <x:v>20</x:v>
      </x:c>
      <x:c r="BH117" s="43" t="str"/>
      <x:c r="BI117" s="43" t="str"/>
      <x:c r="BJ117" s="43" t="str">
        <x:v>Figure only showed mean, imputated sd=SQRT(mean) as are counts in a certain tine</x:v>
      </x:c>
      <x:c r="BK117"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7" s="43" t="str"/>
      <x:c r="BM117" s="43" t="str"/>
      <x:c r="BN117" s="43" t="str"/>
      <x:c r="BO117" s="43" t="str"/>
      <x:c r="BP117" s="43" t="str"/>
      <x:c r="BQ117" s="43" t="str"/>
      <x:c r="BR117" s="43" t="str">
        <x:v>yes</x:v>
      </x:c>
      <x:c r="BS117" s="43" t="str">
        <x:v>adjust comments text</x:v>
      </x:c>
      <x:c r="BT117" s="43" t="str"/>
      <x:c r="BU117" s="43" t="str"/>
      <x:c r="BV117" s="43" t="str"/>
      <x:c r="BW117" s="43" t="str">
        <x:v>0.977743</x:v>
      </x:c>
      <x:c r="BX117" s="43" t="str">
        <x:v>Accepted analysis assumption: SD = sqrt(mean); SE = SD / sqrt(n)</x:v>
      </x:c>
      <x:c r="BY117" s="43" t="str">
        <x:v>included_studies/whitlow_1978_thesis.pdf; figure error bars are not defined; assumption approved by reviewer</x:v>
      </x:c>
      <x:c r="BZ117" s="43" t="str"/>
      <x:c r="CA117" s="43" t="str">
        <x:v>1.156226</x:v>
      </x:c>
      <x:c r="CB117" s="43" t="str">
        <x:v>Accepted analysis assumption: SD = sqrt(mean); SE = SD / sqrt(n)</x:v>
      </x:c>
      <x:c r="CC117" s="43" t="str">
        <x:v>included_studies/whitlow_1978_thesis.pdf; figure error bars are not defined; assumption approved by reviewer</x:v>
      </x:c>
      <x:c r="CD117" s="43" t="str">
        <x:v>Corrected derived value</x:v>
      </x:c>
      <x:c r="CE117" s="43" t="str">
        <x:v>Variance decision – Whitlow 1978</x:v>
      </x:c>
      <x:c r="CF117" s="43" t="str">
        <x:v>Variance assumption accepted: SD=sqrt(mean), then SE=SD/sqrt(n).</x:v>
      </x:c>
    </x:row>
    <x:row r="118">
      <x:c r="A118" s="43" t="str">
        <x:v>118</x:v>
      </x:c>
      <x:c r="B118" s="43" t="str">
        <x:v>whitlow_1978_thesis</x:v>
      </x:c>
      <x:c r="C118" s="43" t="str">
        <x:v>ex022</x:v>
      </x:c>
      <x:c r="D118" s="43" t="str">
        <x:v>con018</x:v>
      </x:c>
      <x:c r="E118" s="43" t="str">
        <x:v>out058</x:v>
      </x:c>
      <x:c r="F118" s="43" t="str">
        <x:v>es117</x:v>
      </x:c>
      <x:c r="G118" s="43" t="str">
        <x:v>Yes</x:v>
      </x:c>
      <x:c r="H118" s="43" t="str">
        <x:v>They had two experimental groups, 65dB and 85dB, they did 3 trials, one per day of the OFT</x:v>
      </x:c>
      <x:c r="I118" s="43" t="str">
        <x:v>THE EFFECT OF SOUND STIMULATION DURING GESTATION  ON THE BEHAVIOR OF RAT OFFSPRING</x:v>
      </x:c>
      <x:c r="J118" s="43" t="str"/>
      <x:c r="K118" s="43" t="str">
        <x:v>Thesis</x:v>
      </x:c>
      <x:c r="L118" s="43" t="str"/>
      <x:c r="M118" s="43" t="str">
        <x:v>Rattus norvegicus</x:v>
      </x:c>
      <x:c r="N118" s="43" t="str">
        <x:v>hooded rat</x:v>
      </x:c>
      <x:c r="O118" s="43" t="str">
        <x:v>Lister rat</x:v>
      </x:c>
      <x:c r="P118" s="43" t="str"/>
      <x:c r="Q118" s="43" t="str">
        <x:v>not reported</x:v>
      </x:c>
      <x:c r="R118" s="43" t="str">
        <x:v>mid, late</x:v>
      </x:c>
      <x:c r="S118" s="43" t="str">
        <x:v>day 12-19</x:v>
      </x:c>
      <x:c r="T118" s="43" t="str">
        <x:v>8</x:v>
      </x:c>
      <x:c r="U118" s="43" t="str">
        <x:v>Intermitent</x:v>
      </x:c>
      <x:c r="V118" s="43" t="str">
        <x:v>0.005</x:v>
      </x:c>
      <x:c r="W118" s="43" t="str">
        <x:v>18 seconds per day. It was a tone</x:v>
      </x:c>
      <x:c r="X118" s="43" t="str">
        <x:v>White noise</x:v>
      </x:c>
      <x:c r="Y118" s="43" t="str">
        <x:v>Audible</x:v>
      </x:c>
      <x:c r="Z118" s="43" t="str">
        <x:v>65</x:v>
      </x:c>
      <x:c r="AA118" s="43" t="str">
        <x:v>2500</x:v>
      </x:c>
      <x:c r="AB118" s="43" t="str">
        <x:v>Unclear</x:v>
      </x:c>
      <x:c r="AC118" s="43" t="str"/>
      <x:c r="AD118" s="43" t="str">
        <x:v>undisturbed controls</x:v>
      </x:c>
      <x:c r="AE118" s="43" t="str">
        <x:v>male</x:v>
      </x:c>
      <x:c r="AF118" s="43" t="str">
        <x:v>27</x:v>
      </x:c>
      <x:c r="AG118" s="43" t="str"/>
      <x:c r="AH118" s="43" t="str">
        <x:v>Cross-Fostered</x:v>
      </x:c>
      <x:c r="AI118" s="43" t="str"/>
      <x:c r="AJ118" s="43" t="str">
        <x:v>Anxiety</x:v>
      </x:c>
      <x:c r="AK118" s="43" t="str">
        <x:v>Open Field Test (OFT)</x:v>
      </x:c>
      <x:c r="AL118" s="43" t="str">
        <x:v>Circular open-field, duration 3 minutes and repeated in 3 consecutive days</x:v>
      </x:c>
      <x:c r="AM118" s="43" t="str">
        <x:v>Sections crossed</x:v>
      </x:c>
      <x:c r="AN118" s="43" t="str">
        <x:v>Count</x:v>
      </x:c>
      <x:c r="AO118" s="43" t="str">
        <x:v>Count</x:v>
      </x:c>
      <x:c r="AP118" s="43" t="str">
        <x:v>Not reported</x:v>
      </x:c>
      <x:c r="AQ118" s="43" t="str">
        <x:v>Figure 2</x:v>
      </x:c>
      <x:c r="AR118" s="43" t="str">
        <x:v>whitlow_1978_thesis_fig2</x:v>
      </x:c>
      <x:c r="AS118" s="43" t="str">
        <x:v>C_3_sq</x:v>
      </x:c>
      <x:c r="AT118" s="43" t="str">
        <x:v>HLN_3_sq</x:v>
      </x:c>
      <x:c r="AU118" s="43" t="str">
        <x:v>C_HLN_3_sq</x:v>
      </x:c>
      <x:c r="AV118" s="43" t="str">
        <x:v>Dependent</x:v>
      </x:c>
      <x:c r="AW118" s="43" t="str">
        <x:v>Yes</x:v>
      </x:c>
      <x:c r="AX118" s="43" t="str">
        <x:v>Negative</x:v>
      </x:c>
      <x:c r="AY118" s="43" t="str"/>
      <x:c r="AZ118" s="43" t="str">
        <x:v>19.1201</x:v>
      </x:c>
      <x:c r="BA118" s="43" t="str">
        <x:v>4.3726</x:v>
      </x:c>
      <x:c r="BB118" s="43" t="str">
        <x:v>20</x:v>
      </x:c>
      <x:c r="BC118" s="43" t="str"/>
      <x:c r="BD118" s="43" t="str"/>
      <x:c r="BE118" s="43" t="str">
        <x:v>15.7464</x:v>
      </x:c>
      <x:c r="BF118" s="43" t="str">
        <x:v>3.9682</x:v>
      </x:c>
      <x:c r="BG118" s="43" t="str">
        <x:v>20</x:v>
      </x:c>
      <x:c r="BH118" s="43" t="str"/>
      <x:c r="BI118" s="43" t="str"/>
      <x:c r="BJ118" s="43" t="str">
        <x:v>Figure only showed mean, imputated sd=SQRT(mean) as are counts in a certain tine</x:v>
      </x:c>
      <x:c r="BK118"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8" s="43" t="str"/>
      <x:c r="BM118" s="43" t="str"/>
      <x:c r="BN118" s="43" t="str"/>
      <x:c r="BO118" s="43" t="str"/>
      <x:c r="BP118" s="43" t="str"/>
      <x:c r="BQ118" s="43" t="str"/>
      <x:c r="BR118" s="43" t="str">
        <x:v>yes</x:v>
      </x:c>
      <x:c r="BS118" s="43" t="str">
        <x:v>adjust comments text</x:v>
      </x:c>
      <x:c r="BT118" s="43" t="str"/>
      <x:c r="BU118" s="43" t="str"/>
      <x:c r="BV118" s="43" t="str"/>
      <x:c r="BW118" s="43" t="str">
        <x:v>0.977743</x:v>
      </x:c>
      <x:c r="BX118" s="43" t="str">
        <x:v>Accepted analysis assumption: SD = sqrt(mean); SE = SD / sqrt(n)</x:v>
      </x:c>
      <x:c r="BY118" s="43" t="str">
        <x:v>included_studies/whitlow_1978_thesis.pdf; figure error bars are not defined; assumption approved by reviewer</x:v>
      </x:c>
      <x:c r="BZ118" s="43" t="str"/>
      <x:c r="CA118" s="43" t="str">
        <x:v>0.887316</x:v>
      </x:c>
      <x:c r="CB118" s="43" t="str">
        <x:v>Accepted analysis assumption: SD = sqrt(mean); SE = SD / sqrt(n)</x:v>
      </x:c>
      <x:c r="CC118" s="43" t="str">
        <x:v>included_studies/whitlow_1978_thesis.pdf; figure error bars are not defined; assumption approved by reviewer</x:v>
      </x:c>
      <x:c r="CD118" s="43" t="str">
        <x:v>Corrected derived value</x:v>
      </x:c>
      <x:c r="CE118" s="43" t="str">
        <x:v>Variance decision – Whitlow 1978</x:v>
      </x:c>
      <x:c r="CF118" s="43" t="str">
        <x:v>Variance assumption accepted: SD=sqrt(mean), then SE=SD/sqrt(n).</x:v>
      </x:c>
    </x:row>
    <x:row r="119">
      <x:c r="A119" s="43" t="str">
        <x:v>119</x:v>
      </x:c>
      <x:c r="B119" s="43" t="str">
        <x:v>whitlow_1978_thesis</x:v>
      </x:c>
      <x:c r="C119" s="43" t="str">
        <x:v>ex021</x:v>
      </x:c>
      <x:c r="D119" s="43" t="str">
        <x:v>con018</x:v>
      </x:c>
      <x:c r="E119" s="43" t="str">
        <x:v>out059</x:v>
      </x:c>
      <x:c r="F119" s="43" t="str">
        <x:v>es118</x:v>
      </x:c>
      <x:c r="G119" s="43" t="str">
        <x:v>Yes</x:v>
      </x:c>
      <x:c r="H119" s="43" t="str">
        <x:v>They had two experimental groups, 65dB and 85dB, they did 3 trials, one per day of the OFT</x:v>
      </x:c>
      <x:c r="I119" s="43" t="str">
        <x:v>THE EFFECT OF SOUND STIMULATION DURING GESTATION  ON THE BEHAVIOR OF RAT OFFSPRING</x:v>
      </x:c>
      <x:c r="J119" s="43" t="str"/>
      <x:c r="K119" s="43" t="str">
        <x:v>Thesis</x:v>
      </x:c>
      <x:c r="L119" s="43" t="str"/>
      <x:c r="M119" s="43" t="str">
        <x:v>Rattus norvegicus</x:v>
      </x:c>
      <x:c r="N119" s="43" t="str">
        <x:v>hooded rat</x:v>
      </x:c>
      <x:c r="O119" s="43" t="str">
        <x:v>Lister rat</x:v>
      </x:c>
      <x:c r="P119" s="43" t="str"/>
      <x:c r="Q119" s="43" t="str">
        <x:v>not reported</x:v>
      </x:c>
      <x:c r="R119" s="43" t="str">
        <x:v>mid, late</x:v>
      </x:c>
      <x:c r="S119" s="43" t="str">
        <x:v>day 12-19</x:v>
      </x:c>
      <x:c r="T119" s="43" t="str">
        <x:v>8</x:v>
      </x:c>
      <x:c r="U119" s="43" t="str">
        <x:v>Intermitent</x:v>
      </x:c>
      <x:c r="V119" s="43" t="str">
        <x:v>0.005</x:v>
      </x:c>
      <x:c r="W119" s="43" t="str">
        <x:v>18 seconds per day. It was a tone</x:v>
      </x:c>
      <x:c r="X119" s="43" t="str">
        <x:v>White noise</x:v>
      </x:c>
      <x:c r="Y119" s="43" t="str">
        <x:v>Audible</x:v>
      </x:c>
      <x:c r="Z119" s="43" t="str">
        <x:v>85</x:v>
      </x:c>
      <x:c r="AA119" s="43" t="str">
        <x:v>2500</x:v>
      </x:c>
      <x:c r="AB119" s="43" t="str">
        <x:v>Unclear</x:v>
      </x:c>
      <x:c r="AC119" s="43" t="str"/>
      <x:c r="AD119" s="43" t="str">
        <x:v>undisturbed controls</x:v>
      </x:c>
      <x:c r="AE119" s="43" t="str">
        <x:v>male</x:v>
      </x:c>
      <x:c r="AF119" s="43" t="str">
        <x:v>25</x:v>
      </x:c>
      <x:c r="AG119" s="43" t="str"/>
      <x:c r="AH119" s="43" t="str">
        <x:v>Cross-Fostered</x:v>
      </x:c>
      <x:c r="AI119" s="43" t="str"/>
      <x:c r="AJ119" s="43" t="str">
        <x:v>Anxiety</x:v>
      </x:c>
      <x:c r="AK119" s="43" t="str">
        <x:v>Open Field Test (OFT)</x:v>
      </x:c>
      <x:c r="AL119" s="43" t="str">
        <x:v>Circular open-field, duration 3 minutes and repeated in 3 consecutive days</x:v>
      </x:c>
      <x:c r="AM119" s="43" t="str">
        <x:v>Grooming frequency</x:v>
      </x:c>
      <x:c r="AN119" s="43" t="str">
        <x:v>Count</x:v>
      </x:c>
      <x:c r="AO119" s="43" t="str">
        <x:v>Count</x:v>
      </x:c>
      <x:c r="AP119" s="43" t="str">
        <x:v>Not reported</x:v>
      </x:c>
      <x:c r="AQ119" s="43" t="str">
        <x:v>Figure 4</x:v>
      </x:c>
      <x:c r="AR119" s="43" t="str">
        <x:v>whitlow_1978_thesis_fig4</x:v>
      </x:c>
      <x:c r="AS119" s="43" t="str">
        <x:v>C_1_gr</x:v>
      </x:c>
      <x:c r="AT119" s="43" t="str">
        <x:v>HN_1_gr</x:v>
      </x:c>
      <x:c r="AU119" s="43" t="str">
        <x:v>C_HN_1_gr</x:v>
      </x:c>
      <x:c r="AV119" s="43" t="str">
        <x:v>Dependent</x:v>
      </x:c>
      <x:c r="AW119" s="43" t="str">
        <x:v>No</x:v>
      </x:c>
      <x:c r="AX119" s="43" t="str">
        <x:v>Positive</x:v>
      </x:c>
      <x:c r="AY119" s="43" t="str"/>
      <x:c r="AZ119" s="43" t="str">
        <x:v>4.0526</x:v>
      </x:c>
      <x:c r="BA119" s="43" t="str">
        <x:v>2.0131</x:v>
      </x:c>
      <x:c r="BB119" s="43" t="str">
        <x:v>20</x:v>
      </x:c>
      <x:c r="BC119" s="43" t="str"/>
      <x:c r="BD119" s="43" t="str"/>
      <x:c r="BE119" s="43" t="str">
        <x:v>3.6809</x:v>
      </x:c>
      <x:c r="BF119" s="43" t="str">
        <x:v>1.9186</x:v>
      </x:c>
      <x:c r="BG119" s="43" t="str">
        <x:v>20</x:v>
      </x:c>
      <x:c r="BH119" s="43" t="str"/>
      <x:c r="BI119" s="43" t="str"/>
      <x:c r="BJ119" s="43" t="str">
        <x:v>Figure only showed mean, imputated sd=SQRT(mean) as are counts in a certain tine</x:v>
      </x:c>
      <x:c r="BK119"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19" s="43" t="str"/>
      <x:c r="BM119" s="43" t="str"/>
      <x:c r="BN119" s="43" t="str"/>
      <x:c r="BO119" s="43" t="str"/>
      <x:c r="BP119" s="43" t="str"/>
      <x:c r="BQ119" s="43" t="str"/>
      <x:c r="BR119" s="43" t="str">
        <x:v>yes</x:v>
      </x:c>
      <x:c r="BS119" s="43" t="str">
        <x:v>adjust comments text</x:v>
      </x:c>
      <x:c r="BT119" s="43" t="str"/>
      <x:c r="BU119" s="43" t="str"/>
      <x:c r="BV119" s="43" t="str"/>
      <x:c r="BW119" s="43" t="str">
        <x:v>0.450143</x:v>
      </x:c>
      <x:c r="BX119" s="43" t="str">
        <x:v>Accepted analysis assumption: SD = sqrt(mean); SE = SD / sqrt(n)</x:v>
      </x:c>
      <x:c r="BY119" s="43" t="str">
        <x:v>included_studies/whitlow_1978_thesis.pdf; figure error bars are not defined; assumption approved by reviewer</x:v>
      </x:c>
      <x:c r="BZ119" s="43" t="str"/>
      <x:c r="CA119" s="43" t="str">
        <x:v>0.429012</x:v>
      </x:c>
      <x:c r="CB119" s="43" t="str">
        <x:v>Accepted analysis assumption: SD = sqrt(mean); SE = SD / sqrt(n)</x:v>
      </x:c>
      <x:c r="CC119" s="43" t="str">
        <x:v>included_studies/whitlow_1978_thesis.pdf; figure error bars are not defined; assumption approved by reviewer</x:v>
      </x:c>
      <x:c r="CD119" s="43" t="str">
        <x:v>Corrected derived value</x:v>
      </x:c>
      <x:c r="CE119" s="43" t="str">
        <x:v>Variance decision – Whitlow 1978</x:v>
      </x:c>
      <x:c r="CF119" s="43" t="str">
        <x:v>Variance assumption accepted: SD=sqrt(mean), then SE=SD/sqrt(n).</x:v>
      </x:c>
    </x:row>
    <x:row r="120">
      <x:c r="A120" s="43" t="str">
        <x:v>120</x:v>
      </x:c>
      <x:c r="B120" s="43" t="str">
        <x:v>whitlow_1978_thesis</x:v>
      </x:c>
      <x:c r="C120" s="43" t="str">
        <x:v>ex022</x:v>
      </x:c>
      <x:c r="D120" s="43" t="str">
        <x:v>con018</x:v>
      </x:c>
      <x:c r="E120" s="43" t="str">
        <x:v>out059</x:v>
      </x:c>
      <x:c r="F120" s="43" t="str">
        <x:v>es119</x:v>
      </x:c>
      <x:c r="G120" s="43" t="str">
        <x:v>Yes</x:v>
      </x:c>
      <x:c r="H120" s="43" t="str">
        <x:v>They had two experimental groups, 65dB and 85dB, they did 3 trials, one per day of the OFT</x:v>
      </x:c>
      <x:c r="I120" s="43" t="str">
        <x:v>THE EFFECT OF SOUND STIMULATION DURING GESTATION  ON THE BEHAVIOR OF RAT OFFSPRING</x:v>
      </x:c>
      <x:c r="J120" s="43" t="str"/>
      <x:c r="K120" s="43" t="str">
        <x:v>Thesis</x:v>
      </x:c>
      <x:c r="L120" s="43" t="str"/>
      <x:c r="M120" s="43" t="str">
        <x:v>Rattus norvegicus</x:v>
      </x:c>
      <x:c r="N120" s="43" t="str">
        <x:v>hooded rat</x:v>
      </x:c>
      <x:c r="O120" s="43" t="str">
        <x:v>Lister rat</x:v>
      </x:c>
      <x:c r="P120" s="43" t="str"/>
      <x:c r="Q120" s="43" t="str">
        <x:v>not reported</x:v>
      </x:c>
      <x:c r="R120" s="43" t="str">
        <x:v>mid, late</x:v>
      </x:c>
      <x:c r="S120" s="43" t="str">
        <x:v>day 12-19</x:v>
      </x:c>
      <x:c r="T120" s="43" t="str">
        <x:v>8</x:v>
      </x:c>
      <x:c r="U120" s="43" t="str">
        <x:v>Intermitent</x:v>
      </x:c>
      <x:c r="V120" s="43" t="str">
        <x:v>0.005</x:v>
      </x:c>
      <x:c r="W120" s="43" t="str">
        <x:v>18 seconds per day. It was a tone</x:v>
      </x:c>
      <x:c r="X120" s="43" t="str">
        <x:v>White noise</x:v>
      </x:c>
      <x:c r="Y120" s="43" t="str">
        <x:v>Audible</x:v>
      </x:c>
      <x:c r="Z120" s="43" t="str">
        <x:v>65</x:v>
      </x:c>
      <x:c r="AA120" s="43" t="str">
        <x:v>2500</x:v>
      </x:c>
      <x:c r="AB120" s="43" t="str">
        <x:v>Unclear</x:v>
      </x:c>
      <x:c r="AC120" s="43" t="str"/>
      <x:c r="AD120" s="43" t="str">
        <x:v>undisturbed controls</x:v>
      </x:c>
      <x:c r="AE120" s="43" t="str">
        <x:v>male</x:v>
      </x:c>
      <x:c r="AF120" s="43" t="str">
        <x:v>25</x:v>
      </x:c>
      <x:c r="AG120" s="43" t="str"/>
      <x:c r="AH120" s="43" t="str">
        <x:v>Cross-Fostered</x:v>
      </x:c>
      <x:c r="AI120" s="43" t="str"/>
      <x:c r="AJ120" s="43" t="str">
        <x:v>Anxiety</x:v>
      </x:c>
      <x:c r="AK120" s="43" t="str">
        <x:v>Open Field Test (OFT)</x:v>
      </x:c>
      <x:c r="AL120" s="43" t="str">
        <x:v>Circular open-field, duration 3 minutes and repeated in 3 consecutive days</x:v>
      </x:c>
      <x:c r="AM120" s="43" t="str">
        <x:v>Grooming frequency</x:v>
      </x:c>
      <x:c r="AN120" s="43" t="str">
        <x:v>Count</x:v>
      </x:c>
      <x:c r="AO120" s="43" t="str">
        <x:v>Count</x:v>
      </x:c>
      <x:c r="AP120" s="43" t="str">
        <x:v>Not reported</x:v>
      </x:c>
      <x:c r="AQ120" s="43" t="str">
        <x:v>Figure 4</x:v>
      </x:c>
      <x:c r="AR120" s="43" t="str">
        <x:v>whitlow_1978_thesis_fig4</x:v>
      </x:c>
      <x:c r="AS120" s="43" t="str">
        <x:v>C_1_gr</x:v>
      </x:c>
      <x:c r="AT120" s="43" t="str">
        <x:v>HLN_1_gr</x:v>
      </x:c>
      <x:c r="AU120" s="43" t="str">
        <x:v>C_HLN_1_gr</x:v>
      </x:c>
      <x:c r="AV120" s="43" t="str">
        <x:v>Dependent</x:v>
      </x:c>
      <x:c r="AW120" s="43" t="str">
        <x:v>No</x:v>
      </x:c>
      <x:c r="AX120" s="43" t="str">
        <x:v>Positive</x:v>
      </x:c>
      <x:c r="AY120" s="43" t="str"/>
      <x:c r="AZ120" s="43" t="str">
        <x:v>4.0526</x:v>
      </x:c>
      <x:c r="BA120" s="43" t="str">
        <x:v>2.0131</x:v>
      </x:c>
      <x:c r="BB120" s="43" t="str">
        <x:v>20</x:v>
      </x:c>
      <x:c r="BC120" s="43" t="str"/>
      <x:c r="BD120" s="43" t="str"/>
      <x:c r="BE120" s="43" t="str">
        <x:v>3.708</x:v>
      </x:c>
      <x:c r="BF120" s="43" t="str">
        <x:v>1.9256</x:v>
      </x:c>
      <x:c r="BG120" s="43" t="str">
        <x:v>20</x:v>
      </x:c>
      <x:c r="BH120" s="43" t="str"/>
      <x:c r="BI120" s="43" t="str"/>
      <x:c r="BJ120" s="43" t="str">
        <x:v>Figure only showed mean, imputated sd=SQRT(mean) as are counts in a certain tine</x:v>
      </x:c>
      <x:c r="BK120"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0" s="43" t="str"/>
      <x:c r="BM120" s="43" t="str"/>
      <x:c r="BN120" s="43" t="str"/>
      <x:c r="BO120" s="43" t="str"/>
      <x:c r="BP120" s="43" t="str"/>
      <x:c r="BQ120" s="43" t="str"/>
      <x:c r="BR120" s="43" t="str">
        <x:v>yes</x:v>
      </x:c>
      <x:c r="BS120" s="43" t="str">
        <x:v>adjust comments text</x:v>
      </x:c>
      <x:c r="BT120" s="43" t="str"/>
      <x:c r="BU120" s="43" t="str"/>
      <x:c r="BV120" s="43" t="str"/>
      <x:c r="BW120" s="43" t="str">
        <x:v>0.450143</x:v>
      </x:c>
      <x:c r="BX120" s="43" t="str">
        <x:v>Accepted analysis assumption: SD = sqrt(mean); SE = SD / sqrt(n)</x:v>
      </x:c>
      <x:c r="BY120" s="43" t="str">
        <x:v>included_studies/whitlow_1978_thesis.pdf; figure error bars are not defined; assumption approved by reviewer</x:v>
      </x:c>
      <x:c r="BZ120" s="43" t="str"/>
      <x:c r="CA120" s="43" t="str">
        <x:v>0.430577</x:v>
      </x:c>
      <x:c r="CB120" s="43" t="str">
        <x:v>Accepted analysis assumption: SD = sqrt(mean); SE = SD / sqrt(n)</x:v>
      </x:c>
      <x:c r="CC120" s="43" t="str">
        <x:v>included_studies/whitlow_1978_thesis.pdf; figure error bars are not defined; assumption approved by reviewer</x:v>
      </x:c>
      <x:c r="CD120" s="43" t="str">
        <x:v>Corrected derived value</x:v>
      </x:c>
      <x:c r="CE120" s="43" t="str">
        <x:v>Variance decision – Whitlow 1978</x:v>
      </x:c>
      <x:c r="CF120" s="43" t="str">
        <x:v>Variance assumption accepted: SD=sqrt(mean), then SE=SD/sqrt(n).</x:v>
      </x:c>
    </x:row>
    <x:row r="121">
      <x:c r="A121" s="43" t="str">
        <x:v>121</x:v>
      </x:c>
      <x:c r="B121" s="43" t="str">
        <x:v>whitlow_1978_thesis</x:v>
      </x:c>
      <x:c r="C121" s="43" t="str">
        <x:v>ex021</x:v>
      </x:c>
      <x:c r="D121" s="43" t="str">
        <x:v>con018</x:v>
      </x:c>
      <x:c r="E121" s="43" t="str">
        <x:v>out059</x:v>
      </x:c>
      <x:c r="F121" s="43" t="str">
        <x:v>es120</x:v>
      </x:c>
      <x:c r="G121" s="43" t="str">
        <x:v>Yes</x:v>
      </x:c>
      <x:c r="H121" s="43" t="str">
        <x:v>They had two experimental groups, 65dB and 85dB, they did 3 trials, one per day of the OFT</x:v>
      </x:c>
      <x:c r="I121" s="43" t="str">
        <x:v>THE EFFECT OF SOUND STIMULATION DURING GESTATION  ON THE BEHAVIOR OF RAT OFFSPRING</x:v>
      </x:c>
      <x:c r="J121" s="43" t="str"/>
      <x:c r="K121" s="43" t="str">
        <x:v>Thesis</x:v>
      </x:c>
      <x:c r="L121" s="43" t="str"/>
      <x:c r="M121" s="43" t="str">
        <x:v>Rattus norvegicus</x:v>
      </x:c>
      <x:c r="N121" s="43" t="str">
        <x:v>hooded rat</x:v>
      </x:c>
      <x:c r="O121" s="43" t="str">
        <x:v>Lister rat</x:v>
      </x:c>
      <x:c r="P121" s="43" t="str"/>
      <x:c r="Q121" s="43" t="str">
        <x:v>not reported</x:v>
      </x:c>
      <x:c r="R121" s="43" t="str">
        <x:v>mid, late</x:v>
      </x:c>
      <x:c r="S121" s="43" t="str">
        <x:v>day 12-19</x:v>
      </x:c>
      <x:c r="T121" s="43" t="str">
        <x:v>8</x:v>
      </x:c>
      <x:c r="U121" s="43" t="str">
        <x:v>Intermitent</x:v>
      </x:c>
      <x:c r="V121" s="43" t="str">
        <x:v>0.005</x:v>
      </x:c>
      <x:c r="W121" s="43" t="str">
        <x:v>18 seconds per day. It was a tone</x:v>
      </x:c>
      <x:c r="X121" s="43" t="str">
        <x:v>White noise</x:v>
      </x:c>
      <x:c r="Y121" s="43" t="str">
        <x:v>Audible</x:v>
      </x:c>
      <x:c r="Z121" s="43" t="str">
        <x:v>85</x:v>
      </x:c>
      <x:c r="AA121" s="43" t="str">
        <x:v>2500</x:v>
      </x:c>
      <x:c r="AB121" s="43" t="str">
        <x:v>Unclear</x:v>
      </x:c>
      <x:c r="AC121" s="43" t="str"/>
      <x:c r="AD121" s="43" t="str">
        <x:v>undisturbed controls</x:v>
      </x:c>
      <x:c r="AE121" s="43" t="str">
        <x:v>male</x:v>
      </x:c>
      <x:c r="AF121" s="43" t="str">
        <x:v>26</x:v>
      </x:c>
      <x:c r="AG121" s="43" t="str"/>
      <x:c r="AH121" s="43" t="str">
        <x:v>Cross-Fostered</x:v>
      </x:c>
      <x:c r="AI121" s="43" t="str"/>
      <x:c r="AJ121" s="43" t="str">
        <x:v>Anxiety</x:v>
      </x:c>
      <x:c r="AK121" s="43" t="str">
        <x:v>Open Field Test (OFT)</x:v>
      </x:c>
      <x:c r="AL121" s="43" t="str">
        <x:v>Circular open-field, duration 3 minutes and repeated in 3 consecutive days</x:v>
      </x:c>
      <x:c r="AM121" s="43" t="str">
        <x:v>Grooming frequency</x:v>
      </x:c>
      <x:c r="AN121" s="43" t="str">
        <x:v>Count</x:v>
      </x:c>
      <x:c r="AO121" s="43" t="str">
        <x:v>Count</x:v>
      </x:c>
      <x:c r="AP121" s="43" t="str">
        <x:v>Not reported</x:v>
      </x:c>
      <x:c r="AQ121" s="43" t="str">
        <x:v>Figure 4</x:v>
      </x:c>
      <x:c r="AR121" s="43" t="str">
        <x:v>whitlow_1978_thesis_fig4</x:v>
      </x:c>
      <x:c r="AS121" s="43" t="str">
        <x:v>C_2_gr</x:v>
      </x:c>
      <x:c r="AT121" s="43" t="str">
        <x:v>HN_2_gr</x:v>
      </x:c>
      <x:c r="AU121" s="43" t="str">
        <x:v>C_HN_2_gr</x:v>
      </x:c>
      <x:c r="AV121" s="43" t="str">
        <x:v>Dependent</x:v>
      </x:c>
      <x:c r="AW121" s="43" t="str">
        <x:v>No</x:v>
      </x:c>
      <x:c r="AX121" s="43" t="str">
        <x:v>Positive</x:v>
      </x:c>
      <x:c r="AY121" s="43" t="str"/>
      <x:c r="AZ121" s="43" t="str">
        <x:v>3.5127</x:v>
      </x:c>
      <x:c r="BA121" s="43" t="str">
        <x:v>1.8742</x:v>
      </x:c>
      <x:c r="BB121" s="43" t="str">
        <x:v>20</x:v>
      </x:c>
      <x:c r="BC121" s="43" t="str"/>
      <x:c r="BD121" s="43" t="str"/>
      <x:c r="BE121" s="43" t="str">
        <x:v>5.6705</x:v>
      </x:c>
      <x:c r="BF121" s="43" t="str">
        <x:v>2.3813</x:v>
      </x:c>
      <x:c r="BG121" s="43" t="str">
        <x:v>20</x:v>
      </x:c>
      <x:c r="BH121" s="43" t="str"/>
      <x:c r="BI121" s="43" t="str"/>
      <x:c r="BJ121" s="43" t="str">
        <x:v>Figure only showed mean, imputated sd=SQRT(mean) as are counts in a certain tine</x:v>
      </x:c>
      <x:c r="BK121"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1" s="43" t="str"/>
      <x:c r="BM121" s="43" t="str"/>
      <x:c r="BN121" s="43" t="str"/>
      <x:c r="BO121" s="43" t="str"/>
      <x:c r="BP121" s="43" t="str"/>
      <x:c r="BQ121" s="43" t="str"/>
      <x:c r="BR121" s="43" t="str">
        <x:v>yes</x:v>
      </x:c>
      <x:c r="BS121" s="43" t="str">
        <x:v>adjust comments text</x:v>
      </x:c>
      <x:c r="BT121" s="43" t="str"/>
      <x:c r="BU121" s="43" t="str"/>
      <x:c r="BV121" s="43" t="str"/>
      <x:c r="BW121" s="43" t="str">
        <x:v>0.419084</x:v>
      </x:c>
      <x:c r="BX121" s="43" t="str">
        <x:v>Accepted analysis assumption: SD = sqrt(mean); SE = SD / sqrt(n)</x:v>
      </x:c>
      <x:c r="BY121" s="43" t="str">
        <x:v>included_studies/whitlow_1978_thesis.pdf; figure error bars are not defined; assumption approved by reviewer</x:v>
      </x:c>
      <x:c r="BZ121" s="43" t="str"/>
      <x:c r="CA121" s="43" t="str">
        <x:v>0.532475</x:v>
      </x:c>
      <x:c r="CB121" s="43" t="str">
        <x:v>Accepted analysis assumption: SD = sqrt(mean); SE = SD / sqrt(n)</x:v>
      </x:c>
      <x:c r="CC121" s="43" t="str">
        <x:v>included_studies/whitlow_1978_thesis.pdf; figure error bars are not defined; assumption approved by reviewer</x:v>
      </x:c>
      <x:c r="CD121" s="43" t="str">
        <x:v>Corrected derived value</x:v>
      </x:c>
      <x:c r="CE121" s="43" t="str">
        <x:v>Variance decision – Whitlow 1978</x:v>
      </x:c>
      <x:c r="CF121" s="43" t="str">
        <x:v>Variance assumption accepted: SD=sqrt(mean), then SE=SD/sqrt(n).</x:v>
      </x:c>
    </x:row>
    <x:row r="122">
      <x:c r="A122" s="43" t="str">
        <x:v>122</x:v>
      </x:c>
      <x:c r="B122" s="43" t="str">
        <x:v>whitlow_1978_thesis</x:v>
      </x:c>
      <x:c r="C122" s="43" t="str">
        <x:v>ex022</x:v>
      </x:c>
      <x:c r="D122" s="43" t="str">
        <x:v>con018</x:v>
      </x:c>
      <x:c r="E122" s="43" t="str">
        <x:v>out059</x:v>
      </x:c>
      <x:c r="F122" s="43" t="str">
        <x:v>es121</x:v>
      </x:c>
      <x:c r="G122" s="43" t="str">
        <x:v>Yes</x:v>
      </x:c>
      <x:c r="H122" s="43" t="str">
        <x:v>They had two experimental groups, 65dB and 85dB, they did 3 trials, one per day of the OFT</x:v>
      </x:c>
      <x:c r="I122" s="43" t="str">
        <x:v>THE EFFECT OF SOUND STIMULATION DURING GESTATION  ON THE BEHAVIOR OF RAT OFFSPRING</x:v>
      </x:c>
      <x:c r="J122" s="43" t="str"/>
      <x:c r="K122" s="43" t="str">
        <x:v>Thesis</x:v>
      </x:c>
      <x:c r="L122" s="43" t="str"/>
      <x:c r="M122" s="43" t="str">
        <x:v>Rattus norvegicus</x:v>
      </x:c>
      <x:c r="N122" s="43" t="str">
        <x:v>hooded rat</x:v>
      </x:c>
      <x:c r="O122" s="43" t="str">
        <x:v>Lister rat</x:v>
      </x:c>
      <x:c r="P122" s="43" t="str"/>
      <x:c r="Q122" s="43" t="str">
        <x:v>not reported</x:v>
      </x:c>
      <x:c r="R122" s="43" t="str">
        <x:v>mid, late</x:v>
      </x:c>
      <x:c r="S122" s="43" t="str">
        <x:v>day 12-19</x:v>
      </x:c>
      <x:c r="T122" s="43" t="str">
        <x:v>8</x:v>
      </x:c>
      <x:c r="U122" s="43" t="str">
        <x:v>Intermitent</x:v>
      </x:c>
      <x:c r="V122" s="43" t="str">
        <x:v>0.005</x:v>
      </x:c>
      <x:c r="W122" s="43" t="str">
        <x:v>18 seconds per day. It was a tone</x:v>
      </x:c>
      <x:c r="X122" s="43" t="str">
        <x:v>White noise</x:v>
      </x:c>
      <x:c r="Y122" s="43" t="str">
        <x:v>Audible</x:v>
      </x:c>
      <x:c r="Z122" s="43" t="str">
        <x:v>65</x:v>
      </x:c>
      <x:c r="AA122" s="43" t="str">
        <x:v>2500</x:v>
      </x:c>
      <x:c r="AB122" s="43" t="str">
        <x:v>Unclear</x:v>
      </x:c>
      <x:c r="AC122" s="43" t="str"/>
      <x:c r="AD122" s="43" t="str">
        <x:v>undisturbed controls</x:v>
      </x:c>
      <x:c r="AE122" s="43" t="str">
        <x:v>male</x:v>
      </x:c>
      <x:c r="AF122" s="43" t="str">
        <x:v>26</x:v>
      </x:c>
      <x:c r="AG122" s="43" t="str"/>
      <x:c r="AH122" s="43" t="str">
        <x:v>Cross-Fostered</x:v>
      </x:c>
      <x:c r="AI122" s="43" t="str"/>
      <x:c r="AJ122" s="43" t="str">
        <x:v>Anxiety</x:v>
      </x:c>
      <x:c r="AK122" s="43" t="str">
        <x:v>Open Field Test (OFT)</x:v>
      </x:c>
      <x:c r="AL122" s="43" t="str">
        <x:v>Circular open-field, duration 3 minutes and repeated in 3 consecutive days</x:v>
      </x:c>
      <x:c r="AM122" s="43" t="str">
        <x:v>Grooming frequency</x:v>
      </x:c>
      <x:c r="AN122" s="43" t="str">
        <x:v>Count</x:v>
      </x:c>
      <x:c r="AO122" s="43" t="str">
        <x:v>Count</x:v>
      </x:c>
      <x:c r="AP122" s="43" t="str">
        <x:v>Not reported</x:v>
      </x:c>
      <x:c r="AQ122" s="43" t="str">
        <x:v>Figure 4</x:v>
      </x:c>
      <x:c r="AR122" s="43" t="str">
        <x:v>whitlow_1978_thesis_fig4</x:v>
      </x:c>
      <x:c r="AS122" s="43" t="str">
        <x:v>C_2_gr</x:v>
      </x:c>
      <x:c r="AT122" s="43" t="str">
        <x:v>HLN_2_gr</x:v>
      </x:c>
      <x:c r="AU122" s="43" t="str">
        <x:v>C_HLN_2_gr</x:v>
      </x:c>
      <x:c r="AV122" s="43" t="str">
        <x:v>Dependent</x:v>
      </x:c>
      <x:c r="AW122" s="43" t="str">
        <x:v>No</x:v>
      </x:c>
      <x:c r="AX122" s="43" t="str">
        <x:v>Positive</x:v>
      </x:c>
      <x:c r="AY122" s="43" t="str"/>
      <x:c r="AZ122" s="43" t="str">
        <x:v>3.5127</x:v>
      </x:c>
      <x:c r="BA122" s="43" t="str">
        <x:v>1.8742</x:v>
      </x:c>
      <x:c r="BB122" s="43" t="str">
        <x:v>20</x:v>
      </x:c>
      <x:c r="BC122" s="43" t="str"/>
      <x:c r="BD122" s="43" t="str"/>
      <x:c r="BE122" s="43" t="str">
        <x:v>4.8023</x:v>
      </x:c>
      <x:c r="BF122" s="43" t="str">
        <x:v>2.1914</x:v>
      </x:c>
      <x:c r="BG122" s="43" t="str">
        <x:v>20</x:v>
      </x:c>
      <x:c r="BH122" s="43" t="str"/>
      <x:c r="BI122" s="43" t="str"/>
      <x:c r="BJ122" s="43" t="str">
        <x:v>Figure only showed mean, imputated sd=SQRT(mean) as are counts in a certain tine</x:v>
      </x:c>
      <x:c r="BK122"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2" s="43" t="str"/>
      <x:c r="BM122" s="43" t="str"/>
      <x:c r="BN122" s="43" t="str"/>
      <x:c r="BO122" s="43" t="str"/>
      <x:c r="BP122" s="43" t="str"/>
      <x:c r="BQ122" s="43" t="str"/>
      <x:c r="BR122" s="43" t="str">
        <x:v>yes</x:v>
      </x:c>
      <x:c r="BS122" s="43" t="str">
        <x:v>adjust comments text</x:v>
      </x:c>
      <x:c r="BT122" s="43" t="str"/>
      <x:c r="BU122" s="43" t="str"/>
      <x:c r="BV122" s="43" t="str"/>
      <x:c r="BW122" s="43" t="str">
        <x:v>0.419084</x:v>
      </x:c>
      <x:c r="BX122" s="43" t="str">
        <x:v>Accepted analysis assumption: SD = sqrt(mean); SE = SD / sqrt(n)</x:v>
      </x:c>
      <x:c r="BY122" s="43" t="str">
        <x:v>included_studies/whitlow_1978_thesis.pdf; figure error bars are not defined; assumption approved by reviewer</x:v>
      </x:c>
      <x:c r="BZ122" s="43" t="str"/>
      <x:c r="CA122" s="43" t="str">
        <x:v>0.490012</x:v>
      </x:c>
      <x:c r="CB122" s="43" t="str">
        <x:v>Accepted analysis assumption: SD = sqrt(mean); SE = SD / sqrt(n)</x:v>
      </x:c>
      <x:c r="CC122" s="43" t="str">
        <x:v>included_studies/whitlow_1978_thesis.pdf; figure error bars are not defined; assumption approved by reviewer</x:v>
      </x:c>
      <x:c r="CD122" s="43" t="str">
        <x:v>Corrected derived value</x:v>
      </x:c>
      <x:c r="CE122" s="43" t="str">
        <x:v>Variance decision – Whitlow 1978</x:v>
      </x:c>
      <x:c r="CF122" s="43" t="str">
        <x:v>Variance assumption accepted: SD=sqrt(mean), then SE=SD/sqrt(n).</x:v>
      </x:c>
    </x:row>
    <x:row r="123">
      <x:c r="A123" s="43" t="str">
        <x:v>123</x:v>
      </x:c>
      <x:c r="B123" s="43" t="str">
        <x:v>whitlow_1978_thesis</x:v>
      </x:c>
      <x:c r="C123" s="43" t="str">
        <x:v>ex021</x:v>
      </x:c>
      <x:c r="D123" s="43" t="str">
        <x:v>con018</x:v>
      </x:c>
      <x:c r="E123" s="43" t="str">
        <x:v>out059</x:v>
      </x:c>
      <x:c r="F123" s="43" t="str">
        <x:v>es122</x:v>
      </x:c>
      <x:c r="G123" s="43" t="str">
        <x:v>Yes</x:v>
      </x:c>
      <x:c r="H123" s="43" t="str">
        <x:v>They had two experimental groups, 65dB and 85dB, they did 3 trials, one per day of the OFT</x:v>
      </x:c>
      <x:c r="I123" s="43" t="str">
        <x:v>THE EFFECT OF SOUND STIMULATION DURING GESTATION  ON THE BEHAVIOR OF RAT OFFSPRING</x:v>
      </x:c>
      <x:c r="J123" s="43" t="str"/>
      <x:c r="K123" s="43" t="str">
        <x:v>Thesis</x:v>
      </x:c>
      <x:c r="L123" s="43" t="str"/>
      <x:c r="M123" s="43" t="str">
        <x:v>Rattus norvegicus</x:v>
      </x:c>
      <x:c r="N123" s="43" t="str">
        <x:v>hooded rat</x:v>
      </x:c>
      <x:c r="O123" s="43" t="str">
        <x:v>Lister rat</x:v>
      </x:c>
      <x:c r="P123" s="43" t="str"/>
      <x:c r="Q123" s="43" t="str">
        <x:v>not reported</x:v>
      </x:c>
      <x:c r="R123" s="43" t="str">
        <x:v>mid, late</x:v>
      </x:c>
      <x:c r="S123" s="43" t="str">
        <x:v>day 12-19</x:v>
      </x:c>
      <x:c r="T123" s="43" t="str">
        <x:v>8</x:v>
      </x:c>
      <x:c r="U123" s="43" t="str">
        <x:v>Intermitent</x:v>
      </x:c>
      <x:c r="V123" s="43" t="str">
        <x:v>0.005</x:v>
      </x:c>
      <x:c r="W123" s="43" t="str">
        <x:v>18 seconds per day. It was a tone</x:v>
      </x:c>
      <x:c r="X123" s="43" t="str">
        <x:v>White noise</x:v>
      </x:c>
      <x:c r="Y123" s="43" t="str">
        <x:v>Audible</x:v>
      </x:c>
      <x:c r="Z123" s="43" t="str">
        <x:v>85</x:v>
      </x:c>
      <x:c r="AA123" s="43" t="str">
        <x:v>2500</x:v>
      </x:c>
      <x:c r="AB123" s="43" t="str">
        <x:v>Unclear</x:v>
      </x:c>
      <x:c r="AC123" s="43" t="str"/>
      <x:c r="AD123" s="43" t="str">
        <x:v>undisturbed controls</x:v>
      </x:c>
      <x:c r="AE123" s="43" t="str">
        <x:v>male</x:v>
      </x:c>
      <x:c r="AF123" s="43" t="str">
        <x:v>27</x:v>
      </x:c>
      <x:c r="AG123" s="43" t="str"/>
      <x:c r="AH123" s="43" t="str">
        <x:v>Cross-Fostered</x:v>
      </x:c>
      <x:c r="AI123" s="43" t="str"/>
      <x:c r="AJ123" s="43" t="str">
        <x:v>Anxiety</x:v>
      </x:c>
      <x:c r="AK123" s="43" t="str">
        <x:v>Open Field Test (OFT)</x:v>
      </x:c>
      <x:c r="AL123" s="43" t="str">
        <x:v>Circular open-field, duration 3 minutes and repeated in 3 consecutive days</x:v>
      </x:c>
      <x:c r="AM123" s="43" t="str">
        <x:v>Grooming frequency</x:v>
      </x:c>
      <x:c r="AN123" s="43" t="str">
        <x:v>Count</x:v>
      </x:c>
      <x:c r="AO123" s="43" t="str">
        <x:v>Count</x:v>
      </x:c>
      <x:c r="AP123" s="43" t="str">
        <x:v>Not reported</x:v>
      </x:c>
      <x:c r="AQ123" s="43" t="str">
        <x:v>Figure 4</x:v>
      </x:c>
      <x:c r="AR123" s="43" t="str">
        <x:v>whitlow_1978_thesis_fig4</x:v>
      </x:c>
      <x:c r="AS123" s="43" t="str">
        <x:v>C_3_gr</x:v>
      </x:c>
      <x:c r="AT123" s="43" t="str">
        <x:v>HN_3_gr</x:v>
      </x:c>
      <x:c r="AU123" s="43" t="str">
        <x:v>C_HN_3_gr</x:v>
      </x:c>
      <x:c r="AV123" s="43" t="str">
        <x:v>Dependent</x:v>
      </x:c>
      <x:c r="AW123" s="43" t="str">
        <x:v>No</x:v>
      </x:c>
      <x:c r="AX123" s="43" t="str">
        <x:v>Positive</x:v>
      </x:c>
      <x:c r="AY123" s="43" t="str"/>
      <x:c r="AZ123" s="43" t="str">
        <x:v>3.8478</x:v>
      </x:c>
      <x:c r="BA123" s="43" t="str">
        <x:v>1.9616</x:v>
      </x:c>
      <x:c r="BB123" s="43" t="str">
        <x:v>20</x:v>
      </x:c>
      <x:c r="BC123" s="43" t="str"/>
      <x:c r="BD123" s="43" t="str"/>
      <x:c r="BE123" s="43" t="str">
        <x:v>3.6899</x:v>
      </x:c>
      <x:c r="BF123" s="43" t="str">
        <x:v>1.9209</x:v>
      </x:c>
      <x:c r="BG123" s="43" t="str">
        <x:v>20</x:v>
      </x:c>
      <x:c r="BH123" s="43" t="str"/>
      <x:c r="BI123" s="43" t="str"/>
      <x:c r="BJ123" s="43" t="str">
        <x:v>Figure only showed mean, imputated sd=SQRT(mean) as are counts in a certain tine</x:v>
      </x:c>
      <x:c r="BK123"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3" s="43" t="str"/>
      <x:c r="BM123" s="43" t="str"/>
      <x:c r="BN123" s="43" t="str"/>
      <x:c r="BO123" s="43" t="str"/>
      <x:c r="BP123" s="43" t="str"/>
      <x:c r="BQ123" s="43" t="str"/>
      <x:c r="BR123" s="43" t="str">
        <x:v>yes</x:v>
      </x:c>
      <x:c r="BS123" s="43" t="str">
        <x:v>adjust comments text</x:v>
      </x:c>
      <x:c r="BT123" s="43" t="str"/>
      <x:c r="BU123" s="43" t="str"/>
      <x:c r="BV123" s="43" t="str"/>
      <x:c r="BW123" s="43" t="str">
        <x:v>0.438627</x:v>
      </x:c>
      <x:c r="BX123" s="43" t="str">
        <x:v>Accepted analysis assumption: SD = sqrt(mean); SE = SD / sqrt(n)</x:v>
      </x:c>
      <x:c r="BY123" s="43" t="str">
        <x:v>included_studies/whitlow_1978_thesis.pdf; figure error bars are not defined; assumption approved by reviewer</x:v>
      </x:c>
      <x:c r="BZ123" s="43" t="str"/>
      <x:c r="CA123" s="43" t="str">
        <x:v>0.429526</x:v>
      </x:c>
      <x:c r="CB123" s="43" t="str">
        <x:v>Accepted analysis assumption: SD = sqrt(mean); SE = SD / sqrt(n)</x:v>
      </x:c>
      <x:c r="CC123" s="43" t="str">
        <x:v>included_studies/whitlow_1978_thesis.pdf; figure error bars are not defined; assumption approved by reviewer</x:v>
      </x:c>
      <x:c r="CD123" s="43" t="str">
        <x:v>Corrected derived value</x:v>
      </x:c>
      <x:c r="CE123" s="43" t="str">
        <x:v>Variance decision – Whitlow 1978</x:v>
      </x:c>
      <x:c r="CF123" s="43" t="str">
        <x:v>Variance assumption accepted: SD=sqrt(mean), then SE=SD/sqrt(n).</x:v>
      </x:c>
    </x:row>
    <x:row r="124">
      <x:c r="A124" s="43" t="str">
        <x:v>124</x:v>
      </x:c>
      <x:c r="B124" s="43" t="str">
        <x:v>whitlow_1978_thesis</x:v>
      </x:c>
      <x:c r="C124" s="43" t="str">
        <x:v>ex022</x:v>
      </x:c>
      <x:c r="D124" s="43" t="str">
        <x:v>con018</x:v>
      </x:c>
      <x:c r="E124" s="43" t="str">
        <x:v>out059</x:v>
      </x:c>
      <x:c r="F124" s="43" t="str">
        <x:v>es123</x:v>
      </x:c>
      <x:c r="G124" s="43" t="str">
        <x:v>Yes</x:v>
      </x:c>
      <x:c r="H124" s="43" t="str">
        <x:v>They had two experimental groups, 65dB and 85dB, they did 3 trials, one per day of the OFT</x:v>
      </x:c>
      <x:c r="I124" s="43" t="str">
        <x:v>THE EFFECT OF SOUND STIMULATION DURING GESTATION  ON THE BEHAVIOR OF RAT OFFSPRING</x:v>
      </x:c>
      <x:c r="J124" s="43" t="str"/>
      <x:c r="K124" s="43" t="str">
        <x:v>Thesis</x:v>
      </x:c>
      <x:c r="L124" s="43" t="str"/>
      <x:c r="M124" s="43" t="str">
        <x:v>Rattus norvegicus</x:v>
      </x:c>
      <x:c r="N124" s="43" t="str">
        <x:v>hooded rat</x:v>
      </x:c>
      <x:c r="O124" s="43" t="str">
        <x:v>Lister rat</x:v>
      </x:c>
      <x:c r="P124" s="43" t="str"/>
      <x:c r="Q124" s="43" t="str">
        <x:v>not reported</x:v>
      </x:c>
      <x:c r="R124" s="43" t="str">
        <x:v>mid, late</x:v>
      </x:c>
      <x:c r="S124" s="43" t="str">
        <x:v>day 12-19</x:v>
      </x:c>
      <x:c r="T124" s="43" t="str">
        <x:v>8</x:v>
      </x:c>
      <x:c r="U124" s="43" t="str">
        <x:v>Intermitent</x:v>
      </x:c>
      <x:c r="V124" s="43" t="str">
        <x:v>0.005</x:v>
      </x:c>
      <x:c r="W124" s="43" t="str">
        <x:v>18 seconds per day. It was a tone</x:v>
      </x:c>
      <x:c r="X124" s="43" t="str">
        <x:v>White noise</x:v>
      </x:c>
      <x:c r="Y124" s="43" t="str">
        <x:v>Audible</x:v>
      </x:c>
      <x:c r="Z124" s="43" t="str">
        <x:v>65</x:v>
      </x:c>
      <x:c r="AA124" s="43" t="str">
        <x:v>2500</x:v>
      </x:c>
      <x:c r="AB124" s="43" t="str">
        <x:v>Unclear</x:v>
      </x:c>
      <x:c r="AC124" s="43" t="str"/>
      <x:c r="AD124" s="43" t="str">
        <x:v>undisturbed controls</x:v>
      </x:c>
      <x:c r="AE124" s="43" t="str">
        <x:v>male</x:v>
      </x:c>
      <x:c r="AF124" s="43" t="str">
        <x:v>27</x:v>
      </x:c>
      <x:c r="AG124" s="43" t="str"/>
      <x:c r="AH124" s="43" t="str">
        <x:v>Cross-Fostered</x:v>
      </x:c>
      <x:c r="AI124" s="43" t="str"/>
      <x:c r="AJ124" s="43" t="str">
        <x:v>Anxiety</x:v>
      </x:c>
      <x:c r="AK124" s="43" t="str">
        <x:v>Open Field Test (OFT)</x:v>
      </x:c>
      <x:c r="AL124" s="43" t="str">
        <x:v>Circular open-field, duration 3 minutes and repeated in 3 consecutive days</x:v>
      </x:c>
      <x:c r="AM124" s="43" t="str">
        <x:v>Grooming frequency</x:v>
      </x:c>
      <x:c r="AN124" s="43" t="str">
        <x:v>Count</x:v>
      </x:c>
      <x:c r="AO124" s="43" t="str">
        <x:v>Count</x:v>
      </x:c>
      <x:c r="AP124" s="43" t="str">
        <x:v>Not reported</x:v>
      </x:c>
      <x:c r="AQ124" s="43" t="str">
        <x:v>Figure 4</x:v>
      </x:c>
      <x:c r="AR124" s="43" t="str">
        <x:v>whitlow_1978_thesis_fig4</x:v>
      </x:c>
      <x:c r="AS124" s="43" t="str">
        <x:v>C_3_gr</x:v>
      </x:c>
      <x:c r="AT124" s="43" t="str">
        <x:v>HLN_3_gr</x:v>
      </x:c>
      <x:c r="AU124" s="43" t="str">
        <x:v>C_HLN_3_gr</x:v>
      </x:c>
      <x:c r="AV124" s="43" t="str">
        <x:v>Dependent</x:v>
      </x:c>
      <x:c r="AW124" s="43" t="str">
        <x:v>No</x:v>
      </x:c>
      <x:c r="AX124" s="43" t="str">
        <x:v>Positive</x:v>
      </x:c>
      <x:c r="AY124" s="43" t="str"/>
      <x:c r="AZ124" s="43" t="str">
        <x:v>3.8478</x:v>
      </x:c>
      <x:c r="BA124" s="43" t="str">
        <x:v>1.9616</x:v>
      </x:c>
      <x:c r="BB124" s="43" t="str">
        <x:v>20</x:v>
      </x:c>
      <x:c r="BC124" s="43" t="str"/>
      <x:c r="BD124" s="43" t="str"/>
      <x:c r="BE124" s="43" t="str">
        <x:v>3.0749</x:v>
      </x:c>
      <x:c r="BF124" s="43" t="str">
        <x:v>1.7535</x:v>
      </x:c>
      <x:c r="BG124" s="43" t="str">
        <x:v>20</x:v>
      </x:c>
      <x:c r="BH124" s="43" t="str"/>
      <x:c r="BI124" s="43" t="str"/>
      <x:c r="BJ124" s="43" t="str">
        <x:v>Figure only showed mean, imputated sd=SQRT(mean) as are counts in a certain tine</x:v>
      </x:c>
      <x:c r="BK124"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4" s="43" t="str"/>
      <x:c r="BM124" s="43" t="str"/>
      <x:c r="BN124" s="43" t="str"/>
      <x:c r="BO124" s="43" t="str"/>
      <x:c r="BP124" s="43" t="str"/>
      <x:c r="BQ124" s="43" t="str"/>
      <x:c r="BR124" s="43" t="str">
        <x:v>yes</x:v>
      </x:c>
      <x:c r="BS124" s="43" t="str">
        <x:v>adjust comments text</x:v>
      </x:c>
      <x:c r="BT124" s="43" t="str"/>
      <x:c r="BU124" s="43" t="str"/>
      <x:c r="BV124" s="43" t="str"/>
      <x:c r="BW124" s="43" t="str">
        <x:v>0.438627</x:v>
      </x:c>
      <x:c r="BX124" s="43" t="str">
        <x:v>Accepted analysis assumption: SD = sqrt(mean); SE = SD / sqrt(n)</x:v>
      </x:c>
      <x:c r="BY124" s="43" t="str">
        <x:v>included_studies/whitlow_1978_thesis.pdf; figure error bars are not defined; assumption approved by reviewer</x:v>
      </x:c>
      <x:c r="BZ124" s="43" t="str"/>
      <x:c r="CA124" s="43" t="str">
        <x:v>0.392095</x:v>
      </x:c>
      <x:c r="CB124" s="43" t="str">
        <x:v>Accepted analysis assumption: SD = sqrt(mean); SE = SD / sqrt(n)</x:v>
      </x:c>
      <x:c r="CC124" s="43" t="str">
        <x:v>included_studies/whitlow_1978_thesis.pdf; figure error bars are not defined; assumption approved by reviewer</x:v>
      </x:c>
      <x:c r="CD124" s="43" t="str">
        <x:v>Corrected derived value</x:v>
      </x:c>
      <x:c r="CE124" s="43" t="str">
        <x:v>Variance decision – Whitlow 1978</x:v>
      </x:c>
      <x:c r="CF124" s="43" t="str">
        <x:v>Variance assumption accepted: SD=sqrt(mean), then SE=SD/sqrt(n).</x:v>
      </x:c>
    </x:row>
    <x:row r="125">
      <x:c r="A125" s="43" t="str">
        <x:v>125</x:v>
      </x:c>
      <x:c r="B125" s="43" t="str">
        <x:v>whitlow_1978_thesis</x:v>
      </x:c>
      <x:c r="C125" s="43" t="str">
        <x:v>ex021</x:v>
      </x:c>
      <x:c r="D125" s="43" t="str">
        <x:v>con018</x:v>
      </x:c>
      <x:c r="E125" s="43" t="str">
        <x:v>out060</x:v>
      </x:c>
      <x:c r="F125" s="43" t="str">
        <x:v>es124</x:v>
      </x:c>
      <x:c r="G125" s="43" t="str">
        <x:v>Yes</x:v>
      </x:c>
      <x:c r="H125" s="43" t="str">
        <x:v>They had two experimental groups, 65dB and 85dB, they did 3 trials, one per day of the OFT</x:v>
      </x:c>
      <x:c r="I125" s="43" t="str">
        <x:v>THE EFFECT OF SOUND STIMULATION DURING GESTATION  ON THE BEHAVIOR OF RAT OFFSPRING</x:v>
      </x:c>
      <x:c r="J125" s="43" t="str"/>
      <x:c r="K125" s="43" t="str">
        <x:v>Thesis</x:v>
      </x:c>
      <x:c r="L125" s="43" t="str"/>
      <x:c r="M125" s="43" t="str">
        <x:v>Rattus norvegicus</x:v>
      </x:c>
      <x:c r="N125" s="43" t="str">
        <x:v>hooded rat</x:v>
      </x:c>
      <x:c r="O125" s="43" t="str">
        <x:v>Lister rat</x:v>
      </x:c>
      <x:c r="P125" s="43" t="str"/>
      <x:c r="Q125" s="43" t="str">
        <x:v>not reported</x:v>
      </x:c>
      <x:c r="R125" s="43" t="str">
        <x:v>mid, late</x:v>
      </x:c>
      <x:c r="S125" s="43" t="str">
        <x:v>day 12-19</x:v>
      </x:c>
      <x:c r="T125" s="43" t="str">
        <x:v>8</x:v>
      </x:c>
      <x:c r="U125" s="43" t="str">
        <x:v>Intermitent</x:v>
      </x:c>
      <x:c r="V125" s="43" t="str">
        <x:v>0.005</x:v>
      </x:c>
      <x:c r="W125" s="43" t="str">
        <x:v>18 seconds per day. It was a tone</x:v>
      </x:c>
      <x:c r="X125" s="43" t="str">
        <x:v>White noise</x:v>
      </x:c>
      <x:c r="Y125" s="43" t="str">
        <x:v>Audible</x:v>
      </x:c>
      <x:c r="Z125" s="43" t="str">
        <x:v>85</x:v>
      </x:c>
      <x:c r="AA125" s="43" t="str">
        <x:v>2500</x:v>
      </x:c>
      <x:c r="AB125" s="43" t="str">
        <x:v>Unclear</x:v>
      </x:c>
      <x:c r="AC125" s="43" t="str"/>
      <x:c r="AD125" s="43" t="str">
        <x:v>undisturbed controls</x:v>
      </x:c>
      <x:c r="AE125" s="43" t="str">
        <x:v>male</x:v>
      </x:c>
      <x:c r="AF125" s="43" t="str">
        <x:v>25</x:v>
      </x:c>
      <x:c r="AG125" s="43" t="str"/>
      <x:c r="AH125" s="43" t="str">
        <x:v>Cross-Fostered</x:v>
      </x:c>
      <x:c r="AI125" s="43" t="str"/>
      <x:c r="AJ125" s="43" t="str">
        <x:v>Anxiety</x:v>
      </x:c>
      <x:c r="AK125" s="43" t="str">
        <x:v>Open Field Test (OFT)</x:v>
      </x:c>
      <x:c r="AL125" s="43" t="str">
        <x:v>Circular open-field, duration 3 minutes and repeated in 3 consecutive days</x:v>
      </x:c>
      <x:c r="AM125" s="43" t="str">
        <x:v>Defecation amount</x:v>
      </x:c>
      <x:c r="AN125" s="43" t="str">
        <x:v>Count</x:v>
      </x:c>
      <x:c r="AO125" s="43" t="str">
        <x:v>Count</x:v>
      </x:c>
      <x:c r="AP125" s="43" t="str">
        <x:v>Not reported</x:v>
      </x:c>
      <x:c r="AQ125" s="43" t="str">
        <x:v>Figure 5</x:v>
      </x:c>
      <x:c r="AR125" s="43" t="str">
        <x:v>whitlow_1978_thesis_fig5</x:v>
      </x:c>
      <x:c r="AS125" s="43" t="str">
        <x:v>C_1_de</x:v>
      </x:c>
      <x:c r="AT125" s="43" t="str">
        <x:v>HN_1_de</x:v>
      </x:c>
      <x:c r="AU125" s="43" t="str">
        <x:v>C_HN_1_de</x:v>
      </x:c>
      <x:c r="AV125" s="43" t="str">
        <x:v>Dependent</x:v>
      </x:c>
      <x:c r="AW125" s="43" t="str">
        <x:v>No</x:v>
      </x:c>
      <x:c r="AX125" s="43" t="str">
        <x:v>Positive</x:v>
      </x:c>
      <x:c r="AY125" s="43" t="str"/>
      <x:c r="AZ125" s="43" t="str">
        <x:v>2.3849</x:v>
      </x:c>
      <x:c r="BA125" s="43" t="str">
        <x:v>1.5443</x:v>
      </x:c>
      <x:c r="BB125" s="43" t="str">
        <x:v>20</x:v>
      </x:c>
      <x:c r="BC125" s="43" t="str"/>
      <x:c r="BD125" s="43" t="str"/>
      <x:c r="BE125" s="43" t="str">
        <x:v>2.3777</x:v>
      </x:c>
      <x:c r="BF125" s="43" t="str">
        <x:v>1.542</x:v>
      </x:c>
      <x:c r="BG125" s="43" t="str">
        <x:v>20</x:v>
      </x:c>
      <x:c r="BH125" s="43" t="str"/>
      <x:c r="BI125" s="43" t="str"/>
      <x:c r="BJ125" s="43" t="str">
        <x:v>Figure only showed mean, imputated sd=SQRT(mean) as are counts in a certain tine</x:v>
      </x:c>
      <x:c r="BK125"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5" s="43" t="str"/>
      <x:c r="BM125" s="43" t="str"/>
      <x:c r="BN125" s="43" t="str"/>
      <x:c r="BO125" s="43" t="str"/>
      <x:c r="BP125" s="43" t="str"/>
      <x:c r="BQ125" s="43" t="str"/>
      <x:c r="BR125" s="43" t="str">
        <x:v>yes</x:v>
      </x:c>
      <x:c r="BS125" s="43" t="str">
        <x:v>adjust comments text</x:v>
      </x:c>
      <x:c r="BT125" s="43" t="str"/>
      <x:c r="BU125" s="43" t="str"/>
      <x:c r="BV125" s="43" t="str"/>
      <x:c r="BW125" s="43" t="str">
        <x:v>0.345316</x:v>
      </x:c>
      <x:c r="BX125" s="43" t="str">
        <x:v>Accepted analysis assumption: SD = sqrt(mean); SE = SD / sqrt(n)</x:v>
      </x:c>
      <x:c r="BY125" s="43" t="str">
        <x:v>included_studies/whitlow_1978_thesis.pdf; figure error bars are not defined; assumption approved by reviewer</x:v>
      </x:c>
      <x:c r="BZ125" s="43" t="str"/>
      <x:c r="CA125" s="43" t="str">
        <x:v>0.344802</x:v>
      </x:c>
      <x:c r="CB125" s="43" t="str">
        <x:v>Accepted analysis assumption: SD = sqrt(mean); SE = SD / sqrt(n)</x:v>
      </x:c>
      <x:c r="CC125" s="43" t="str">
        <x:v>included_studies/whitlow_1978_thesis.pdf; figure error bars are not defined; assumption approved by reviewer</x:v>
      </x:c>
      <x:c r="CD125" s="43" t="str">
        <x:v>Corrected derived value</x:v>
      </x:c>
      <x:c r="CE125" s="43" t="str">
        <x:v>Variance decision – Whitlow 1978</x:v>
      </x:c>
      <x:c r="CF125" s="43" t="str">
        <x:v>Variance assumption accepted: SD=sqrt(mean), then SE=SD/sqrt(n).</x:v>
      </x:c>
    </x:row>
    <x:row r="126">
      <x:c r="A126" s="43" t="str">
        <x:v>126</x:v>
      </x:c>
      <x:c r="B126" s="43" t="str">
        <x:v>whitlow_1978_thesis</x:v>
      </x:c>
      <x:c r="C126" s="43" t="str">
        <x:v>ex022</x:v>
      </x:c>
      <x:c r="D126" s="43" t="str">
        <x:v>con018</x:v>
      </x:c>
      <x:c r="E126" s="43" t="str">
        <x:v>out060</x:v>
      </x:c>
      <x:c r="F126" s="43" t="str">
        <x:v>es125</x:v>
      </x:c>
      <x:c r="G126" s="43" t="str">
        <x:v>Yes</x:v>
      </x:c>
      <x:c r="H126" s="43" t="str">
        <x:v>They had two experimental groups, 65dB and 85dB, they did 3 trials, one per day of the OFT</x:v>
      </x:c>
      <x:c r="I126" s="43" t="str">
        <x:v>THE EFFECT OF SOUND STIMULATION DURING GESTATION  ON THE BEHAVIOR OF RAT OFFSPRING</x:v>
      </x:c>
      <x:c r="J126" s="43" t="str"/>
      <x:c r="K126" s="43" t="str">
        <x:v>Thesis</x:v>
      </x:c>
      <x:c r="L126" s="43" t="str"/>
      <x:c r="M126" s="43" t="str">
        <x:v>Rattus norvegicus</x:v>
      </x:c>
      <x:c r="N126" s="43" t="str">
        <x:v>hooded rat</x:v>
      </x:c>
      <x:c r="O126" s="43" t="str">
        <x:v>Lister rat</x:v>
      </x:c>
      <x:c r="P126" s="43" t="str"/>
      <x:c r="Q126" s="43" t="str">
        <x:v>not reported</x:v>
      </x:c>
      <x:c r="R126" s="43" t="str">
        <x:v>mid, late</x:v>
      </x:c>
      <x:c r="S126" s="43" t="str">
        <x:v>day 12-19</x:v>
      </x:c>
      <x:c r="T126" s="43" t="str">
        <x:v>8</x:v>
      </x:c>
      <x:c r="U126" s="43" t="str">
        <x:v>Intermitent</x:v>
      </x:c>
      <x:c r="V126" s="43" t="str">
        <x:v>0.005</x:v>
      </x:c>
      <x:c r="W126" s="43" t="str">
        <x:v>18 seconds per day. It was a tone</x:v>
      </x:c>
      <x:c r="X126" s="43" t="str">
        <x:v>White noise</x:v>
      </x:c>
      <x:c r="Y126" s="43" t="str">
        <x:v>Audible</x:v>
      </x:c>
      <x:c r="Z126" s="43" t="str">
        <x:v>65</x:v>
      </x:c>
      <x:c r="AA126" s="43" t="str">
        <x:v>2500</x:v>
      </x:c>
      <x:c r="AB126" s="43" t="str">
        <x:v>Unclear</x:v>
      </x:c>
      <x:c r="AC126" s="43" t="str"/>
      <x:c r="AD126" s="43" t="str">
        <x:v>undisturbed controls</x:v>
      </x:c>
      <x:c r="AE126" s="43" t="str">
        <x:v>male</x:v>
      </x:c>
      <x:c r="AF126" s="43" t="str">
        <x:v>25</x:v>
      </x:c>
      <x:c r="AG126" s="43" t="str"/>
      <x:c r="AH126" s="43" t="str">
        <x:v>Cross-Fostered</x:v>
      </x:c>
      <x:c r="AI126" s="43" t="str"/>
      <x:c r="AJ126" s="43" t="str">
        <x:v>Anxiety</x:v>
      </x:c>
      <x:c r="AK126" s="43" t="str">
        <x:v>Open Field Test (OFT)</x:v>
      </x:c>
      <x:c r="AL126" s="43" t="str">
        <x:v>Circular open-field, duration 3 minutes and repeated in 3 consecutive days</x:v>
      </x:c>
      <x:c r="AM126" s="43" t="str">
        <x:v>Defecation amount</x:v>
      </x:c>
      <x:c r="AN126" s="43" t="str">
        <x:v>Count</x:v>
      </x:c>
      <x:c r="AO126" s="43" t="str">
        <x:v>Count</x:v>
      </x:c>
      <x:c r="AP126" s="43" t="str">
        <x:v>Not reported</x:v>
      </x:c>
      <x:c r="AQ126" s="43" t="str">
        <x:v>Figure 5</x:v>
      </x:c>
      <x:c r="AR126" s="43" t="str">
        <x:v>whitlow_1978_thesis_fig5</x:v>
      </x:c>
      <x:c r="AS126" s="43" t="str">
        <x:v>C_1_de</x:v>
      </x:c>
      <x:c r="AT126" s="43" t="str">
        <x:v>HLN_1_de</x:v>
      </x:c>
      <x:c r="AU126" s="43" t="str">
        <x:v>C_HLN_1_de</x:v>
      </x:c>
      <x:c r="AV126" s="43" t="str">
        <x:v>Dependent</x:v>
      </x:c>
      <x:c r="AW126" s="43" t="str">
        <x:v>No</x:v>
      </x:c>
      <x:c r="AX126" s="43" t="str">
        <x:v>Positive</x:v>
      </x:c>
      <x:c r="AY126" s="43" t="str"/>
      <x:c r="AZ126" s="43" t="str">
        <x:v>2.3849</x:v>
      </x:c>
      <x:c r="BA126" s="43" t="str">
        <x:v>1.5443</x:v>
      </x:c>
      <x:c r="BB126" s="43" t="str">
        <x:v>20</x:v>
      </x:c>
      <x:c r="BC126" s="43" t="str"/>
      <x:c r="BD126" s="43" t="str"/>
      <x:c r="BE126" s="43" t="str">
        <x:v>2.0226</x:v>
      </x:c>
      <x:c r="BF126" s="43" t="str">
        <x:v>1.4222</x:v>
      </x:c>
      <x:c r="BG126" s="43" t="str">
        <x:v>20</x:v>
      </x:c>
      <x:c r="BH126" s="43" t="str"/>
      <x:c r="BI126" s="43" t="str"/>
      <x:c r="BJ126" s="43" t="str">
        <x:v>Figure only showed mean, imputated sd=SQRT(mean) as are counts in a certain tine</x:v>
      </x:c>
      <x:c r="BK126"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6" s="43" t="str"/>
      <x:c r="BM126" s="43" t="str"/>
      <x:c r="BN126" s="43" t="str"/>
      <x:c r="BO126" s="43" t="str"/>
      <x:c r="BP126" s="43" t="str"/>
      <x:c r="BQ126" s="43" t="str"/>
      <x:c r="BR126" s="43" t="str">
        <x:v>yes</x:v>
      </x:c>
      <x:c r="BS126" s="43" t="str">
        <x:v>adjust comments text</x:v>
      </x:c>
      <x:c r="BT126" s="43" t="str"/>
      <x:c r="BU126" s="43" t="str"/>
      <x:c r="BV126" s="43" t="str"/>
      <x:c r="BW126" s="43" t="str">
        <x:v>0.345316</x:v>
      </x:c>
      <x:c r="BX126" s="43" t="str">
        <x:v>Accepted analysis assumption: SD = sqrt(mean); SE = SD / sqrt(n)</x:v>
      </x:c>
      <x:c r="BY126" s="43" t="str">
        <x:v>included_studies/whitlow_1978_thesis.pdf; figure error bars are not defined; assumption approved by reviewer</x:v>
      </x:c>
      <x:c r="BZ126" s="43" t="str"/>
      <x:c r="CA126" s="43" t="str">
        <x:v>0.318014</x:v>
      </x:c>
      <x:c r="CB126" s="43" t="str">
        <x:v>Accepted analysis assumption: SD = sqrt(mean); SE = SD / sqrt(n)</x:v>
      </x:c>
      <x:c r="CC126" s="43" t="str">
        <x:v>included_studies/whitlow_1978_thesis.pdf; figure error bars are not defined; assumption approved by reviewer</x:v>
      </x:c>
      <x:c r="CD126" s="43" t="str">
        <x:v>Corrected derived value</x:v>
      </x:c>
      <x:c r="CE126" s="43" t="str">
        <x:v>Variance decision – Whitlow 1978</x:v>
      </x:c>
      <x:c r="CF126" s="43" t="str">
        <x:v>Variance assumption accepted: SD=sqrt(mean), then SE=SD/sqrt(n).</x:v>
      </x:c>
    </x:row>
    <x:row r="127">
      <x:c r="A127" s="43" t="str">
        <x:v>127</x:v>
      </x:c>
      <x:c r="B127" s="43" t="str">
        <x:v>whitlow_1978_thesis</x:v>
      </x:c>
      <x:c r="C127" s="43" t="str">
        <x:v>ex021</x:v>
      </x:c>
      <x:c r="D127" s="43" t="str">
        <x:v>con018</x:v>
      </x:c>
      <x:c r="E127" s="43" t="str">
        <x:v>out060</x:v>
      </x:c>
      <x:c r="F127" s="43" t="str">
        <x:v>es126</x:v>
      </x:c>
      <x:c r="G127" s="43" t="str">
        <x:v>Yes</x:v>
      </x:c>
      <x:c r="H127" s="43" t="str">
        <x:v>They had two experimental groups, 65dB and 85dB, they did 3 trials, one per day of the OFT</x:v>
      </x:c>
      <x:c r="I127" s="43" t="str">
        <x:v>THE EFFECT OF SOUND STIMULATION DURING GESTATION  ON THE BEHAVIOR OF RAT OFFSPRING</x:v>
      </x:c>
      <x:c r="J127" s="43" t="str"/>
      <x:c r="K127" s="43" t="str">
        <x:v>Thesis</x:v>
      </x:c>
      <x:c r="L127" s="43" t="str"/>
      <x:c r="M127" s="43" t="str">
        <x:v>Rattus norvegicus</x:v>
      </x:c>
      <x:c r="N127" s="43" t="str">
        <x:v>hooded rat</x:v>
      </x:c>
      <x:c r="O127" s="43" t="str">
        <x:v>Lister rat</x:v>
      </x:c>
      <x:c r="P127" s="43" t="str"/>
      <x:c r="Q127" s="43" t="str">
        <x:v>not reported</x:v>
      </x:c>
      <x:c r="R127" s="43" t="str">
        <x:v>mid, late</x:v>
      </x:c>
      <x:c r="S127" s="43" t="str">
        <x:v>day 12-19</x:v>
      </x:c>
      <x:c r="T127" s="43" t="str">
        <x:v>8</x:v>
      </x:c>
      <x:c r="U127" s="43" t="str">
        <x:v>Intermitent</x:v>
      </x:c>
      <x:c r="V127" s="43" t="str">
        <x:v>0.005</x:v>
      </x:c>
      <x:c r="W127" s="43" t="str">
        <x:v>18 seconds per day. It was a tone</x:v>
      </x:c>
      <x:c r="X127" s="43" t="str">
        <x:v>White noise</x:v>
      </x:c>
      <x:c r="Y127" s="43" t="str">
        <x:v>Audible</x:v>
      </x:c>
      <x:c r="Z127" s="43" t="str">
        <x:v>85</x:v>
      </x:c>
      <x:c r="AA127" s="43" t="str">
        <x:v>2500</x:v>
      </x:c>
      <x:c r="AB127" s="43" t="str">
        <x:v>Unclear</x:v>
      </x:c>
      <x:c r="AC127" s="43" t="str"/>
      <x:c r="AD127" s="43" t="str">
        <x:v>undisturbed controls</x:v>
      </x:c>
      <x:c r="AE127" s="43" t="str">
        <x:v>male</x:v>
      </x:c>
      <x:c r="AF127" s="43" t="str">
        <x:v>26</x:v>
      </x:c>
      <x:c r="AG127" s="43" t="str"/>
      <x:c r="AH127" s="43" t="str">
        <x:v>Cross-Fostered</x:v>
      </x:c>
      <x:c r="AI127" s="43" t="str"/>
      <x:c r="AJ127" s="43" t="str">
        <x:v>Anxiety</x:v>
      </x:c>
      <x:c r="AK127" s="43" t="str">
        <x:v>Open Field Test (OFT)</x:v>
      </x:c>
      <x:c r="AL127" s="43" t="str">
        <x:v>Circular open-field, duration 3 minutes and repeated in 3 consecutive days</x:v>
      </x:c>
      <x:c r="AM127" s="43" t="str">
        <x:v>Defecation amount</x:v>
      </x:c>
      <x:c r="AN127" s="43" t="str">
        <x:v>Count</x:v>
      </x:c>
      <x:c r="AO127" s="43" t="str">
        <x:v>Count</x:v>
      </x:c>
      <x:c r="AP127" s="43" t="str">
        <x:v>Not reported</x:v>
      </x:c>
      <x:c r="AQ127" s="43" t="str">
        <x:v>Figure 5</x:v>
      </x:c>
      <x:c r="AR127" s="43" t="str">
        <x:v>whitlow_1978_thesis_fig5</x:v>
      </x:c>
      <x:c r="AS127" s="43" t="str">
        <x:v>C_2_de</x:v>
      </x:c>
      <x:c r="AT127" s="43" t="str">
        <x:v>HN_2_de</x:v>
      </x:c>
      <x:c r="AU127" s="43" t="str">
        <x:v>C_HN_2_de</x:v>
      </x:c>
      <x:c r="AV127" s="43" t="str">
        <x:v>Dependent</x:v>
      </x:c>
      <x:c r="AW127" s="43" t="str">
        <x:v>No</x:v>
      </x:c>
      <x:c r="AX127" s="43" t="str">
        <x:v>Positive</x:v>
      </x:c>
      <x:c r="AY127" s="43" t="str"/>
      <x:c r="AZ127" s="43" t="str">
        <x:v>1.5268</x:v>
      </x:c>
      <x:c r="BA127" s="43" t="str">
        <x:v>1.2357</x:v>
      </x:c>
      <x:c r="BB127" s="43" t="str">
        <x:v>20</x:v>
      </x:c>
      <x:c r="BC127" s="43" t="str"/>
      <x:c r="BD127" s="43" t="str"/>
      <x:c r="BE127" s="43" t="str">
        <x:v>1.9827</x:v>
      </x:c>
      <x:c r="BF127" s="43" t="str">
        <x:v>1.4081</x:v>
      </x:c>
      <x:c r="BG127" s="43" t="str">
        <x:v>20</x:v>
      </x:c>
      <x:c r="BH127" s="43" t="str"/>
      <x:c r="BI127" s="43" t="str"/>
      <x:c r="BJ127" s="43" t="str">
        <x:v>Figure only showed mean, imputated sd=SQRT(mean) as are counts in a certain tine</x:v>
      </x:c>
      <x:c r="BK127"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7" s="43" t="str"/>
      <x:c r="BM127" s="43" t="str"/>
      <x:c r="BN127" s="43" t="str"/>
      <x:c r="BO127" s="43" t="str"/>
      <x:c r="BP127" s="43" t="str"/>
      <x:c r="BQ127" s="43" t="str"/>
      <x:c r="BR127" s="43" t="str">
        <x:v>yes</x:v>
      </x:c>
      <x:c r="BS127" s="43" t="str">
        <x:v>adjust comments text</x:v>
      </x:c>
      <x:c r="BT127" s="43" t="str"/>
      <x:c r="BU127" s="43" t="str"/>
      <x:c r="BV127" s="43" t="str"/>
      <x:c r="BW127" s="43" t="str">
        <x:v>0.276311</x:v>
      </x:c>
      <x:c r="BX127" s="43" t="str">
        <x:v>Accepted analysis assumption: SD = sqrt(mean); SE = SD / sqrt(n)</x:v>
      </x:c>
      <x:c r="BY127" s="43" t="str">
        <x:v>included_studies/whitlow_1978_thesis.pdf; figure error bars are not defined; assumption approved by reviewer</x:v>
      </x:c>
      <x:c r="BZ127" s="43" t="str"/>
      <x:c r="CA127" s="43" t="str">
        <x:v>0.314861</x:v>
      </x:c>
      <x:c r="CB127" s="43" t="str">
        <x:v>Accepted analysis assumption: SD = sqrt(mean); SE = SD / sqrt(n)</x:v>
      </x:c>
      <x:c r="CC127" s="43" t="str">
        <x:v>included_studies/whitlow_1978_thesis.pdf; figure error bars are not defined; assumption approved by reviewer</x:v>
      </x:c>
      <x:c r="CD127" s="43" t="str">
        <x:v>Corrected derived value</x:v>
      </x:c>
      <x:c r="CE127" s="43" t="str">
        <x:v>Variance decision – Whitlow 1978</x:v>
      </x:c>
      <x:c r="CF127" s="43" t="str">
        <x:v>Variance assumption accepted: SD=sqrt(mean), then SE=SD/sqrt(n).</x:v>
      </x:c>
    </x:row>
    <x:row r="128">
      <x:c r="A128" s="43" t="str">
        <x:v>128</x:v>
      </x:c>
      <x:c r="B128" s="43" t="str">
        <x:v>whitlow_1978_thesis</x:v>
      </x:c>
      <x:c r="C128" s="43" t="str">
        <x:v>ex022</x:v>
      </x:c>
      <x:c r="D128" s="43" t="str">
        <x:v>con018</x:v>
      </x:c>
      <x:c r="E128" s="43" t="str">
        <x:v>out060</x:v>
      </x:c>
      <x:c r="F128" s="43" t="str">
        <x:v>es127</x:v>
      </x:c>
      <x:c r="G128" s="43" t="str">
        <x:v>Yes</x:v>
      </x:c>
      <x:c r="H128" s="43" t="str">
        <x:v>They had two experimental groups, 65dB and 85dB, they did 3 trials, one per day of the OFT</x:v>
      </x:c>
      <x:c r="I128" s="43" t="str">
        <x:v>THE EFFECT OF SOUND STIMULATION DURING GESTATION  ON THE BEHAVIOR OF RAT OFFSPRING</x:v>
      </x:c>
      <x:c r="J128" s="43" t="str"/>
      <x:c r="K128" s="43" t="str">
        <x:v>Thesis</x:v>
      </x:c>
      <x:c r="L128" s="43" t="str"/>
      <x:c r="M128" s="43" t="str">
        <x:v>Rattus norvegicus</x:v>
      </x:c>
      <x:c r="N128" s="43" t="str">
        <x:v>hooded rat</x:v>
      </x:c>
      <x:c r="O128" s="43" t="str">
        <x:v>Lister rat</x:v>
      </x:c>
      <x:c r="P128" s="43" t="str"/>
      <x:c r="Q128" s="43" t="str">
        <x:v>not reported</x:v>
      </x:c>
      <x:c r="R128" s="43" t="str">
        <x:v>mid, late</x:v>
      </x:c>
      <x:c r="S128" s="43" t="str">
        <x:v>day 12-19</x:v>
      </x:c>
      <x:c r="T128" s="43" t="str">
        <x:v>8</x:v>
      </x:c>
      <x:c r="U128" s="43" t="str">
        <x:v>Intermitent</x:v>
      </x:c>
      <x:c r="V128" s="43" t="str">
        <x:v>0.005</x:v>
      </x:c>
      <x:c r="W128" s="43" t="str">
        <x:v>18 seconds per day. It was a tone</x:v>
      </x:c>
      <x:c r="X128" s="43" t="str">
        <x:v>White noise</x:v>
      </x:c>
      <x:c r="Y128" s="43" t="str">
        <x:v>Audible</x:v>
      </x:c>
      <x:c r="Z128" s="43" t="str">
        <x:v>65</x:v>
      </x:c>
      <x:c r="AA128" s="43" t="str">
        <x:v>2500</x:v>
      </x:c>
      <x:c r="AB128" s="43" t="str">
        <x:v>Unclear</x:v>
      </x:c>
      <x:c r="AC128" s="43" t="str"/>
      <x:c r="AD128" s="43" t="str">
        <x:v>undisturbed controls</x:v>
      </x:c>
      <x:c r="AE128" s="43" t="str">
        <x:v>male</x:v>
      </x:c>
      <x:c r="AF128" s="43" t="str">
        <x:v>26</x:v>
      </x:c>
      <x:c r="AG128" s="43" t="str"/>
      <x:c r="AH128" s="43" t="str">
        <x:v>Cross-Fostered</x:v>
      </x:c>
      <x:c r="AI128" s="43" t="str"/>
      <x:c r="AJ128" s="43" t="str">
        <x:v>Anxiety</x:v>
      </x:c>
      <x:c r="AK128" s="43" t="str">
        <x:v>Open Field Test (OFT)</x:v>
      </x:c>
      <x:c r="AL128" s="43" t="str">
        <x:v>Circular open-field, duration 3 minutes and repeated in 3 consecutive days</x:v>
      </x:c>
      <x:c r="AM128" s="43" t="str">
        <x:v>Defecation amount</x:v>
      </x:c>
      <x:c r="AN128" s="43" t="str">
        <x:v>Count</x:v>
      </x:c>
      <x:c r="AO128" s="43" t="str">
        <x:v>Count</x:v>
      </x:c>
      <x:c r="AP128" s="43" t="str">
        <x:v>Not reported</x:v>
      </x:c>
      <x:c r="AQ128" s="43" t="str">
        <x:v>Figure 5</x:v>
      </x:c>
      <x:c r="AR128" s="43" t="str">
        <x:v>whitlow_1978_thesis_fig5</x:v>
      </x:c>
      <x:c r="AS128" s="43" t="str">
        <x:v>C_2_de</x:v>
      </x:c>
      <x:c r="AT128" s="43" t="str">
        <x:v>HLN_2_de</x:v>
      </x:c>
      <x:c r="AU128" s="43" t="str">
        <x:v>C_HLN_2_de</x:v>
      </x:c>
      <x:c r="AV128" s="43" t="str">
        <x:v>Dependent</x:v>
      </x:c>
      <x:c r="AW128" s="43" t="str">
        <x:v>No</x:v>
      </x:c>
      <x:c r="AX128" s="43" t="str">
        <x:v>Positive</x:v>
      </x:c>
      <x:c r="AY128" s="43" t="str"/>
      <x:c r="AZ128" s="43" t="str">
        <x:v>1.5268</x:v>
      </x:c>
      <x:c r="BA128" s="43" t="str">
        <x:v>1.2357</x:v>
      </x:c>
      <x:c r="BB128" s="43" t="str">
        <x:v>20</x:v>
      </x:c>
      <x:c r="BC128" s="43" t="str"/>
      <x:c r="BD128" s="43" t="str"/>
      <x:c r="BE128" s="43" t="str">
        <x:v>1.8311</x:v>
      </x:c>
      <x:c r="BF128" s="43" t="str">
        <x:v>1.3532</x:v>
      </x:c>
      <x:c r="BG128" s="43" t="str">
        <x:v>20</x:v>
      </x:c>
      <x:c r="BH128" s="43" t="str"/>
      <x:c r="BI128" s="43" t="str"/>
      <x:c r="BJ128" s="43" t="str">
        <x:v>Figure only showed mean, imputated sd=SQRT(mean) as are counts in a certain tine</x:v>
      </x:c>
      <x:c r="BK128"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8" s="43" t="str"/>
      <x:c r="BM128" s="43" t="str"/>
      <x:c r="BN128" s="43" t="str"/>
      <x:c r="BO128" s="43" t="str"/>
      <x:c r="BP128" s="43" t="str"/>
      <x:c r="BQ128" s="43" t="str"/>
      <x:c r="BR128" s="43" t="str">
        <x:v>yes</x:v>
      </x:c>
      <x:c r="BS128" s="43" t="str">
        <x:v>adjust comments text</x:v>
      </x:c>
      <x:c r="BT128" s="43" t="str"/>
      <x:c r="BU128" s="43" t="str"/>
      <x:c r="BV128" s="43" t="str"/>
      <x:c r="BW128" s="43" t="str">
        <x:v>0.276311</x:v>
      </x:c>
      <x:c r="BX128" s="43" t="str">
        <x:v>Accepted analysis assumption: SD = sqrt(mean); SE = SD / sqrt(n)</x:v>
      </x:c>
      <x:c r="BY128" s="43" t="str">
        <x:v>included_studies/whitlow_1978_thesis.pdf; figure error bars are not defined; assumption approved by reviewer</x:v>
      </x:c>
      <x:c r="BZ128" s="43" t="str"/>
      <x:c r="CA128" s="43" t="str">
        <x:v>0.302585</x:v>
      </x:c>
      <x:c r="CB128" s="43" t="str">
        <x:v>Accepted analysis assumption: SD = sqrt(mean); SE = SD / sqrt(n)</x:v>
      </x:c>
      <x:c r="CC128" s="43" t="str">
        <x:v>included_studies/whitlow_1978_thesis.pdf; figure error bars are not defined; assumption approved by reviewer</x:v>
      </x:c>
      <x:c r="CD128" s="43" t="str">
        <x:v>Corrected derived value</x:v>
      </x:c>
      <x:c r="CE128" s="43" t="str">
        <x:v>Variance decision – Whitlow 1978</x:v>
      </x:c>
      <x:c r="CF128" s="43" t="str">
        <x:v>Variance assumption accepted: SD=sqrt(mean), then SE=SD/sqrt(n).</x:v>
      </x:c>
    </x:row>
    <x:row r="129">
      <x:c r="A129" s="43" t="str">
        <x:v>129</x:v>
      </x:c>
      <x:c r="B129" s="43" t="str">
        <x:v>whitlow_1978_thesis</x:v>
      </x:c>
      <x:c r="C129" s="43" t="str">
        <x:v>ex021</x:v>
      </x:c>
      <x:c r="D129" s="43" t="str">
        <x:v>con018</x:v>
      </x:c>
      <x:c r="E129" s="43" t="str">
        <x:v>out060</x:v>
      </x:c>
      <x:c r="F129" s="43" t="str">
        <x:v>es128</x:v>
      </x:c>
      <x:c r="G129" s="43" t="str">
        <x:v>Yes</x:v>
      </x:c>
      <x:c r="H129" s="43" t="str">
        <x:v>They had two experimental groups, 65dB and 85dB, they did 3 trials, one per day of the OFT</x:v>
      </x:c>
      <x:c r="I129" s="43" t="str">
        <x:v>THE EFFECT OF SOUND STIMULATION DURING GESTATION  ON THE BEHAVIOR OF RAT OFFSPRING</x:v>
      </x:c>
      <x:c r="J129" s="43" t="str"/>
      <x:c r="K129" s="43" t="str">
        <x:v>Thesis</x:v>
      </x:c>
      <x:c r="L129" s="43" t="str"/>
      <x:c r="M129" s="43" t="str">
        <x:v>Rattus norvegicus</x:v>
      </x:c>
      <x:c r="N129" s="43" t="str">
        <x:v>hooded rat</x:v>
      </x:c>
      <x:c r="O129" s="43" t="str">
        <x:v>Lister rat</x:v>
      </x:c>
      <x:c r="P129" s="43" t="str"/>
      <x:c r="Q129" s="43" t="str">
        <x:v>not reported</x:v>
      </x:c>
      <x:c r="R129" s="43" t="str">
        <x:v>mid, late</x:v>
      </x:c>
      <x:c r="S129" s="43" t="str">
        <x:v>day 12-19</x:v>
      </x:c>
      <x:c r="T129" s="43" t="str">
        <x:v>8</x:v>
      </x:c>
      <x:c r="U129" s="43" t="str">
        <x:v>Intermitent</x:v>
      </x:c>
      <x:c r="V129" s="43" t="str">
        <x:v>0.005</x:v>
      </x:c>
      <x:c r="W129" s="43" t="str">
        <x:v>18 seconds per day. It was a tone</x:v>
      </x:c>
      <x:c r="X129" s="43" t="str">
        <x:v>White noise</x:v>
      </x:c>
      <x:c r="Y129" s="43" t="str">
        <x:v>Audible</x:v>
      </x:c>
      <x:c r="Z129" s="43" t="str">
        <x:v>85</x:v>
      </x:c>
      <x:c r="AA129" s="43" t="str">
        <x:v>2500</x:v>
      </x:c>
      <x:c r="AB129" s="43" t="str">
        <x:v>Unclear</x:v>
      </x:c>
      <x:c r="AC129" s="43" t="str"/>
      <x:c r="AD129" s="43" t="str">
        <x:v>undisturbed controls</x:v>
      </x:c>
      <x:c r="AE129" s="43" t="str">
        <x:v>male</x:v>
      </x:c>
      <x:c r="AF129" s="43" t="str">
        <x:v>27</x:v>
      </x:c>
      <x:c r="AG129" s="43" t="str"/>
      <x:c r="AH129" s="43" t="str">
        <x:v>Cross-Fostered</x:v>
      </x:c>
      <x:c r="AI129" s="43" t="str"/>
      <x:c r="AJ129" s="43" t="str">
        <x:v>Anxiety</x:v>
      </x:c>
      <x:c r="AK129" s="43" t="str">
        <x:v>Open Field Test (OFT)</x:v>
      </x:c>
      <x:c r="AL129" s="43" t="str">
        <x:v>Circular open-field, duration 3 minutes and repeated in 3 consecutive days</x:v>
      </x:c>
      <x:c r="AM129" s="43" t="str">
        <x:v>Defecation amount</x:v>
      </x:c>
      <x:c r="AN129" s="43" t="str">
        <x:v>Count</x:v>
      </x:c>
      <x:c r="AO129" s="43" t="str">
        <x:v>Count</x:v>
      </x:c>
      <x:c r="AP129" s="43" t="str">
        <x:v>Not reported</x:v>
      </x:c>
      <x:c r="AQ129" s="43" t="str">
        <x:v>Figure 5</x:v>
      </x:c>
      <x:c r="AR129" s="43" t="str">
        <x:v>whitlow_1978_thesis_fig5</x:v>
      </x:c>
      <x:c r="AS129" s="43" t="str">
        <x:v>C_3_de</x:v>
      </x:c>
      <x:c r="AT129" s="43" t="str">
        <x:v>HN_3_de</x:v>
      </x:c>
      <x:c r="AU129" s="43" t="str">
        <x:v>C_HN_3_de</x:v>
      </x:c>
      <x:c r="AV129" s="43" t="str">
        <x:v>Dependent</x:v>
      </x:c>
      <x:c r="AW129" s="43" t="str">
        <x:v>No</x:v>
      </x:c>
      <x:c r="AX129" s="43" t="str">
        <x:v>Positive</x:v>
      </x:c>
      <x:c r="AY129" s="43" t="str"/>
      <x:c r="AZ129" s="43" t="str">
        <x:v>2.775</x:v>
      </x:c>
      <x:c r="BA129" s="43" t="str">
        <x:v>1.6658</x:v>
      </x:c>
      <x:c r="BB129" s="43" t="str">
        <x:v>20</x:v>
      </x:c>
      <x:c r="BC129" s="43" t="str"/>
      <x:c r="BD129" s="43" t="str"/>
      <x:c r="BE129" s="43" t="str">
        <x:v>2.5731</x:v>
      </x:c>
      <x:c r="BF129" s="43" t="str">
        <x:v>1.6041</x:v>
      </x:c>
      <x:c r="BG129" s="43" t="str">
        <x:v>20</x:v>
      </x:c>
      <x:c r="BH129" s="43" t="str"/>
      <x:c r="BI129" s="43" t="str"/>
      <x:c r="BJ129" s="43" t="str">
        <x:v>Figure only showed mean, imputated sd=SQRT(mean) as are counts in a certain tine</x:v>
      </x:c>
      <x:c r="BK129"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29" s="43" t="str"/>
      <x:c r="BM129" s="43" t="str"/>
      <x:c r="BN129" s="43" t="str"/>
      <x:c r="BO129" s="43" t="str"/>
      <x:c r="BP129" s="43" t="str"/>
      <x:c r="BQ129" s="43" t="str"/>
      <x:c r="BR129" s="43" t="str">
        <x:v>yes</x:v>
      </x:c>
      <x:c r="BS129" s="43" t="str">
        <x:v>adjust comments text</x:v>
      </x:c>
      <x:c r="BT129" s="43" t="str"/>
      <x:c r="BU129" s="43" t="str"/>
      <x:c r="BV129" s="43" t="str"/>
      <x:c r="BW129" s="43" t="str">
        <x:v>0.372484</x:v>
      </x:c>
      <x:c r="BX129" s="43" t="str">
        <x:v>Accepted analysis assumption: SD = sqrt(mean); SE = SD / sqrt(n)</x:v>
      </x:c>
      <x:c r="BY129" s="43" t="str">
        <x:v>included_studies/whitlow_1978_thesis.pdf; figure error bars are not defined; assumption approved by reviewer</x:v>
      </x:c>
      <x:c r="BZ129" s="43" t="str"/>
      <x:c r="CA129" s="43" t="str">
        <x:v>0.358688</x:v>
      </x:c>
      <x:c r="CB129" s="43" t="str">
        <x:v>Accepted analysis assumption: SD = sqrt(mean); SE = SD / sqrt(n)</x:v>
      </x:c>
      <x:c r="CC129" s="43" t="str">
        <x:v>included_studies/whitlow_1978_thesis.pdf; figure error bars are not defined; assumption approved by reviewer</x:v>
      </x:c>
      <x:c r="CD129" s="43" t="str">
        <x:v>Corrected derived value</x:v>
      </x:c>
      <x:c r="CE129" s="43" t="str">
        <x:v>Variance decision – Whitlow 1978</x:v>
      </x:c>
      <x:c r="CF129" s="43" t="str">
        <x:v>Variance assumption accepted: SD=sqrt(mean), then SE=SD/sqrt(n).</x:v>
      </x:c>
    </x:row>
    <x:row r="130">
      <x:c r="A130" s="43" t="str">
        <x:v>130</x:v>
      </x:c>
      <x:c r="B130" s="43" t="str">
        <x:v>whitlow_1978_thesis</x:v>
      </x:c>
      <x:c r="C130" s="43" t="str">
        <x:v>ex022</x:v>
      </x:c>
      <x:c r="D130" s="43" t="str">
        <x:v>con018</x:v>
      </x:c>
      <x:c r="E130" s="43" t="str">
        <x:v>out060</x:v>
      </x:c>
      <x:c r="F130" s="43" t="str">
        <x:v>es129</x:v>
      </x:c>
      <x:c r="G130" s="43" t="str">
        <x:v>Yes</x:v>
      </x:c>
      <x:c r="H130" s="43" t="str">
        <x:v>They had two experimental groups, 65dB and 85dB, they did 3 trials, one per day of the OFT</x:v>
      </x:c>
      <x:c r="I130" s="43" t="str">
        <x:v>THE EFFECT OF SOUND STIMULATION DURING GESTATION  ON THE BEHAVIOR OF RAT OFFSPRING</x:v>
      </x:c>
      <x:c r="J130" s="43" t="str"/>
      <x:c r="K130" s="43" t="str">
        <x:v>Thesis</x:v>
      </x:c>
      <x:c r="L130" s="43" t="str"/>
      <x:c r="M130" s="43" t="str">
        <x:v>Rattus norvegicus</x:v>
      </x:c>
      <x:c r="N130" s="43" t="str">
        <x:v>hooded rat</x:v>
      </x:c>
      <x:c r="O130" s="43" t="str">
        <x:v>Lister rat</x:v>
      </x:c>
      <x:c r="P130" s="43" t="str"/>
      <x:c r="Q130" s="43" t="str">
        <x:v>not reported</x:v>
      </x:c>
      <x:c r="R130" s="43" t="str">
        <x:v>mid, late</x:v>
      </x:c>
      <x:c r="S130" s="43" t="str">
        <x:v>day 12-19</x:v>
      </x:c>
      <x:c r="T130" s="43" t="str">
        <x:v>8</x:v>
      </x:c>
      <x:c r="U130" s="43" t="str">
        <x:v>Intermitent</x:v>
      </x:c>
      <x:c r="V130" s="43" t="str">
        <x:v>0.005</x:v>
      </x:c>
      <x:c r="W130" s="43" t="str">
        <x:v>18 seconds per day. It was a tone</x:v>
      </x:c>
      <x:c r="X130" s="43" t="str">
        <x:v>White noise</x:v>
      </x:c>
      <x:c r="Y130" s="43" t="str">
        <x:v>Audible</x:v>
      </x:c>
      <x:c r="Z130" s="43" t="str">
        <x:v>65</x:v>
      </x:c>
      <x:c r="AA130" s="43" t="str">
        <x:v>2500</x:v>
      </x:c>
      <x:c r="AB130" s="43" t="str">
        <x:v>Unclear</x:v>
      </x:c>
      <x:c r="AC130" s="43" t="str"/>
      <x:c r="AD130" s="43" t="str">
        <x:v>undisturbed controls</x:v>
      </x:c>
      <x:c r="AE130" s="43" t="str">
        <x:v>male</x:v>
      </x:c>
      <x:c r="AF130" s="43" t="str">
        <x:v>26</x:v>
      </x:c>
      <x:c r="AG130" s="43" t="str"/>
      <x:c r="AH130" s="43" t="str">
        <x:v>Cross-Fostered</x:v>
      </x:c>
      <x:c r="AI130" s="43" t="str"/>
      <x:c r="AJ130" s="43" t="str">
        <x:v>Anxiety</x:v>
      </x:c>
      <x:c r="AK130" s="43" t="str">
        <x:v>Open Field Test (OFT)</x:v>
      </x:c>
      <x:c r="AL130" s="43" t="str">
        <x:v>Circular open-field, duration 3 minutes and repeated in 3 consecutive days</x:v>
      </x:c>
      <x:c r="AM130" s="43" t="str">
        <x:v>Defecation amount</x:v>
      </x:c>
      <x:c r="AN130" s="43" t="str">
        <x:v>Count</x:v>
      </x:c>
      <x:c r="AO130" s="43" t="str">
        <x:v>Count</x:v>
      </x:c>
      <x:c r="AP130" s="43" t="str">
        <x:v>Not reported</x:v>
      </x:c>
      <x:c r="AQ130" s="43" t="str">
        <x:v>Figure 5</x:v>
      </x:c>
      <x:c r="AR130" s="43" t="str">
        <x:v>whitlow_1978_thesis_fig5</x:v>
      </x:c>
      <x:c r="AS130" s="43" t="str">
        <x:v>C_3_de</x:v>
      </x:c>
      <x:c r="AT130" s="43" t="str">
        <x:v>HLN_3_de</x:v>
      </x:c>
      <x:c r="AU130" s="43" t="str">
        <x:v>C_HLN_3_de</x:v>
      </x:c>
      <x:c r="AV130" s="43" t="str">
        <x:v>Dependent</x:v>
      </x:c>
      <x:c r="AW130" s="43" t="str">
        <x:v>No</x:v>
      </x:c>
      <x:c r="AX130" s="43" t="str">
        <x:v>Positive</x:v>
      </x:c>
      <x:c r="AY130" s="43" t="str"/>
      <x:c r="AZ130" s="43" t="str">
        <x:v>2.775</x:v>
      </x:c>
      <x:c r="BA130" s="43" t="str">
        <x:v>1.6658</x:v>
      </x:c>
      <x:c r="BB130" s="43" t="str">
        <x:v>20</x:v>
      </x:c>
      <x:c r="BC130" s="43" t="str"/>
      <x:c r="BD130" s="43" t="str"/>
      <x:c r="BE130" s="43" t="str">
        <x:v>2.8604</x:v>
      </x:c>
      <x:c r="BF130" s="43" t="str">
        <x:v>1.6913</x:v>
      </x:c>
      <x:c r="BG130" s="43" t="str">
        <x:v>20</x:v>
      </x:c>
      <x:c r="BH130" s="43" t="str"/>
      <x:c r="BI130" s="43" t="str"/>
      <x:c r="BJ130" s="43" t="str">
        <x:v>Figure only showed mean, imputated sd=SQRT(mean) as are counts in a certain tine</x:v>
      </x:c>
      <x:c r="BK130" s="43" t="str">
        <x:v>The author stated "hooded rat," we assumed "lister rat". "Foster mothers with no noise exposure. We also used the HNoN control, which were manipulated the same way as the noise treatment, but no noise...". In the pilot they used a "2 . 5 KHz tone of 3 second duration at  an intensity of 85 dB (re 20 4 N/m~)." so we assumed they used the same for the actual experiment</x:v>
      </x:c>
      <x:c r="BL130" s="43" t="str"/>
      <x:c r="BM130" s="43" t="str"/>
      <x:c r="BN130" s="43" t="str"/>
      <x:c r="BO130" s="43" t="str"/>
      <x:c r="BP130" s="43" t="str"/>
      <x:c r="BQ130" s="43" t="str"/>
      <x:c r="BR130" s="43" t="str">
        <x:v>yes</x:v>
      </x:c>
      <x:c r="BS130" s="43" t="str">
        <x:v>adjust comments text</x:v>
      </x:c>
      <x:c r="BT130" s="43" t="str"/>
      <x:c r="BU130" s="43" t="str"/>
      <x:c r="BV130" s="43" t="str"/>
      <x:c r="BW130" s="43" t="str">
        <x:v>0.372484</x:v>
      </x:c>
      <x:c r="BX130" s="43" t="str">
        <x:v>Accepted analysis assumption: SD = sqrt(mean); SE = SD / sqrt(n)</x:v>
      </x:c>
      <x:c r="BY130" s="43" t="str">
        <x:v>included_studies/whitlow_1978_thesis.pdf; figure error bars are not defined; assumption approved by reviewer</x:v>
      </x:c>
      <x:c r="BZ130" s="43" t="str"/>
      <x:c r="CA130" s="43" t="str">
        <x:v>0.378186</x:v>
      </x:c>
      <x:c r="CB130" s="43" t="str">
        <x:v>Accepted analysis assumption: SD = sqrt(mean); SE = SD / sqrt(n)</x:v>
      </x:c>
      <x:c r="CC130" s="43" t="str">
        <x:v>included_studies/whitlow_1978_thesis.pdf; figure error bars are not defined; assumption approved by reviewer</x:v>
      </x:c>
      <x:c r="CD130" s="43" t="str">
        <x:v>Corrected derived value</x:v>
      </x:c>
      <x:c r="CE130" s="43" t="str">
        <x:v>Variance decision – Whitlow 1978</x:v>
      </x:c>
      <x:c r="CF130" s="43" t="str">
        <x:v>Variance assumption accepted: SD=sqrt(mean), then SE=SD/sqrt(n).</x:v>
      </x:c>
    </x:row>
    <x:row r="131">
      <x:c r="A131" s="43" t="str">
        <x:v>131</x:v>
      </x:c>
      <x:c r="B131" s="43" t="str">
        <x:v>abramova_2020_genpath</x:v>
      </x:c>
      <x:c r="C131" s="43" t="str">
        <x:v>ex023</x:v>
      </x:c>
      <x:c r="D131" s="43" t="str">
        <x:v>con019</x:v>
      </x:c>
      <x:c r="E131" s="43" t="str">
        <x:v>out061</x:v>
      </x:c>
      <x:c r="F131" s="43" t="str">
        <x:v>es130</x:v>
      </x:c>
      <x:c r="G131" s="43" t="str">
        <x:v>No</x:v>
      </x:c>
      <x:c r="H131" s="43" t="str">
        <x:v>They had one level of exposure, and two experimental groups, female and males, and one control per group</x:v>
      </x:c>
      <x:c r="I131" s="43" t="str">
        <x:v>Social and Cognitive Impairments in Rat Offspring after Ultrasound-Induced Prenatal Stress</x:v>
      </x:c>
      <x:c r="J131" s="43" t="str">
        <x:v>10.1007/s10517-020-04790-0</x:v>
      </x:c>
      <x:c r="K131" s="43" t="str">
        <x:v>General Pathology and Pathophysiology</x:v>
      </x:c>
      <x:c r="L131" s="43" t="str">
        <x:v>Only one assay </x:v>
      </x:c>
      <x:c r="M131" s="43" t="str">
        <x:v>Rattus norvegicus</x:v>
      </x:c>
      <x:c r="N131" s="43" t="str">
        <x:v>albino lab rat</x:v>
      </x:c>
      <x:c r="O131" s="43" t="str">
        <x:v>Sprague-Dawley</x:v>
      </x:c>
      <x:c r="P131" s="43" t="str"/>
      <x:c r="Q131" s="43" t="str">
        <x:v>not reported</x:v>
      </x:c>
      <x:c r="R131" s="43" t="str">
        <x:v>early, mid, late</x:v>
      </x:c>
      <x:c r="S131" s="43" t="str">
        <x:v>all gestation</x:v>
      </x:c>
      <x:c r="T131" s="43" t="str">
        <x:v>21</x:v>
      </x:c>
      <x:c r="U131" s="43" t="str">
        <x:v>Continuous</x:v>
      </x:c>
      <x:c r="V131" s="43" t="str">
        <x:v>24.0</x:v>
      </x:c>
      <x:c r="W131" s="43" t="str">
        <x:v>Expossed to continuous variable frequencies </x:v>
      </x:c>
      <x:c r="X131" s="43" t="str">
        <x:v>Ultrasound</x:v>
      </x:c>
      <x:c r="Y131" s="43" t="str">
        <x:v>Ultrasound</x:v>
      </x:c>
      <x:c r="Z131" s="43" t="str">
        <x:v>50</x:v>
      </x:c>
      <x:c r="AA131" s="43" t="str">
        <x:v>20,000-45,000</x:v>
      </x:c>
      <x:c r="AB131" s="43" t="str">
        <x:v>Ambient sound</x:v>
      </x:c>
      <x:c r="AC131" s="43" t="str"/>
      <x:c r="AD131" s="43" t="str">
        <x:v>"under normal conditions without ultrasound"</x:v>
      </x:c>
      <x:c r="AE131" s="43" t="str">
        <x:v>male</x:v>
      </x:c>
      <x:c r="AF131" s="43" t="str">
        <x:v>90</x:v>
      </x:c>
      <x:c r="AG131" s="43" t="str">
        <x:v>3 months</x:v>
      </x:c>
      <x:c r="AH131" s="43" t="str">
        <x:v>none</x:v>
      </x:c>
      <x:c r="AI131" s="43" t="str">
        <x:v>The loudness was inferred using </x:v>
      </x:c>
      <x:c r="AJ131" s="43" t="str">
        <x:v>Anxiety</x:v>
      </x:c>
      <x:c r="AK131" s="43" t="str">
        <x:v>Open Field Test (OFT)</x:v>
      </x:c>
      <x:c r="AL131" s="43" t="str"/>
      <x:c r="AM131" s="43" t="str">
        <x:v>Sections crossed</x:v>
      </x:c>
      <x:c r="AN131" s="43" t="str">
        <x:v>Count</x:v>
      </x:c>
      <x:c r="AO131" s="43" t="str">
        <x:v>Count</x:v>
      </x:c>
      <x:c r="AP131" s="43" t="str">
        <x:v>Light phase</x:v>
      </x:c>
      <x:c r="AQ131" s="43" t="str">
        <x:v>raw data</x:v>
      </x:c>
      <x:c r="AR131" s="43" t="str">
        <x:v>abramova_2020_genpath</x:v>
      </x:c>
      <x:c r="AS131" s="43" t="str">
        <x:v>KO-m-sq</x:v>
      </x:c>
      <x:c r="AT131" s="43" t="str">
        <x:v>US-m-g1-sq</x:v>
      </x:c>
      <x:c r="AU131" s="43" t="str">
        <x:v>KO_US_m_sq</x:v>
      </x:c>
      <x:c r="AV131" s="43" t="str">
        <x:v>Independent</x:v>
      </x:c>
      <x:c r="AW131" s="43" t="str">
        <x:v>Yes</x:v>
      </x:c>
      <x:c r="AX131" s="43" t="str">
        <x:v>Negative</x:v>
      </x:c>
      <x:c r="AY131" s="43" t="str"/>
      <x:c r="AZ131" s="43" t="str">
        <x:v>51.375</x:v>
      </x:c>
      <x:c r="BA131" s="43" t="str">
        <x:v>16.8263</x:v>
      </x:c>
      <x:c r="BB131" s="43" t="str">
        <x:v>8</x:v>
      </x:c>
      <x:c r="BC131" s="43" t="str">
        <x:v>18.1638</x:v>
      </x:c>
      <x:c r="BD131" s="43" t="str"/>
      <x:c r="BE131" s="43" t="str">
        <x:v>56.2632</x:v>
      </x:c>
      <x:c r="BF131" s="43" t="str">
        <x:v>26.4614</x:v>
      </x:c>
      <x:c r="BG131" s="43" t="str">
        <x:v>19</x:v>
      </x:c>
      <x:c r="BH131" s="43" t="str">
        <x:v>6.0707</x:v>
      </x:c>
      <x:c r="BI131" s="43" t="str"/>
      <x:c r="BJ131" s="43" t="str">
        <x:v>Extracted all from raw data</x:v>
      </x:c>
      <x:c r="BK131" s="43" t="str">
        <x:v>Data  provided by Abramova on request</x:v>
      </x:c>
      <x:c r="BL131" s="43" t="str"/>
      <x:c r="BM131" s="43" t="str"/>
      <x:c r="BN131" s="43" t="str"/>
      <x:c r="BO131" s="43" t="str"/>
      <x:c r="BP131" s="43" t="str"/>
      <x:c r="BQ131" s="43" t="str"/>
      <x:c r="BR131" s="43" t="str">
        <x:v>yes</x:v>
      </x:c>
      <x:c r="BS131" s="43" t="str">
        <x:v>adjust comments text</x:v>
      </x:c>
      <x:c r="BT131" s="43" t="str"/>
      <x:c r="BU131" s="43" t="str"/>
      <x:c r="BV131" s="43" t="str"/>
      <x:c r="BW131" s="43" t="str">
        <x:v>5.948995</x:v>
      </x:c>
      <x:c r="BX131" s="43" t="str">
        <x:v>SD / sqrt(n), using descriptive statistics calculated from author raw data</x:v>
      </x:c>
      <x:c r="BY131" s="43" t="str">
        <x:v>included_studies/abramova_2020_genpath/abramova2020_descriptives.xlsx, tidy_all</x:v>
      </x:c>
      <x:c r="BZ131" s="43" t="str"/>
      <x:c r="CA131" s="43" t="str">
        <x:v>6.070662</x:v>
      </x:c>
      <x:c r="CB131" s="43" t="str">
        <x:v>SD / sqrt(n), using descriptive statistics calculated from author raw data</x:v>
      </x:c>
      <x:c r="CC131" s="43" t="str">
        <x:v>included_studies/abramova_2020_genpath/abramova2020_descriptives.xlsx, tidy_all</x:v>
      </x:c>
      <x:c r="CD131" s="43" t="str">
        <x:v>Corrected derived value</x:v>
      </x:c>
      <x:c r="CE131" s="43" t="str">
        <x:v>5 – Abramova 2020 derived SEs</x:v>
      </x:c>
      <x:c r="CF131" s="43" t="str">
        <x:v>The analysis SE is recalculated as SD/sqrt(n); no author-reported statistic is overwritten.</x:v>
      </x:c>
    </x:row>
    <x:row r="132">
      <x:c r="A132" s="43" t="str">
        <x:v>132</x:v>
      </x:c>
      <x:c r="B132" s="43" t="str">
        <x:v>abramova_2020_genpath</x:v>
      </x:c>
      <x:c r="C132" s="43" t="str">
        <x:v>ex024</x:v>
      </x:c>
      <x:c r="D132" s="43" t="str">
        <x:v>con020</x:v>
      </x:c>
      <x:c r="E132" s="43" t="str">
        <x:v>out061</x:v>
      </x:c>
      <x:c r="F132" s="43" t="str">
        <x:v>es131</x:v>
      </x:c>
      <x:c r="G132" s="43" t="str">
        <x:v>No</x:v>
      </x:c>
      <x:c r="H132" s="43" t="str">
        <x:v>They had one level of exposure, and two experimental groups, female and males, and one control per group</x:v>
      </x:c>
      <x:c r="I132" s="43" t="str">
        <x:v>Social and Cognitive Impairments in Rat Offspring after Ultrasound-Induced Prenatal Stress</x:v>
      </x:c>
      <x:c r="J132" s="43" t="str">
        <x:v>10.1007/s10517-020-04790-0</x:v>
      </x:c>
      <x:c r="K132" s="43" t="str">
        <x:v>General Pathology and Pathophysiology</x:v>
      </x:c>
      <x:c r="L132" s="43" t="str">
        <x:v>Only one assay </x:v>
      </x:c>
      <x:c r="M132" s="43" t="str">
        <x:v>Rattus norvegicus</x:v>
      </x:c>
      <x:c r="N132" s="43" t="str">
        <x:v>albino lab rat</x:v>
      </x:c>
      <x:c r="O132" s="43" t="str">
        <x:v>Sprague-Dawley</x:v>
      </x:c>
      <x:c r="P132" s="43" t="str"/>
      <x:c r="Q132" s="43" t="str">
        <x:v>not reported</x:v>
      </x:c>
      <x:c r="R132" s="43" t="str">
        <x:v>early, mid, late</x:v>
      </x:c>
      <x:c r="S132" s="43" t="str">
        <x:v>all gestation</x:v>
      </x:c>
      <x:c r="T132" s="43" t="str">
        <x:v>21</x:v>
      </x:c>
      <x:c r="U132" s="43" t="str">
        <x:v>Continuous</x:v>
      </x:c>
      <x:c r="V132" s="43" t="str">
        <x:v>24.0</x:v>
      </x:c>
      <x:c r="W132" s="43" t="str">
        <x:v>Expossed to continuous variable frequencies </x:v>
      </x:c>
      <x:c r="X132" s="43" t="str">
        <x:v>Ultrasound</x:v>
      </x:c>
      <x:c r="Y132" s="43" t="str">
        <x:v>Ultrasound</x:v>
      </x:c>
      <x:c r="Z132" s="43" t="str">
        <x:v>50</x:v>
      </x:c>
      <x:c r="AA132" s="43" t="str">
        <x:v>20,000-45,000</x:v>
      </x:c>
      <x:c r="AB132" s="43" t="str">
        <x:v>Ambient sound</x:v>
      </x:c>
      <x:c r="AC132" s="43" t="str"/>
      <x:c r="AD132" s="43" t="str">
        <x:v>"under normal conditions without ultrasound"</x:v>
      </x:c>
      <x:c r="AE132" s="43" t="str">
        <x:v>female</x:v>
      </x:c>
      <x:c r="AF132" s="43" t="str">
        <x:v>90</x:v>
      </x:c>
      <x:c r="AG132" s="43" t="str">
        <x:v>3 months</x:v>
      </x:c>
      <x:c r="AH132" s="43" t="str">
        <x:v>none</x:v>
      </x:c>
      <x:c r="AI132" s="43" t="str"/>
      <x:c r="AJ132" s="43" t="str">
        <x:v>Anxiety</x:v>
      </x:c>
      <x:c r="AK132" s="43" t="str">
        <x:v>Open Field Test (OFT)</x:v>
      </x:c>
      <x:c r="AL132" s="43" t="str">
        <x:v>squares crossed</x:v>
      </x:c>
      <x:c r="AM132" s="43" t="str">
        <x:v>Sections crossed</x:v>
      </x:c>
      <x:c r="AN132" s="43" t="str">
        <x:v>Count</x:v>
      </x:c>
      <x:c r="AO132" s="43" t="str">
        <x:v>Count</x:v>
      </x:c>
      <x:c r="AP132" s="43" t="str">
        <x:v>Light phase</x:v>
      </x:c>
      <x:c r="AQ132" s="43" t="str">
        <x:v>raw data</x:v>
      </x:c>
      <x:c r="AR132" s="43" t="str">
        <x:v>abramova_2020_genpath</x:v>
      </x:c>
      <x:c r="AS132" s="43" t="str">
        <x:v>CO-f-sq</x:v>
      </x:c>
      <x:c r="AT132" s="43" t="str">
        <x:v>US-f-g1-sq</x:v>
      </x:c>
      <x:c r="AU132" s="43" t="str">
        <x:v>CO_US_f_sq</x:v>
      </x:c>
      <x:c r="AV132" s="43" t="str">
        <x:v>Independent</x:v>
      </x:c>
      <x:c r="AW132" s="43" t="str">
        <x:v>Yes</x:v>
      </x:c>
      <x:c r="AX132" s="43" t="str">
        <x:v>Negative</x:v>
      </x:c>
      <x:c r="AY132" s="43" t="str"/>
      <x:c r="AZ132" s="43" t="str">
        <x:v>65.5</x:v>
      </x:c>
      <x:c r="BA132" s="43" t="str">
        <x:v>17.0042</x:v>
      </x:c>
      <x:c r="BB132" s="43" t="str">
        <x:v>8</x:v>
      </x:c>
      <x:c r="BC132" s="43" t="str">
        <x:v>23.1577</x:v>
      </x:c>
      <x:c r="BD132" s="43" t="str"/>
      <x:c r="BE132" s="43" t="str">
        <x:v>59.625</x:v>
      </x:c>
      <x:c r="BF132" s="43" t="str">
        <x:v>19.4418</x:v>
      </x:c>
      <x:c r="BG132" s="43" t="str">
        <x:v>16</x:v>
      </x:c>
      <x:c r="BH132" s="43" t="str">
        <x:v>14.9063</x:v>
      </x:c>
      <x:c r="BI132" s="43" t="str"/>
      <x:c r="BJ132" s="43" t="str">
        <x:v>Extracted all from raw data</x:v>
      </x:c>
      <x:c r="BK132" s="43" t="str">
        <x:v>Data  provided by Abramova on request</x:v>
      </x:c>
      <x:c r="BL132" s="43" t="str"/>
      <x:c r="BM132" s="43" t="str"/>
      <x:c r="BN132" s="43" t="str"/>
      <x:c r="BO132" s="43" t="str"/>
      <x:c r="BP132" s="43" t="str"/>
      <x:c r="BQ132" s="43" t="str"/>
      <x:c r="BR132" s="43" t="str">
        <x:v>yes</x:v>
      </x:c>
      <x:c r="BS132" s="43" t="str">
        <x:v>adjust comments text</x:v>
      </x:c>
      <x:c r="BT132" s="43" t="str"/>
      <x:c r="BU132" s="43" t="str"/>
      <x:c r="BV132" s="43" t="str"/>
      <x:c r="BW132" s="43" t="str">
        <x:v>6.011893</x:v>
      </x:c>
      <x:c r="BX132" s="43" t="str">
        <x:v>SD / sqrt(n), using descriptive statistics calculated from author raw data</x:v>
      </x:c>
      <x:c r="BY132" s="43" t="str">
        <x:v>included_studies/abramova_2020_genpath/abramova2020_descriptives.xlsx, tidy_all</x:v>
      </x:c>
      <x:c r="BZ132" s="43" t="str"/>
      <x:c r="CA132" s="43" t="str">
        <x:v>4.86045</x:v>
      </x:c>
      <x:c r="CB132" s="43" t="str">
        <x:v>SD / sqrt(n), using descriptive statistics calculated from author raw data</x:v>
      </x:c>
      <x:c r="CC132" s="43" t="str">
        <x:v>included_studies/abramova_2020_genpath/abramova2020_descriptives.xlsx, tidy_all</x:v>
      </x:c>
      <x:c r="CD132" s="43" t="str">
        <x:v>Corrected derived value</x:v>
      </x:c>
      <x:c r="CE132" s="43" t="str">
        <x:v>5 – Abramova 2020 derived SEs</x:v>
      </x:c>
      <x:c r="CF132" s="43" t="str">
        <x:v>The analysis SE is recalculated as SD/sqrt(n); no author-reported statistic is overwritten.</x:v>
      </x:c>
    </x:row>
    <x:row r="133">
      <x:c r="A133" s="43" t="str">
        <x:v>133</x:v>
      </x:c>
      <x:c r="B133" s="43" t="str">
        <x:v>abramova_2020_genpath</x:v>
      </x:c>
      <x:c r="C133" s="43" t="str">
        <x:v>ex023</x:v>
      </x:c>
      <x:c r="D133" s="43" t="str">
        <x:v>con019</x:v>
      </x:c>
      <x:c r="E133" s="43" t="str">
        <x:v>out062</x:v>
      </x:c>
      <x:c r="F133" s="43" t="str">
        <x:v>es132</x:v>
      </x:c>
      <x:c r="G133" s="43" t="str">
        <x:v>No</x:v>
      </x:c>
      <x:c r="H133" s="43" t="str">
        <x:v>They had one level of exposure, and two experimental groups, female and males, and one control per group</x:v>
      </x:c>
      <x:c r="I133" s="43" t="str">
        <x:v>Social and Cognitive Impairments in Rat Offspring after Ultrasound-Induced Prenatal Stress</x:v>
      </x:c>
      <x:c r="J133" s="43" t="str">
        <x:v>10.1007/s10517-020-04790-0</x:v>
      </x:c>
      <x:c r="K133" s="43" t="str">
        <x:v>General Pathology and Pathophysiology</x:v>
      </x:c>
      <x:c r="L133" s="43" t="str">
        <x:v>Only one assay </x:v>
      </x:c>
      <x:c r="M133" s="43" t="str">
        <x:v>Rattus norvegicus</x:v>
      </x:c>
      <x:c r="N133" s="43" t="str">
        <x:v>albino lab rat</x:v>
      </x:c>
      <x:c r="O133" s="43" t="str">
        <x:v>Sprague-Dawley</x:v>
      </x:c>
      <x:c r="P133" s="43" t="str"/>
      <x:c r="Q133" s="43" t="str">
        <x:v>not reported</x:v>
      </x:c>
      <x:c r="R133" s="43" t="str">
        <x:v>early, mid, late</x:v>
      </x:c>
      <x:c r="S133" s="43" t="str">
        <x:v>all gestation</x:v>
      </x:c>
      <x:c r="T133" s="43" t="str">
        <x:v>21</x:v>
      </x:c>
      <x:c r="U133" s="43" t="str">
        <x:v>Continuous</x:v>
      </x:c>
      <x:c r="V133" s="43" t="str">
        <x:v>24.0</x:v>
      </x:c>
      <x:c r="W133" s="43" t="str">
        <x:v>Expossed to continuous variable frequencies </x:v>
      </x:c>
      <x:c r="X133" s="43" t="str">
        <x:v>Ultrasound</x:v>
      </x:c>
      <x:c r="Y133" s="43" t="str">
        <x:v>Ultrasound</x:v>
      </x:c>
      <x:c r="Z133" s="43" t="str">
        <x:v>50</x:v>
      </x:c>
      <x:c r="AA133" s="43" t="str">
        <x:v>20,000-45,000</x:v>
      </x:c>
      <x:c r="AB133" s="43" t="str">
        <x:v>Ambient sound</x:v>
      </x:c>
      <x:c r="AC133" s="43" t="str"/>
      <x:c r="AD133" s="43" t="str">
        <x:v>"under normal conditions without ultrasound"</x:v>
      </x:c>
      <x:c r="AE133" s="43" t="str">
        <x:v>male</x:v>
      </x:c>
      <x:c r="AF133" s="43" t="str">
        <x:v>90</x:v>
      </x:c>
      <x:c r="AG133" s="43" t="str">
        <x:v>3 months</x:v>
      </x:c>
      <x:c r="AH133" s="43" t="str">
        <x:v>none</x:v>
      </x:c>
      <x:c r="AI133" s="43" t="str"/>
      <x:c r="AJ133" s="43" t="str">
        <x:v>Anxiety</x:v>
      </x:c>
      <x:c r="AK133" s="43" t="str">
        <x:v>Open Field Test (OFT)</x:v>
      </x:c>
      <x:c r="AL133" s="43" t="str"/>
      <x:c r="AM133" s="43" t="str">
        <x:v>Rearing frequency</x:v>
      </x:c>
      <x:c r="AN133" s="43" t="str">
        <x:v>Count</x:v>
      </x:c>
      <x:c r="AO133" s="43" t="str">
        <x:v>Count</x:v>
      </x:c>
      <x:c r="AP133" s="43" t="str">
        <x:v>Light phase</x:v>
      </x:c>
      <x:c r="AQ133" s="43" t="str">
        <x:v>raw data</x:v>
      </x:c>
      <x:c r="AR133" s="43" t="str">
        <x:v>abramova_2020_genpath</x:v>
      </x:c>
      <x:c r="AS133" s="43" t="str">
        <x:v>KO-m-rea</x:v>
      </x:c>
      <x:c r="AT133" s="43" t="str">
        <x:v>US-m-g1-rea</x:v>
      </x:c>
      <x:c r="AU133" s="43" t="str">
        <x:v>KO_US_m_rea</x:v>
      </x:c>
      <x:c r="AV133" s="43" t="str">
        <x:v>Independent</x:v>
      </x:c>
      <x:c r="AW133" s="43" t="str">
        <x:v>Yes</x:v>
      </x:c>
      <x:c r="AX133" s="43" t="str">
        <x:v>Negative</x:v>
      </x:c>
      <x:c r="AY133" s="43" t="str"/>
      <x:c r="AZ133" s="43" t="str">
        <x:v>23.625</x:v>
      </x:c>
      <x:c r="BA133" s="43" t="str">
        <x:v>6.7387</x:v>
      </x:c>
      <x:c r="BB133" s="43" t="str">
        <x:v>8</x:v>
      </x:c>
      <x:c r="BC133" s="43" t="str">
        <x:v>8.3527</x:v>
      </x:c>
      <x:c r="BD133" s="43" t="str"/>
      <x:c r="BE133" s="43" t="str">
        <x:v>23.5789</x:v>
      </x:c>
      <x:c r="BF133" s="43" t="str">
        <x:v>11.057</x:v>
      </x:c>
      <x:c r="BG133" s="43" t="str">
        <x:v>19</x:v>
      </x:c>
      <x:c r="BH133" s="43" t="str">
        <x:v>2.5367</x:v>
      </x:c>
      <x:c r="BI133" s="43" t="str"/>
      <x:c r="BJ133" s="43" t="str">
        <x:v>Extracted all from raw data</x:v>
      </x:c>
      <x:c r="BK133" s="43" t="str">
        <x:v>Data  provided by Abramova on request</x:v>
      </x:c>
      <x:c r="BL133" s="43" t="str"/>
      <x:c r="BM133" s="43" t="str"/>
      <x:c r="BN133" s="43" t="str"/>
      <x:c r="BO133" s="43" t="str"/>
      <x:c r="BP133" s="43" t="str"/>
      <x:c r="BQ133" s="43" t="str"/>
      <x:c r="BR133" s="43" t="str">
        <x:v>yes</x:v>
      </x:c>
      <x:c r="BS133" s="43" t="str">
        <x:v>adjust comments text</x:v>
      </x:c>
      <x:c r="BT133" s="43" t="str"/>
      <x:c r="BU133" s="43" t="str"/>
      <x:c r="BV133" s="43" t="str"/>
      <x:c r="BW133" s="43" t="str">
        <x:v>2.38249</x:v>
      </x:c>
      <x:c r="BX133" s="43" t="str">
        <x:v>SD / sqrt(n), using descriptive statistics calculated from author raw data</x:v>
      </x:c>
      <x:c r="BY133" s="43" t="str">
        <x:v>included_studies/abramova_2020_genpath/abramova2020_descriptives.xlsx, tidy_all</x:v>
      </x:c>
      <x:c r="BZ133" s="43" t="str"/>
      <x:c r="CA133" s="43" t="str">
        <x:v>2.53665</x:v>
      </x:c>
      <x:c r="CB133" s="43" t="str">
        <x:v>SD / sqrt(n), using descriptive statistics calculated from author raw data</x:v>
      </x:c>
      <x:c r="CC133" s="43" t="str">
        <x:v>included_studies/abramova_2020_genpath/abramova2020_descriptives.xlsx, tidy_all</x:v>
      </x:c>
      <x:c r="CD133" s="43" t="str">
        <x:v>Corrected derived value</x:v>
      </x:c>
      <x:c r="CE133" s="43" t="str">
        <x:v>5 – Abramova 2020 derived SEs</x:v>
      </x:c>
      <x:c r="CF133" s="43" t="str">
        <x:v>The analysis SE is recalculated as SD/sqrt(n); no author-reported statistic is overwritten.</x:v>
      </x:c>
    </x:row>
    <x:row r="134">
      <x:c r="A134" s="43" t="str">
        <x:v>134</x:v>
      </x:c>
      <x:c r="B134" s="43" t="str">
        <x:v>abramova_2020_genpath</x:v>
      </x:c>
      <x:c r="C134" s="43" t="str">
        <x:v>ex024</x:v>
      </x:c>
      <x:c r="D134" s="43" t="str">
        <x:v>con020</x:v>
      </x:c>
      <x:c r="E134" s="43" t="str">
        <x:v>out062</x:v>
      </x:c>
      <x:c r="F134" s="43" t="str">
        <x:v>es133</x:v>
      </x:c>
      <x:c r="G134" s="43" t="str">
        <x:v>No</x:v>
      </x:c>
      <x:c r="H134" s="43" t="str">
        <x:v>They had one level of exposure, and two experimental groups, female and males, and one control per group</x:v>
      </x:c>
      <x:c r="I134" s="43" t="str">
        <x:v>Social and Cognitive Impairments in Rat Offspring after Ultrasound-Induced Prenatal Stress</x:v>
      </x:c>
      <x:c r="J134" s="43" t="str">
        <x:v>10.1007/s10517-020-04790-0</x:v>
      </x:c>
      <x:c r="K134" s="43" t="str">
        <x:v>General Pathology and Pathophysiology</x:v>
      </x:c>
      <x:c r="L134" s="43" t="str">
        <x:v>Only one assay </x:v>
      </x:c>
      <x:c r="M134" s="43" t="str">
        <x:v>Rattus norvegicus</x:v>
      </x:c>
      <x:c r="N134" s="43" t="str">
        <x:v>albino lab rat</x:v>
      </x:c>
      <x:c r="O134" s="43" t="str">
        <x:v>Sprague-Dawley</x:v>
      </x:c>
      <x:c r="P134" s="43" t="str"/>
      <x:c r="Q134" s="43" t="str">
        <x:v>not reported</x:v>
      </x:c>
      <x:c r="R134" s="43" t="str">
        <x:v>early, mid, late</x:v>
      </x:c>
      <x:c r="S134" s="43" t="str">
        <x:v>all gestation</x:v>
      </x:c>
      <x:c r="T134" s="43" t="str">
        <x:v>21</x:v>
      </x:c>
      <x:c r="U134" s="43" t="str">
        <x:v>Continuous</x:v>
      </x:c>
      <x:c r="V134" s="43" t="str">
        <x:v>24.0</x:v>
      </x:c>
      <x:c r="W134" s="43" t="str">
        <x:v>Expossed to continuous variable frequencies </x:v>
      </x:c>
      <x:c r="X134" s="43" t="str">
        <x:v>Ultrasound</x:v>
      </x:c>
      <x:c r="Y134" s="43" t="str">
        <x:v>Ultrasound</x:v>
      </x:c>
      <x:c r="Z134" s="43" t="str">
        <x:v>50</x:v>
      </x:c>
      <x:c r="AA134" s="43" t="str">
        <x:v>20,000-45,000</x:v>
      </x:c>
      <x:c r="AB134" s="43" t="str">
        <x:v>Ambient sound</x:v>
      </x:c>
      <x:c r="AC134" s="43" t="str"/>
      <x:c r="AD134" s="43" t="str">
        <x:v>"under normal conditions without ultrasound"</x:v>
      </x:c>
      <x:c r="AE134" s="43" t="str">
        <x:v>female</x:v>
      </x:c>
      <x:c r="AF134" s="43" t="str">
        <x:v>90</x:v>
      </x:c>
      <x:c r="AG134" s="43" t="str">
        <x:v>3 months</x:v>
      </x:c>
      <x:c r="AH134" s="43" t="str">
        <x:v>none</x:v>
      </x:c>
      <x:c r="AI134" s="43" t="str"/>
      <x:c r="AJ134" s="43" t="str">
        <x:v>Anxiety</x:v>
      </x:c>
      <x:c r="AK134" s="43" t="str">
        <x:v>Open Field Test (OFT)</x:v>
      </x:c>
      <x:c r="AL134" s="43" t="str"/>
      <x:c r="AM134" s="43" t="str">
        <x:v>Rearing frequency</x:v>
      </x:c>
      <x:c r="AN134" s="43" t="str">
        <x:v>Count</x:v>
      </x:c>
      <x:c r="AO134" s="43" t="str">
        <x:v>Count</x:v>
      </x:c>
      <x:c r="AP134" s="43" t="str">
        <x:v>Light phase</x:v>
      </x:c>
      <x:c r="AQ134" s="43" t="str">
        <x:v>raw data</x:v>
      </x:c>
      <x:c r="AR134" s="43" t="str">
        <x:v>abramova_2020_genpath</x:v>
      </x:c>
      <x:c r="AS134" s="43" t="str">
        <x:v>CO-f-rea</x:v>
      </x:c>
      <x:c r="AT134" s="43" t="str">
        <x:v>US-f-g1-rea</x:v>
      </x:c>
      <x:c r="AU134" s="43" t="str">
        <x:v>CO_US_f_rea</x:v>
      </x:c>
      <x:c r="AV134" s="43" t="str">
        <x:v>Independent</x:v>
      </x:c>
      <x:c r="AW134" s="43" t="str">
        <x:v>Yes</x:v>
      </x:c>
      <x:c r="AX134" s="43" t="str">
        <x:v>Negative</x:v>
      </x:c>
      <x:c r="AY134" s="43" t="str"/>
      <x:c r="AZ134" s="43" t="str">
        <x:v>28.125</x:v>
      </x:c>
      <x:c r="BA134" s="43" t="str">
        <x:v>6.4683</x:v>
      </x:c>
      <x:c r="BB134" s="43" t="str">
        <x:v>8</x:v>
      </x:c>
      <x:c r="BC134" s="43" t="str">
        <x:v>9.9437</x:v>
      </x:c>
      <x:c r="BD134" s="43" t="str"/>
      <x:c r="BE134" s="43" t="str">
        <x:v>28.1875</x:v>
      </x:c>
      <x:c r="BF134" s="43" t="str">
        <x:v>8.9086</x:v>
      </x:c>
      <x:c r="BG134" s="43" t="str">
        <x:v>16</x:v>
      </x:c>
      <x:c r="BH134" s="43" t="str">
        <x:v>7.0469</x:v>
      </x:c>
      <x:c r="BI134" s="43" t="str"/>
      <x:c r="BJ134" s="43" t="str">
        <x:v>Extracted all from raw data</x:v>
      </x:c>
      <x:c r="BK134" s="43" t="str">
        <x:v>Data  provided by Abramova on request</x:v>
      </x:c>
      <x:c r="BL134" s="43" t="str"/>
      <x:c r="BM134" s="43" t="str"/>
      <x:c r="BN134" s="43" t="str"/>
      <x:c r="BO134" s="43" t="str"/>
      <x:c r="BP134" s="43" t="str"/>
      <x:c r="BQ134" s="43" t="str"/>
      <x:c r="BR134" s="43" t="str">
        <x:v>yes</x:v>
      </x:c>
      <x:c r="BS134" s="43" t="str">
        <x:v>adjust comments text</x:v>
      </x:c>
      <x:c r="BT134" s="43" t="str"/>
      <x:c r="BU134" s="43" t="str"/>
      <x:c r="BV134" s="43" t="str"/>
      <x:c r="BW134" s="43" t="str">
        <x:v>2.286889</x:v>
      </x:c>
      <x:c r="BX134" s="43" t="str">
        <x:v>SD / sqrt(n), using descriptive statistics calculated from author raw data</x:v>
      </x:c>
      <x:c r="BY134" s="43" t="str">
        <x:v>included_studies/abramova_2020_genpath/abramova2020_descriptives.xlsx, tidy_all</x:v>
      </x:c>
      <x:c r="BZ134" s="43" t="str"/>
      <x:c r="CA134" s="43" t="str">
        <x:v>2.22715</x:v>
      </x:c>
      <x:c r="CB134" s="43" t="str">
        <x:v>SD / sqrt(n), using descriptive statistics calculated from author raw data</x:v>
      </x:c>
      <x:c r="CC134" s="43" t="str">
        <x:v>included_studies/abramova_2020_genpath/abramova2020_descriptives.xlsx, tidy_all</x:v>
      </x:c>
      <x:c r="CD134" s="43" t="str">
        <x:v>Corrected derived value</x:v>
      </x:c>
      <x:c r="CE134" s="43" t="str">
        <x:v>5 – Abramova 2020 derived SEs</x:v>
      </x:c>
      <x:c r="CF134" s="43" t="str">
        <x:v>The analysis SE is recalculated as SD/sqrt(n); no author-reported statistic is overwritten.</x:v>
      </x:c>
    </x:row>
    <x:row r="135">
      <x:c r="A135" s="43" t="str">
        <x:v>135</x:v>
      </x:c>
      <x:c r="B135" s="43" t="str">
        <x:v>abramova_2020_genpath</x:v>
      </x:c>
      <x:c r="C135" s="43" t="str">
        <x:v>ex023</x:v>
      </x:c>
      <x:c r="D135" s="43" t="str">
        <x:v>con019</x:v>
      </x:c>
      <x:c r="E135" s="43" t="str">
        <x:v>out063</x:v>
      </x:c>
      <x:c r="F135" s="43" t="str">
        <x:v>es134</x:v>
      </x:c>
      <x:c r="G135" s="43" t="str">
        <x:v>No</x:v>
      </x:c>
      <x:c r="H135" s="43" t="str">
        <x:v>They had one level of exposure, and two experimental groups, female and males, and one control per group</x:v>
      </x:c>
      <x:c r="I135" s="43" t="str">
        <x:v>Social and Cognitive Impairments in Rat Offspring after Ultrasound-Induced Prenatal Stress</x:v>
      </x:c>
      <x:c r="J135" s="43" t="str">
        <x:v>10.1007/s10517-020-04790-0</x:v>
      </x:c>
      <x:c r="K135" s="43" t="str">
        <x:v>General Pathology and Pathophysiology</x:v>
      </x:c>
      <x:c r="L135" s="43" t="str">
        <x:v>Only one assay </x:v>
      </x:c>
      <x:c r="M135" s="43" t="str">
        <x:v>Rattus norvegicus</x:v>
      </x:c>
      <x:c r="N135" s="43" t="str">
        <x:v>albino lab rat</x:v>
      </x:c>
      <x:c r="O135" s="43" t="str">
        <x:v>Sprague-Dawley</x:v>
      </x:c>
      <x:c r="P135" s="43" t="str"/>
      <x:c r="Q135" s="43" t="str">
        <x:v>not reported</x:v>
      </x:c>
      <x:c r="R135" s="43" t="str">
        <x:v>early, mid, late</x:v>
      </x:c>
      <x:c r="S135" s="43" t="str">
        <x:v>all gestation</x:v>
      </x:c>
      <x:c r="T135" s="43" t="str">
        <x:v>21</x:v>
      </x:c>
      <x:c r="U135" s="43" t="str">
        <x:v>Continuous</x:v>
      </x:c>
      <x:c r="V135" s="43" t="str">
        <x:v>24.0</x:v>
      </x:c>
      <x:c r="W135" s="43" t="str">
        <x:v>Expossed to continuous variable frequencies </x:v>
      </x:c>
      <x:c r="X135" s="43" t="str">
        <x:v>Ultrasound</x:v>
      </x:c>
      <x:c r="Y135" s="43" t="str">
        <x:v>Ultrasound</x:v>
      </x:c>
      <x:c r="Z135" s="43" t="str">
        <x:v>50</x:v>
      </x:c>
      <x:c r="AA135" s="43" t="str">
        <x:v>20,000-45,000</x:v>
      </x:c>
      <x:c r="AB135" s="43" t="str">
        <x:v>Ambient sound</x:v>
      </x:c>
      <x:c r="AC135" s="43" t="str"/>
      <x:c r="AD135" s="43" t="str">
        <x:v>"under normal conditions without ultrasound"</x:v>
      </x:c>
      <x:c r="AE135" s="43" t="str">
        <x:v>male</x:v>
      </x:c>
      <x:c r="AF135" s="43" t="str">
        <x:v>90</x:v>
      </x:c>
      <x:c r="AG135" s="43" t="str">
        <x:v>3 months</x:v>
      </x:c>
      <x:c r="AH135" s="43" t="str">
        <x:v>none</x:v>
      </x:c>
      <x:c r="AI135" s="43" t="str"/>
      <x:c r="AJ135" s="43" t="str">
        <x:v>Anxiety</x:v>
      </x:c>
      <x:c r="AK135" s="43" t="str">
        <x:v>Open Field Test (OFT)</x:v>
      </x:c>
      <x:c r="AL135" s="43" t="str"/>
      <x:c r="AM135" s="43" t="str">
        <x:v>Center entries (crossing)</x:v>
      </x:c>
      <x:c r="AN135" s="43" t="str">
        <x:v>Count</x:v>
      </x:c>
      <x:c r="AO135" s="43" t="str">
        <x:v>Count</x:v>
      </x:c>
      <x:c r="AP135" s="43" t="str">
        <x:v>Light phase</x:v>
      </x:c>
      <x:c r="AQ135" s="43" t="str">
        <x:v>raw data</x:v>
      </x:c>
      <x:c r="AR135" s="43" t="str">
        <x:v>abramova_2020_genpath</x:v>
      </x:c>
      <x:c r="AS135" s="43" t="str">
        <x:v>KO-m-cen</x:v>
      </x:c>
      <x:c r="AT135" s="43" t="str">
        <x:v>US-m-g1-cen</x:v>
      </x:c>
      <x:c r="AU135" s="43" t="str">
        <x:v>KO_US_m_cen</x:v>
      </x:c>
      <x:c r="AV135" s="43" t="str">
        <x:v>Independent</x:v>
      </x:c>
      <x:c r="AW135" s="43" t="str">
        <x:v>Yes</x:v>
      </x:c>
      <x:c r="AX135" s="43" t="str">
        <x:v>Negative</x:v>
      </x:c>
      <x:c r="AY135" s="43" t="str"/>
      <x:c r="AZ135" s="43" t="str">
        <x:v>1.875</x:v>
      </x:c>
      <x:c r="BA135" s="43" t="str">
        <x:v>2.997</x:v>
      </x:c>
      <x:c r="BB135" s="43" t="str">
        <x:v>8</x:v>
      </x:c>
      <x:c r="BC135" s="43" t="str">
        <x:v>0.6629</x:v>
      </x:c>
      <x:c r="BD135" s="43" t="str"/>
      <x:c r="BE135" s="43" t="str">
        <x:v>1.8421</x:v>
      </x:c>
      <x:c r="BF135" s="43" t="str">
        <x:v>1.4245</x:v>
      </x:c>
      <x:c r="BG135" s="43" t="str">
        <x:v>19</x:v>
      </x:c>
      <x:c r="BH135" s="43" t="str">
        <x:v>0.3268</x:v>
      </x:c>
      <x:c r="BI135" s="43" t="str"/>
      <x:c r="BJ135" s="43" t="str">
        <x:v>Extracted all from raw data</x:v>
      </x:c>
      <x:c r="BK135" s="43" t="str">
        <x:v>Data  provided by Abramova on request</x:v>
      </x:c>
      <x:c r="BL135" s="43" t="str"/>
      <x:c r="BM135" s="43" t="str"/>
      <x:c r="BN135" s="43" t="str"/>
      <x:c r="BO135" s="43" t="str"/>
      <x:c r="BP135" s="43" t="str"/>
      <x:c r="BQ135" s="43" t="str"/>
      <x:c r="BR135" s="43" t="str">
        <x:v>yes</x:v>
      </x:c>
      <x:c r="BS135" s="43" t="str">
        <x:v>adjust comments text</x:v>
      </x:c>
      <x:c r="BT135" s="43" t="str"/>
      <x:c r="BU135" s="43" t="str"/>
      <x:c r="BV135" s="43" t="str"/>
      <x:c r="BW135" s="43" t="str">
        <x:v>1.0596</x:v>
      </x:c>
      <x:c r="BX135" s="43" t="str">
        <x:v>SD / sqrt(n), using descriptive statistics calculated from author raw data</x:v>
      </x:c>
      <x:c r="BY135" s="43" t="str">
        <x:v>included_studies/abramova_2020_genpath/abramova2020_descriptives.xlsx, tidy_all</x:v>
      </x:c>
      <x:c r="BZ135" s="43" t="str"/>
      <x:c r="CA135" s="43" t="str">
        <x:v>0.326803</x:v>
      </x:c>
      <x:c r="CB135" s="43" t="str">
        <x:v>SD / sqrt(n), using descriptive statistics calculated from author raw data</x:v>
      </x:c>
      <x:c r="CC135" s="43" t="str">
        <x:v>included_studies/abramova_2020_genpath/abramova2020_descriptives.xlsx, tidy_all</x:v>
      </x:c>
      <x:c r="CD135" s="43" t="str">
        <x:v>Corrected derived value</x:v>
      </x:c>
      <x:c r="CE135" s="43" t="str">
        <x:v>5 – Abramova 2020 derived SEs</x:v>
      </x:c>
      <x:c r="CF135" s="43" t="str">
        <x:v>The analysis SE is recalculated as SD/sqrt(n); no author-reported statistic is overwritten.</x:v>
      </x:c>
    </x:row>
    <x:row r="136">
      <x:c r="A136" s="43" t="str">
        <x:v>136</x:v>
      </x:c>
      <x:c r="B136" s="43" t="str">
        <x:v>abramova_2020_genpath</x:v>
      </x:c>
      <x:c r="C136" s="43" t="str">
        <x:v>ex024</x:v>
      </x:c>
      <x:c r="D136" s="43" t="str">
        <x:v>con020</x:v>
      </x:c>
      <x:c r="E136" s="43" t="str">
        <x:v>out063</x:v>
      </x:c>
      <x:c r="F136" s="43" t="str">
        <x:v>es135</x:v>
      </x:c>
      <x:c r="G136" s="43" t="str">
        <x:v>No</x:v>
      </x:c>
      <x:c r="H136" s="43" t="str">
        <x:v>They had one level of exposure, and two experimental groups, female and males, and one control per group</x:v>
      </x:c>
      <x:c r="I136" s="43" t="str">
        <x:v>Social and Cognitive Impairments in Rat Offspring after Ultrasound-Induced Prenatal Stress</x:v>
      </x:c>
      <x:c r="J136" s="43" t="str">
        <x:v>10.1007/s10517-020-04790-0</x:v>
      </x:c>
      <x:c r="K136" s="43" t="str">
        <x:v>General Pathology and Pathophysiology</x:v>
      </x:c>
      <x:c r="L136" s="43" t="str">
        <x:v>Only one assay </x:v>
      </x:c>
      <x:c r="M136" s="43" t="str">
        <x:v>Rattus norvegicus</x:v>
      </x:c>
      <x:c r="N136" s="43" t="str">
        <x:v>albino lab rat</x:v>
      </x:c>
      <x:c r="O136" s="43" t="str">
        <x:v>Sprague-Dawley</x:v>
      </x:c>
      <x:c r="P136" s="43" t="str"/>
      <x:c r="Q136" s="43" t="str">
        <x:v>not reported</x:v>
      </x:c>
      <x:c r="R136" s="43" t="str">
        <x:v>early, mid, late</x:v>
      </x:c>
      <x:c r="S136" s="43" t="str">
        <x:v>all gestation</x:v>
      </x:c>
      <x:c r="T136" s="43" t="str">
        <x:v>21</x:v>
      </x:c>
      <x:c r="U136" s="43" t="str">
        <x:v>Continuous</x:v>
      </x:c>
      <x:c r="V136" s="43" t="str">
        <x:v>24.0</x:v>
      </x:c>
      <x:c r="W136" s="43" t="str">
        <x:v>Expossed to continuous variable frequencies </x:v>
      </x:c>
      <x:c r="X136" s="43" t="str">
        <x:v>Ultrasound</x:v>
      </x:c>
      <x:c r="Y136" s="43" t="str">
        <x:v>Ultrasound</x:v>
      </x:c>
      <x:c r="Z136" s="43" t="str">
        <x:v>50</x:v>
      </x:c>
      <x:c r="AA136" s="43" t="str">
        <x:v>20,000-45,000</x:v>
      </x:c>
      <x:c r="AB136" s="43" t="str">
        <x:v>Ambient sound</x:v>
      </x:c>
      <x:c r="AC136" s="43" t="str"/>
      <x:c r="AD136" s="43" t="str">
        <x:v>"under normal conditions without ultrasound"</x:v>
      </x:c>
      <x:c r="AE136" s="43" t="str">
        <x:v>female</x:v>
      </x:c>
      <x:c r="AF136" s="43" t="str">
        <x:v>90</x:v>
      </x:c>
      <x:c r="AG136" s="43" t="str">
        <x:v>3 months</x:v>
      </x:c>
      <x:c r="AH136" s="43" t="str">
        <x:v>none</x:v>
      </x:c>
      <x:c r="AI136" s="43" t="str"/>
      <x:c r="AJ136" s="43" t="str">
        <x:v>Anxiety</x:v>
      </x:c>
      <x:c r="AK136" s="43" t="str">
        <x:v>Open Field Test (OFT)</x:v>
      </x:c>
      <x:c r="AL136" s="43" t="str"/>
      <x:c r="AM136" s="43" t="str">
        <x:v>Center entries (crossing)</x:v>
      </x:c>
      <x:c r="AN136" s="43" t="str">
        <x:v>Count</x:v>
      </x:c>
      <x:c r="AO136" s="43" t="str">
        <x:v>Count</x:v>
      </x:c>
      <x:c r="AP136" s="43" t="str">
        <x:v>Light phase</x:v>
      </x:c>
      <x:c r="AQ136" s="43" t="str">
        <x:v>raw data</x:v>
      </x:c>
      <x:c r="AR136" s="43" t="str">
        <x:v>abramova_2020_genpath</x:v>
      </x:c>
      <x:c r="AS136" s="43" t="str">
        <x:v>CO-f-cen</x:v>
      </x:c>
      <x:c r="AT136" s="43" t="str">
        <x:v>US-f-g1-cen</x:v>
      </x:c>
      <x:c r="AU136" s="43" t="str">
        <x:v>CO_US_f_cen</x:v>
      </x:c>
      <x:c r="AV136" s="43" t="str">
        <x:v>Independent</x:v>
      </x:c>
      <x:c r="AW136" s="43" t="str">
        <x:v>Yes</x:v>
      </x:c>
      <x:c r="AX136" s="43" t="str">
        <x:v>Negative</x:v>
      </x:c>
      <x:c r="AY136" s="43" t="str"/>
      <x:c r="AZ136" s="43" t="str">
        <x:v>2.75</x:v>
      </x:c>
      <x:c r="BA136" s="43" t="str">
        <x:v>1.8323</x:v>
      </x:c>
      <x:c r="BB136" s="43" t="str">
        <x:v>8</x:v>
      </x:c>
      <x:c r="BC136" s="43" t="str">
        <x:v>0.9723</x:v>
      </x:c>
      <x:c r="BD136" s="43" t="str"/>
      <x:c r="BE136" s="43" t="str">
        <x:v>1.25</x:v>
      </x:c>
      <x:c r="BF136" s="43" t="str">
        <x:v>0.9309</x:v>
      </x:c>
      <x:c r="BG136" s="43" t="str">
        <x:v>16</x:v>
      </x:c>
      <x:c r="BH136" s="43" t="str">
        <x:v>0.3125</x:v>
      </x:c>
      <x:c r="BI136" s="43" t="str"/>
      <x:c r="BJ136" s="43" t="str">
        <x:v>Extracted all from raw data</x:v>
      </x:c>
      <x:c r="BK136" s="43" t="str">
        <x:v>Data  provided by Abramova on request</x:v>
      </x:c>
      <x:c r="BL136" s="43" t="str"/>
      <x:c r="BM136" s="43" t="str"/>
      <x:c r="BN136" s="43" t="str"/>
      <x:c r="BO136" s="43" t="str"/>
      <x:c r="BP136" s="43" t="str"/>
      <x:c r="BQ136" s="43" t="str"/>
      <x:c r="BR136" s="43" t="str">
        <x:v>yes</x:v>
      </x:c>
      <x:c r="BS136" s="43" t="str">
        <x:v>adjust comments text</x:v>
      </x:c>
      <x:c r="BT136" s="43" t="str"/>
      <x:c r="BU136" s="43" t="str"/>
      <x:c r="BV136" s="43" t="str"/>
      <x:c r="BW136" s="43" t="str">
        <x:v>0.647816</x:v>
      </x:c>
      <x:c r="BX136" s="43" t="str">
        <x:v>SD / sqrt(n), using descriptive statistics calculated from author raw data</x:v>
      </x:c>
      <x:c r="BY136" s="43" t="str">
        <x:v>included_studies/abramova_2020_genpath/abramova2020_descriptives.xlsx, tidy_all</x:v>
      </x:c>
      <x:c r="BZ136" s="43" t="str"/>
      <x:c r="CA136" s="43" t="str">
        <x:v>0.232725</x:v>
      </x:c>
      <x:c r="CB136" s="43" t="str">
        <x:v>SD / sqrt(n), using descriptive statistics calculated from author raw data</x:v>
      </x:c>
      <x:c r="CC136" s="43" t="str">
        <x:v>included_studies/abramova_2020_genpath/abramova2020_descriptives.xlsx, tidy_all</x:v>
      </x:c>
      <x:c r="CD136" s="43" t="str">
        <x:v>Corrected derived value</x:v>
      </x:c>
      <x:c r="CE136" s="43" t="str">
        <x:v>5 – Abramova 2020 derived SEs</x:v>
      </x:c>
      <x:c r="CF136" s="43" t="str">
        <x:v>The analysis SE is recalculated as SD/sqrt(n); no author-reported statistic is overwritten.</x:v>
      </x:c>
    </x:row>
    <x:row r="137">
      <x:c r="A137" s="43" t="str">
        <x:v>137</x:v>
      </x:c>
      <x:c r="B137" s="43" t="str">
        <x:v>abramova_2020_genpath</x:v>
      </x:c>
      <x:c r="C137" s="43" t="str">
        <x:v>ex023</x:v>
      </x:c>
      <x:c r="D137" s="43" t="str">
        <x:v>con019</x:v>
      </x:c>
      <x:c r="E137" s="43" t="str">
        <x:v>out064</x:v>
      </x:c>
      <x:c r="F137" s="43" t="str">
        <x:v>es136</x:v>
      </x:c>
      <x:c r="G137" s="43" t="str">
        <x:v>No</x:v>
      </x:c>
      <x:c r="H137" s="43" t="str">
        <x:v>They had one level of exposure, and two experimental groups, female and males, and one control per group</x:v>
      </x:c>
      <x:c r="I137" s="43" t="str">
        <x:v>Social and Cognitive Impairments in Rat Offspring after Ultrasound-Induced Prenatal Stress</x:v>
      </x:c>
      <x:c r="J137" s="43" t="str">
        <x:v>10.1007/s10517-020-04790-0</x:v>
      </x:c>
      <x:c r="K137" s="43" t="str">
        <x:v>General Pathology and Pathophysiology</x:v>
      </x:c>
      <x:c r="L137" s="43" t="str">
        <x:v>Only one assay </x:v>
      </x:c>
      <x:c r="M137" s="43" t="str">
        <x:v>Rattus norvegicus</x:v>
      </x:c>
      <x:c r="N137" s="43" t="str">
        <x:v>albino lab rat</x:v>
      </x:c>
      <x:c r="O137" s="43" t="str">
        <x:v>Sprague-Dawley</x:v>
      </x:c>
      <x:c r="P137" s="43" t="str"/>
      <x:c r="Q137" s="43" t="str">
        <x:v>not reported</x:v>
      </x:c>
      <x:c r="R137" s="43" t="str">
        <x:v>early, mid, late</x:v>
      </x:c>
      <x:c r="S137" s="43" t="str">
        <x:v>all gestation</x:v>
      </x:c>
      <x:c r="T137" s="43" t="str">
        <x:v>21</x:v>
      </x:c>
      <x:c r="U137" s="43" t="str">
        <x:v>Continuous</x:v>
      </x:c>
      <x:c r="V137" s="43" t="str">
        <x:v>24.0</x:v>
      </x:c>
      <x:c r="W137" s="43" t="str">
        <x:v>Expossed to continuous variable frequencies </x:v>
      </x:c>
      <x:c r="X137" s="43" t="str">
        <x:v>Ultrasound</x:v>
      </x:c>
      <x:c r="Y137" s="43" t="str">
        <x:v>Ultrasound</x:v>
      </x:c>
      <x:c r="Z137" s="43" t="str">
        <x:v>50</x:v>
      </x:c>
      <x:c r="AA137" s="43" t="str">
        <x:v>20,000-45,000</x:v>
      </x:c>
      <x:c r="AB137" s="43" t="str">
        <x:v>Ambient sound</x:v>
      </x:c>
      <x:c r="AC137" s="43" t="str"/>
      <x:c r="AD137" s="43" t="str">
        <x:v>"under normal conditions without ultrasound"</x:v>
      </x:c>
      <x:c r="AE137" s="43" t="str">
        <x:v>male</x:v>
      </x:c>
      <x:c r="AF137" s="43" t="str">
        <x:v>90</x:v>
      </x:c>
      <x:c r="AG137" s="43" t="str">
        <x:v>3 months</x:v>
      </x:c>
      <x:c r="AH137" s="43" t="str">
        <x:v>none</x:v>
      </x:c>
      <x:c r="AI137" s="43" t="str"/>
      <x:c r="AJ137" s="43" t="str">
        <x:v>Anxiety</x:v>
      </x:c>
      <x:c r="AK137" s="43" t="str">
        <x:v>Open Field Test (OFT)</x:v>
      </x:c>
      <x:c r="AL137" s="43" t="str"/>
      <x:c r="AM137" s="43" t="str">
        <x:v>Total grooming time</x:v>
      </x:c>
      <x:c r="AN137" s="43" t="str">
        <x:v>Time</x:v>
      </x:c>
      <x:c r="AO137" s="43" t="str">
        <x:v>s</x:v>
      </x:c>
      <x:c r="AP137" s="43" t="str">
        <x:v>Light phase</x:v>
      </x:c>
      <x:c r="AQ137" s="43" t="str">
        <x:v>raw data</x:v>
      </x:c>
      <x:c r="AR137" s="43" t="str">
        <x:v>abramova_2020_genpath</x:v>
      </x:c>
      <x:c r="AS137" s="43" t="str">
        <x:v>KO-m-grt</x:v>
      </x:c>
      <x:c r="AT137" s="43" t="str">
        <x:v>US-m-g1-grt</x:v>
      </x:c>
      <x:c r="AU137" s="43" t="str">
        <x:v>KO_US_m_grt</x:v>
      </x:c>
      <x:c r="AV137" s="43" t="str">
        <x:v>Independent</x:v>
      </x:c>
      <x:c r="AW137" s="43" t="str">
        <x:v>No</x:v>
      </x:c>
      <x:c r="AX137" s="43" t="str">
        <x:v>Positive</x:v>
      </x:c>
      <x:c r="AY137" s="43" t="str"/>
      <x:c r="AZ137" s="43" t="str">
        <x:v>12.5038</x:v>
      </x:c>
      <x:c r="BA137" s="43" t="str">
        <x:v>11.0261</x:v>
      </x:c>
      <x:c r="BB137" s="43" t="str">
        <x:v>8</x:v>
      </x:c>
      <x:c r="BC137" s="43" t="str">
        <x:v>4.4207</x:v>
      </x:c>
      <x:c r="BD137" s="43" t="str"/>
      <x:c r="BE137" s="43" t="str">
        <x:v>33.2405</x:v>
      </x:c>
      <x:c r="BF137" s="43" t="str">
        <x:v>19.9724</x:v>
      </x:c>
      <x:c r="BG137" s="43" t="str">
        <x:v>19</x:v>
      </x:c>
      <x:c r="BH137" s="43" t="str">
        <x:v>4.582</x:v>
      </x:c>
      <x:c r="BI137" s="43" t="str"/>
      <x:c r="BJ137" s="43" t="str">
        <x:v>Extracted all from raw data</x:v>
      </x:c>
      <x:c r="BK137" s="43" t="str">
        <x:v>Data  provided by Abramova on request</x:v>
      </x:c>
      <x:c r="BL137" s="43" t="str"/>
      <x:c r="BM137" s="43" t="str"/>
      <x:c r="BN137" s="43" t="str"/>
      <x:c r="BO137" s="43" t="str"/>
      <x:c r="BP137" s="43" t="str"/>
      <x:c r="BQ137" s="43" t="str"/>
      <x:c r="BR137" s="43" t="str">
        <x:v>yes</x:v>
      </x:c>
      <x:c r="BS137" s="43" t="str">
        <x:v>adjust comments text</x:v>
      </x:c>
      <x:c r="BT137" s="43" t="str"/>
      <x:c r="BU137" s="43" t="str"/>
      <x:c r="BV137" s="43" t="str"/>
      <x:c r="BW137" s="43" t="str">
        <x:v>3.898315</x:v>
      </x:c>
      <x:c r="BX137" s="43" t="str">
        <x:v>SD / sqrt(n), using descriptive statistics calculated from author raw data</x:v>
      </x:c>
      <x:c r="BY137" s="43" t="str">
        <x:v>included_studies/abramova_2020_genpath/abramova2020_descriptives.xlsx, tidy_all</x:v>
      </x:c>
      <x:c r="BZ137" s="43" t="str"/>
      <x:c r="CA137" s="43" t="str">
        <x:v>4.581983</x:v>
      </x:c>
      <x:c r="CB137" s="43" t="str">
        <x:v>SD / sqrt(n), using descriptive statistics calculated from author raw data</x:v>
      </x:c>
      <x:c r="CC137" s="43" t="str">
        <x:v>included_studies/abramova_2020_genpath/abramova2020_descriptives.xlsx, tidy_all</x:v>
      </x:c>
      <x:c r="CD137" s="43" t="str">
        <x:v>Corrected derived value</x:v>
      </x:c>
      <x:c r="CE137" s="43" t="str">
        <x:v>5 – Abramova 2020 derived SEs</x:v>
      </x:c>
      <x:c r="CF137" s="43" t="str">
        <x:v>The analysis SE is recalculated as SD/sqrt(n); no author-reported statistic is overwritten.</x:v>
      </x:c>
    </x:row>
    <x:row r="138">
      <x:c r="A138" s="43" t="str">
        <x:v>138</x:v>
      </x:c>
      <x:c r="B138" s="43" t="str">
        <x:v>abramova_2020_genpath</x:v>
      </x:c>
      <x:c r="C138" s="43" t="str">
        <x:v>ex024</x:v>
      </x:c>
      <x:c r="D138" s="43" t="str">
        <x:v>con020</x:v>
      </x:c>
      <x:c r="E138" s="43" t="str">
        <x:v>out064</x:v>
      </x:c>
      <x:c r="F138" s="43" t="str">
        <x:v>es137</x:v>
      </x:c>
      <x:c r="G138" s="43" t="str">
        <x:v>No</x:v>
      </x:c>
      <x:c r="H138" s="43" t="str">
        <x:v>They had one level of exposure, and two experimental groups, female and males, and one control per group</x:v>
      </x:c>
      <x:c r="I138" s="43" t="str">
        <x:v>Social and Cognitive Impairments in Rat Offspring after Ultrasound-Induced Prenatal Stress</x:v>
      </x:c>
      <x:c r="J138" s="43" t="str">
        <x:v>10.1007/s10517-020-04790-0</x:v>
      </x:c>
      <x:c r="K138" s="43" t="str">
        <x:v>General Pathology and Pathophysiology</x:v>
      </x:c>
      <x:c r="L138" s="43" t="str">
        <x:v>Only one assay </x:v>
      </x:c>
      <x:c r="M138" s="43" t="str">
        <x:v>Rattus norvegicus</x:v>
      </x:c>
      <x:c r="N138" s="43" t="str">
        <x:v>albino lab rat</x:v>
      </x:c>
      <x:c r="O138" s="43" t="str">
        <x:v>Sprague-Dawley</x:v>
      </x:c>
      <x:c r="P138" s="43" t="str"/>
      <x:c r="Q138" s="43" t="str">
        <x:v>not reported</x:v>
      </x:c>
      <x:c r="R138" s="43" t="str">
        <x:v>early, mid, late</x:v>
      </x:c>
      <x:c r="S138" s="43" t="str">
        <x:v>all gestation</x:v>
      </x:c>
      <x:c r="T138" s="43" t="str">
        <x:v>21</x:v>
      </x:c>
      <x:c r="U138" s="43" t="str">
        <x:v>Continuous</x:v>
      </x:c>
      <x:c r="V138" s="43" t="str">
        <x:v>24.0</x:v>
      </x:c>
      <x:c r="W138" s="43" t="str">
        <x:v>Expossed to continuous variable frequencies </x:v>
      </x:c>
      <x:c r="X138" s="43" t="str">
        <x:v>Ultrasound</x:v>
      </x:c>
      <x:c r="Y138" s="43" t="str">
        <x:v>Ultrasound</x:v>
      </x:c>
      <x:c r="Z138" s="43" t="str">
        <x:v>50</x:v>
      </x:c>
      <x:c r="AA138" s="43" t="str">
        <x:v>20,000-45,000</x:v>
      </x:c>
      <x:c r="AB138" s="43" t="str">
        <x:v>Ambient sound</x:v>
      </x:c>
      <x:c r="AC138" s="43" t="str"/>
      <x:c r="AD138" s="43" t="str">
        <x:v>"under normal conditions without ultrasound"</x:v>
      </x:c>
      <x:c r="AE138" s="43" t="str">
        <x:v>female</x:v>
      </x:c>
      <x:c r="AF138" s="43" t="str">
        <x:v>90</x:v>
      </x:c>
      <x:c r="AG138" s="43" t="str">
        <x:v>3 months</x:v>
      </x:c>
      <x:c r="AH138" s="43" t="str">
        <x:v>none</x:v>
      </x:c>
      <x:c r="AI138" s="43" t="str"/>
      <x:c r="AJ138" s="43" t="str">
        <x:v>Anxiety</x:v>
      </x:c>
      <x:c r="AK138" s="43" t="str">
        <x:v>Open Field Test (OFT)</x:v>
      </x:c>
      <x:c r="AL138" s="43" t="str"/>
      <x:c r="AM138" s="43" t="str">
        <x:v>Total grooming time</x:v>
      </x:c>
      <x:c r="AN138" s="43" t="str">
        <x:v>Time</x:v>
      </x:c>
      <x:c r="AO138" s="43" t="str">
        <x:v>s</x:v>
      </x:c>
      <x:c r="AP138" s="43" t="str">
        <x:v>Light phase</x:v>
      </x:c>
      <x:c r="AQ138" s="43" t="str">
        <x:v>raw data</x:v>
      </x:c>
      <x:c r="AR138" s="43" t="str">
        <x:v>abramova_2020_genpath</x:v>
      </x:c>
      <x:c r="AS138" s="43" t="str">
        <x:v>CO-f-grt</x:v>
      </x:c>
      <x:c r="AT138" s="43" t="str">
        <x:v>US-f-g1-grt</x:v>
      </x:c>
      <x:c r="AU138" s="43" t="str">
        <x:v>CO_US_f_grt</x:v>
      </x:c>
      <x:c r="AV138" s="43" t="str">
        <x:v>Independent</x:v>
      </x:c>
      <x:c r="AW138" s="43" t="str">
        <x:v>No</x:v>
      </x:c>
      <x:c r="AX138" s="43" t="str">
        <x:v>Positive</x:v>
      </x:c>
      <x:c r="AY138" s="43" t="str"/>
      <x:c r="AZ138" s="43" t="str">
        <x:v>13.8713</x:v>
      </x:c>
      <x:c r="BA138" s="43" t="str">
        <x:v>13.5053</x:v>
      </x:c>
      <x:c r="BB138" s="43" t="str">
        <x:v>8</x:v>
      </x:c>
      <x:c r="BC138" s="43" t="str">
        <x:v>4.9042</x:v>
      </x:c>
      <x:c r="BD138" s="43" t="str"/>
      <x:c r="BE138" s="43" t="str">
        <x:v>17.125</x:v>
      </x:c>
      <x:c r="BF138" s="43" t="str">
        <x:v>12.2961</x:v>
      </x:c>
      <x:c r="BG138" s="43" t="str">
        <x:v>16</x:v>
      </x:c>
      <x:c r="BH138" s="43" t="str">
        <x:v>4.2813</x:v>
      </x:c>
      <x:c r="BI138" s="43" t="str"/>
      <x:c r="BJ138" s="43" t="str">
        <x:v>Extracted all from raw data</x:v>
      </x:c>
      <x:c r="BK138" s="43" t="str">
        <x:v>Data  provided by Abramova on request</x:v>
      </x:c>
      <x:c r="BL138" s="43" t="str"/>
      <x:c r="BM138" s="43" t="str"/>
      <x:c r="BN138" s="43" t="str"/>
      <x:c r="BO138" s="43" t="str"/>
      <x:c r="BP138" s="43" t="str"/>
      <x:c r="BQ138" s="43" t="str"/>
      <x:c r="BR138" s="43" t="str">
        <x:v>yes</x:v>
      </x:c>
      <x:c r="BS138" s="43" t="str">
        <x:v>adjust comments text</x:v>
      </x:c>
      <x:c r="BT138" s="43" t="str"/>
      <x:c r="BU138" s="43" t="str"/>
      <x:c r="BV138" s="43" t="str"/>
      <x:c r="BW138" s="43" t="str">
        <x:v>4.774845</x:v>
      </x:c>
      <x:c r="BX138" s="43" t="str">
        <x:v>SD / sqrt(n), using descriptive statistics calculated from author raw data</x:v>
      </x:c>
      <x:c r="BY138" s="43" t="str">
        <x:v>included_studies/abramova_2020_genpath/abramova2020_descriptives.xlsx, tidy_all</x:v>
      </x:c>
      <x:c r="BZ138" s="43" t="str"/>
      <x:c r="CA138" s="43" t="str">
        <x:v>3.074025</x:v>
      </x:c>
      <x:c r="CB138" s="43" t="str">
        <x:v>SD / sqrt(n), using descriptive statistics calculated from author raw data</x:v>
      </x:c>
      <x:c r="CC138" s="43" t="str">
        <x:v>included_studies/abramova_2020_genpath/abramova2020_descriptives.xlsx, tidy_all</x:v>
      </x:c>
      <x:c r="CD138" s="43" t="str">
        <x:v>Corrected derived value</x:v>
      </x:c>
      <x:c r="CE138" s="43" t="str">
        <x:v>5 – Abramova 2020 derived SEs</x:v>
      </x:c>
      <x:c r="CF138" s="43" t="str">
        <x:v>The analysis SE is recalculated as SD/sqrt(n); no author-reported statistic is overwritten.</x:v>
      </x:c>
    </x:row>
    <x:row r="139">
      <x:c r="A139" s="43" t="str">
        <x:v>139</x:v>
      </x:c>
      <x:c r="B139" s="43" t="str">
        <x:v>abramova_2020_genpath</x:v>
      </x:c>
      <x:c r="C139" s="43" t="str">
        <x:v>ex023</x:v>
      </x:c>
      <x:c r="D139" s="43" t="str">
        <x:v>con019</x:v>
      </x:c>
      <x:c r="E139" s="43" t="str">
        <x:v>out065</x:v>
      </x:c>
      <x:c r="F139" s="43" t="str">
        <x:v>es138</x:v>
      </x:c>
      <x:c r="G139" s="43" t="str">
        <x:v>No</x:v>
      </x:c>
      <x:c r="H139" s="43" t="str">
        <x:v>They had one level of exposure, and two experimental groups, female and males, and one control per group</x:v>
      </x:c>
      <x:c r="I139" s="43" t="str">
        <x:v>Social and Cognitive Impairments in Rat Offspring after Ultrasound-Induced Prenatal Stress</x:v>
      </x:c>
      <x:c r="J139" s="43" t="str">
        <x:v>10.1007/s10517-020-04790-0</x:v>
      </x:c>
      <x:c r="K139" s="43" t="str">
        <x:v>General Pathology and Pathophysiology</x:v>
      </x:c>
      <x:c r="L139" s="43" t="str">
        <x:v>Only one assay </x:v>
      </x:c>
      <x:c r="M139" s="43" t="str">
        <x:v>Rattus norvegicus</x:v>
      </x:c>
      <x:c r="N139" s="43" t="str">
        <x:v>albino lab rat</x:v>
      </x:c>
      <x:c r="O139" s="43" t="str">
        <x:v>Sprague-Dawley</x:v>
      </x:c>
      <x:c r="P139" s="43" t="str"/>
      <x:c r="Q139" s="43" t="str">
        <x:v>not reported</x:v>
      </x:c>
      <x:c r="R139" s="43" t="str">
        <x:v>early, mid, late</x:v>
      </x:c>
      <x:c r="S139" s="43" t="str">
        <x:v>all gestation</x:v>
      </x:c>
      <x:c r="T139" s="43" t="str">
        <x:v>21</x:v>
      </x:c>
      <x:c r="U139" s="43" t="str">
        <x:v>Continuous</x:v>
      </x:c>
      <x:c r="V139" s="43" t="str">
        <x:v>24.0</x:v>
      </x:c>
      <x:c r="W139" s="43" t="str">
        <x:v>Expossed to continuous variable frequencies </x:v>
      </x:c>
      <x:c r="X139" s="43" t="str">
        <x:v>Ultrasound</x:v>
      </x:c>
      <x:c r="Y139" s="43" t="str">
        <x:v>Ultrasound</x:v>
      </x:c>
      <x:c r="Z139" s="43" t="str">
        <x:v>50</x:v>
      </x:c>
      <x:c r="AA139" s="43" t="str">
        <x:v>20,000-45,000</x:v>
      </x:c>
      <x:c r="AB139" s="43" t="str">
        <x:v>Ambient sound</x:v>
      </x:c>
      <x:c r="AC139" s="43" t="str"/>
      <x:c r="AD139" s="43" t="str">
        <x:v>"under normal conditions without ultrasound"</x:v>
      </x:c>
      <x:c r="AE139" s="43" t="str">
        <x:v>male</x:v>
      </x:c>
      <x:c r="AF139" s="43" t="str">
        <x:v>90</x:v>
      </x:c>
      <x:c r="AG139" s="43" t="str">
        <x:v>3 months</x:v>
      </x:c>
      <x:c r="AH139" s="43" t="str">
        <x:v>none</x:v>
      </x:c>
      <x:c r="AI139" s="43" t="str"/>
      <x:c r="AJ139" s="43" t="str">
        <x:v>Anxiety</x:v>
      </x:c>
      <x:c r="AK139" s="43" t="str">
        <x:v>Open Field Test (OFT)</x:v>
      </x:c>
      <x:c r="AL139" s="43" t="str"/>
      <x:c r="AM139" s="43" t="str">
        <x:v>Total freezing time</x:v>
      </x:c>
      <x:c r="AN139" s="43" t="str">
        <x:v>Time</x:v>
      </x:c>
      <x:c r="AO139" s="43" t="str">
        <x:v>s</x:v>
      </x:c>
      <x:c r="AP139" s="43" t="str">
        <x:v>Light phase</x:v>
      </x:c>
      <x:c r="AQ139" s="43" t="str">
        <x:v>raw data</x:v>
      </x:c>
      <x:c r="AR139" s="43" t="str">
        <x:v>abramova_2020_genpath</x:v>
      </x:c>
      <x:c r="AS139" s="43" t="str">
        <x:v>KO-m-fr</x:v>
      </x:c>
      <x:c r="AT139" s="43" t="str">
        <x:v>US-m-fr</x:v>
      </x:c>
      <x:c r="AU139" s="43" t="str">
        <x:v>KO_US_m_fr</x:v>
      </x:c>
      <x:c r="AV139" s="43" t="str">
        <x:v>Independent</x:v>
      </x:c>
      <x:c r="AW139" s="43" t="str">
        <x:v>No</x:v>
      </x:c>
      <x:c r="AX139" s="43" t="str">
        <x:v>Positive</x:v>
      </x:c>
      <x:c r="AY139" s="43" t="str"/>
      <x:c r="AZ139" s="43" t="str">
        <x:v>9.4775</x:v>
      </x:c>
      <x:c r="BA139" s="43" t="str">
        <x:v>15.5527</x:v>
      </x:c>
      <x:c r="BB139" s="43" t="str">
        <x:v>8</x:v>
      </x:c>
      <x:c r="BC139" s="43" t="str">
        <x:v>3.3508</x:v>
      </x:c>
      <x:c r="BD139" s="43" t="str"/>
      <x:c r="BE139" s="43" t="str">
        <x:v>33.2316</x:v>
      </x:c>
      <x:c r="BF139" s="43" t="str">
        <x:v>43.7813</x:v>
      </x:c>
      <x:c r="BG139" s="43" t="str">
        <x:v>19</x:v>
      </x:c>
      <x:c r="BH139" s="43" t="str">
        <x:v>10.0441</x:v>
      </x:c>
      <x:c r="BI139" s="43" t="str"/>
      <x:c r="BJ139" s="43" t="str">
        <x:v>Extracted all from raw data</x:v>
      </x:c>
      <x:c r="BK139" s="43" t="str">
        <x:v>Data  provided by Abramova on request</x:v>
      </x:c>
      <x:c r="BL139" s="43" t="str"/>
      <x:c r="BM139" s="43" t="str"/>
      <x:c r="BN139" s="43" t="str"/>
      <x:c r="BO139" s="43" t="str"/>
      <x:c r="BP139" s="43" t="str"/>
      <x:c r="BQ139" s="43" t="str"/>
      <x:c r="BR139" s="43" t="str">
        <x:v>yes</x:v>
      </x:c>
      <x:c r="BS139" s="43" t="str">
        <x:v>adjust comments text</x:v>
      </x:c>
      <x:c r="BT139" s="43" t="str"/>
      <x:c r="BU139" s="43" t="str"/>
      <x:c r="BV139" s="43" t="str"/>
      <x:c r="BW139" s="43" t="str">
        <x:v>5.49871</x:v>
      </x:c>
      <x:c r="BX139" s="43" t="str">
        <x:v>SD / sqrt(n), using descriptive statistics calculated from author raw data</x:v>
      </x:c>
      <x:c r="BY139" s="43" t="str">
        <x:v>included_studies/abramova_2020_genpath/abramova2020_descriptives.xlsx, tidy_all</x:v>
      </x:c>
      <x:c r="BZ139" s="43" t="str"/>
      <x:c r="CA139" s="43" t="str">
        <x:v>10.044119</x:v>
      </x:c>
      <x:c r="CB139" s="43" t="str">
        <x:v>SD / sqrt(n), using descriptive statistics calculated from author raw data</x:v>
      </x:c>
      <x:c r="CC139" s="43" t="str">
        <x:v>included_studies/abramova_2020_genpath/abramova2020_descriptives.xlsx, tidy_all</x:v>
      </x:c>
      <x:c r="CD139" s="43" t="str">
        <x:v>Corrected derived value</x:v>
      </x:c>
      <x:c r="CE139" s="43" t="str">
        <x:v>5 – Abramova 2020 derived SEs</x:v>
      </x:c>
      <x:c r="CF139" s="43" t="str">
        <x:v>The analysis SE is recalculated as SD/sqrt(n); no author-reported statistic is overwritten.</x:v>
      </x:c>
    </x:row>
    <x:row r="140">
      <x:c r="A140" s="43" t="str">
        <x:v>140</x:v>
      </x:c>
      <x:c r="B140" s="43" t="str">
        <x:v>abramova_2020_genpath</x:v>
      </x:c>
      <x:c r="C140" s="43" t="str">
        <x:v>ex024</x:v>
      </x:c>
      <x:c r="D140" s="43" t="str">
        <x:v>con020</x:v>
      </x:c>
      <x:c r="E140" s="43" t="str">
        <x:v>out065</x:v>
      </x:c>
      <x:c r="F140" s="43" t="str">
        <x:v>es139</x:v>
      </x:c>
      <x:c r="G140" s="43" t="str">
        <x:v>No</x:v>
      </x:c>
      <x:c r="H140" s="43" t="str">
        <x:v>They had one level of exposure, and two experimental groups, female and males, and one control per group</x:v>
      </x:c>
      <x:c r="I140" s="43" t="str">
        <x:v>Social and Cognitive Impairments in Rat Offspring after Ultrasound-Induced Prenatal Stress</x:v>
      </x:c>
      <x:c r="J140" s="43" t="str">
        <x:v>10.1007/s10517-020-04790-0</x:v>
      </x:c>
      <x:c r="K140" s="43" t="str">
        <x:v>General Pathology and Pathophysiology</x:v>
      </x:c>
      <x:c r="L140" s="43" t="str">
        <x:v>Only one assay </x:v>
      </x:c>
      <x:c r="M140" s="43" t="str">
        <x:v>Rattus norvegicus</x:v>
      </x:c>
      <x:c r="N140" s="43" t="str">
        <x:v>albino lab rat</x:v>
      </x:c>
      <x:c r="O140" s="43" t="str">
        <x:v>Sprague-Dawley</x:v>
      </x:c>
      <x:c r="P140" s="43" t="str"/>
      <x:c r="Q140" s="43" t="str">
        <x:v>not reported</x:v>
      </x:c>
      <x:c r="R140" s="43" t="str">
        <x:v>early, mid, late</x:v>
      </x:c>
      <x:c r="S140" s="43" t="str">
        <x:v>all gestation</x:v>
      </x:c>
      <x:c r="T140" s="43" t="str">
        <x:v>21</x:v>
      </x:c>
      <x:c r="U140" s="43" t="str">
        <x:v>Continuous</x:v>
      </x:c>
      <x:c r="V140" s="43" t="str">
        <x:v>24.0</x:v>
      </x:c>
      <x:c r="W140" s="43" t="str">
        <x:v>Expossed to continuous variable frequencies </x:v>
      </x:c>
      <x:c r="X140" s="43" t="str">
        <x:v>Ultrasound</x:v>
      </x:c>
      <x:c r="Y140" s="43" t="str">
        <x:v>Ultrasound</x:v>
      </x:c>
      <x:c r="Z140" s="43" t="str">
        <x:v>50</x:v>
      </x:c>
      <x:c r="AA140" s="43" t="str">
        <x:v>20,000-45,000</x:v>
      </x:c>
      <x:c r="AB140" s="43" t="str">
        <x:v>Ambient sound</x:v>
      </x:c>
      <x:c r="AC140" s="43" t="str"/>
      <x:c r="AD140" s="43" t="str">
        <x:v>"under normal conditions without ultrasound"</x:v>
      </x:c>
      <x:c r="AE140" s="43" t="str">
        <x:v>female</x:v>
      </x:c>
      <x:c r="AF140" s="43" t="str">
        <x:v>90</x:v>
      </x:c>
      <x:c r="AG140" s="43" t="str">
        <x:v>3 months</x:v>
      </x:c>
      <x:c r="AH140" s="43" t="str">
        <x:v>none</x:v>
      </x:c>
      <x:c r="AI140" s="43" t="str"/>
      <x:c r="AJ140" s="43" t="str">
        <x:v>Anxiety</x:v>
      </x:c>
      <x:c r="AK140" s="43" t="str">
        <x:v>Open Field Test (OFT)</x:v>
      </x:c>
      <x:c r="AL140" s="43" t="str"/>
      <x:c r="AM140" s="43" t="str">
        <x:v>Total freezing time</x:v>
      </x:c>
      <x:c r="AN140" s="43" t="str">
        <x:v>Time</x:v>
      </x:c>
      <x:c r="AO140" s="43" t="str">
        <x:v>s</x:v>
      </x:c>
      <x:c r="AP140" s="43" t="str">
        <x:v>Light phase</x:v>
      </x:c>
      <x:c r="AQ140" s="43" t="str">
        <x:v>raw data</x:v>
      </x:c>
      <x:c r="AR140" s="43" t="str">
        <x:v>abramova_2020_genpath</x:v>
      </x:c>
      <x:c r="AS140" s="43" t="str">
        <x:v>CO-f-fr</x:v>
      </x:c>
      <x:c r="AT140" s="43" t="str">
        <x:v>US-f-g1-fr</x:v>
      </x:c>
      <x:c r="AU140" s="43" t="str">
        <x:v>CO_US_f_fr</x:v>
      </x:c>
      <x:c r="AV140" s="43" t="str">
        <x:v>Independent</x:v>
      </x:c>
      <x:c r="AW140" s="43" t="str">
        <x:v>No</x:v>
      </x:c>
      <x:c r="AX140" s="43" t="str">
        <x:v>Positive</x:v>
      </x:c>
      <x:c r="AY140" s="43" t="str"/>
      <x:c r="AZ140" s="43" t="str">
        <x:v>8.2563</x:v>
      </x:c>
      <x:c r="BA140" s="43" t="str">
        <x:v>21.4515</x:v>
      </x:c>
      <x:c r="BB140" s="43" t="str">
        <x:v>8</x:v>
      </x:c>
      <x:c r="BC140" s="43" t="str">
        <x:v>2.919</x:v>
      </x:c>
      <x:c r="BD140" s="43" t="str"/>
      <x:c r="BE140" s="43" t="str">
        <x:v>32.7925</x:v>
      </x:c>
      <x:c r="BF140" s="43" t="str">
        <x:v>28.6499</x:v>
      </x:c>
      <x:c r="BG140" s="43" t="str">
        <x:v>16</x:v>
      </x:c>
      <x:c r="BH140" s="43" t="str">
        <x:v>8.1981</x:v>
      </x:c>
      <x:c r="BI140" s="43" t="str"/>
      <x:c r="BJ140" s="43" t="str">
        <x:v>Extracted all from raw data</x:v>
      </x:c>
      <x:c r="BK140" s="43" t="str">
        <x:v>Data  provided by Abramova on request</x:v>
      </x:c>
      <x:c r="BL140" s="43" t="str"/>
      <x:c r="BM140" s="43" t="str"/>
      <x:c r="BN140" s="43" t="str"/>
      <x:c r="BO140" s="43" t="str"/>
      <x:c r="BP140" s="43" t="str"/>
      <x:c r="BQ140" s="43" t="str"/>
      <x:c r="BR140" s="43" t="str">
        <x:v>yes</x:v>
      </x:c>
      <x:c r="BS140" s="43" t="str">
        <x:v>adjust comments text</x:v>
      </x:c>
      <x:c r="BT140" s="43" t="str"/>
      <x:c r="BU140" s="43" t="str"/>
      <x:c r="BV140" s="43" t="str"/>
      <x:c r="BW140" s="43" t="str">
        <x:v>7.584251</x:v>
      </x:c>
      <x:c r="BX140" s="43" t="str">
        <x:v>SD / sqrt(n), using descriptive statistics calculated from author raw data</x:v>
      </x:c>
      <x:c r="BY140" s="43" t="str">
        <x:v>included_studies/abramova_2020_genpath/abramova2020_descriptives.xlsx, tidy_all</x:v>
      </x:c>
      <x:c r="BZ140" s="43" t="str"/>
      <x:c r="CA140" s="43" t="str">
        <x:v>7.162475</x:v>
      </x:c>
      <x:c r="CB140" s="43" t="str">
        <x:v>SD / sqrt(n), using descriptive statistics calculated from author raw data</x:v>
      </x:c>
      <x:c r="CC140" s="43" t="str">
        <x:v>included_studies/abramova_2020_genpath/abramova2020_descriptives.xlsx, tidy_all</x:v>
      </x:c>
      <x:c r="CD140" s="43" t="str">
        <x:v>Corrected derived value</x:v>
      </x:c>
      <x:c r="CE140" s="43" t="str">
        <x:v>5 – Abramova 2020 derived SEs</x:v>
      </x:c>
      <x:c r="CF140" s="43" t="str">
        <x:v>The analysis SE is recalculated as SD/sqrt(n); no author-reported statistic is overwritten.</x:v>
      </x:c>
    </x:row>
    <x:row r="141">
      <x:c r="A141" s="43" t="str">
        <x:v>141</x:v>
      </x:c>
      <x:c r="B141" s="43" t="str">
        <x:v>abramova_2020_genpath</x:v>
      </x:c>
      <x:c r="C141" s="43" t="str">
        <x:v>ex023</x:v>
      </x:c>
      <x:c r="D141" s="43" t="str">
        <x:v>con019</x:v>
      </x:c>
      <x:c r="E141" s="43" t="str">
        <x:v>out066</x:v>
      </x:c>
      <x:c r="F141" s="43" t="str">
        <x:v>es140</x:v>
      </x:c>
      <x:c r="G141" s="43" t="str">
        <x:v>No</x:v>
      </x:c>
      <x:c r="H141" s="43" t="str">
        <x:v>They had one level of exposure, and two experimental groups, female and males, and one control per group</x:v>
      </x:c>
      <x:c r="I141" s="43" t="str">
        <x:v>Social and Cognitive Impairments in Rat Offspring after Ultrasound-Induced Prenatal Stress</x:v>
      </x:c>
      <x:c r="J141" s="43" t="str">
        <x:v>10.1007/s10517-020-04790-0</x:v>
      </x:c>
      <x:c r="K141" s="43" t="str">
        <x:v>General Pathology and Pathophysiology</x:v>
      </x:c>
      <x:c r="L141" s="43" t="str">
        <x:v>Only one assay </x:v>
      </x:c>
      <x:c r="M141" s="43" t="str">
        <x:v>Rattus norvegicus</x:v>
      </x:c>
      <x:c r="N141" s="43" t="str">
        <x:v>albino lab rat</x:v>
      </x:c>
      <x:c r="O141" s="43" t="str">
        <x:v>Sprague-Dawley</x:v>
      </x:c>
      <x:c r="P141" s="43" t="str"/>
      <x:c r="Q141" s="43" t="str">
        <x:v>not reported</x:v>
      </x:c>
      <x:c r="R141" s="43" t="str">
        <x:v>early, mid, late</x:v>
      </x:c>
      <x:c r="S141" s="43" t="str">
        <x:v>all gestation</x:v>
      </x:c>
      <x:c r="T141" s="43" t="str">
        <x:v>21</x:v>
      </x:c>
      <x:c r="U141" s="43" t="str">
        <x:v>Continuous</x:v>
      </x:c>
      <x:c r="V141" s="43" t="str">
        <x:v>24.0</x:v>
      </x:c>
      <x:c r="W141" s="43" t="str">
        <x:v>Expossed to continuous variable frequencies </x:v>
      </x:c>
      <x:c r="X141" s="43" t="str">
        <x:v>Ultrasound</x:v>
      </x:c>
      <x:c r="Y141" s="43" t="str">
        <x:v>Ultrasound</x:v>
      </x:c>
      <x:c r="Z141" s="43" t="str">
        <x:v>50</x:v>
      </x:c>
      <x:c r="AA141" s="43" t="str">
        <x:v>20,000-45,000</x:v>
      </x:c>
      <x:c r="AB141" s="43" t="str">
        <x:v>Ambient sound</x:v>
      </x:c>
      <x:c r="AC141" s="43" t="str"/>
      <x:c r="AD141" s="43" t="str">
        <x:v>"under normal conditions without ultrasound"</x:v>
      </x:c>
      <x:c r="AE141" s="43" t="str">
        <x:v>male</x:v>
      </x:c>
      <x:c r="AF141" s="43" t="str">
        <x:v>90</x:v>
      </x:c>
      <x:c r="AG141" s="43" t="str">
        <x:v>3 months</x:v>
      </x:c>
      <x:c r="AH141" s="43" t="str">
        <x:v>none</x:v>
      </x:c>
      <x:c r="AI141" s="43" t="str"/>
      <x:c r="AJ141" s="43" t="str">
        <x:v>Anxiety</x:v>
      </x:c>
      <x:c r="AK141" s="43" t="str">
        <x:v>Open Field Test (OFT)</x:v>
      </x:c>
      <x:c r="AL141" s="43" t="str"/>
      <x:c r="AM141" s="43" t="str">
        <x:v>Grooming frequency</x:v>
      </x:c>
      <x:c r="AN141" s="43" t="str">
        <x:v>Count</x:v>
      </x:c>
      <x:c r="AO141" s="43" t="str">
        <x:v>Count</x:v>
      </x:c>
      <x:c r="AP141" s="43" t="str">
        <x:v>Light phase</x:v>
      </x:c>
      <x:c r="AQ141" s="43" t="str">
        <x:v>raw data</x:v>
      </x:c>
      <x:c r="AR141" s="43" t="str">
        <x:v>abramova_2020_genpath</x:v>
      </x:c>
      <x:c r="AS141" s="43" t="str">
        <x:v>KO-m-grf</x:v>
      </x:c>
      <x:c r="AT141" s="43" t="str">
        <x:v>US-m-g1-grf</x:v>
      </x:c>
      <x:c r="AU141" s="43" t="str">
        <x:v>KO_US_m_grf</x:v>
      </x:c>
      <x:c r="AV141" s="43" t="str">
        <x:v>Independent</x:v>
      </x:c>
      <x:c r="AW141" s="43" t="str">
        <x:v>No</x:v>
      </x:c>
      <x:c r="AX141" s="43" t="str">
        <x:v>Positive</x:v>
      </x:c>
      <x:c r="AY141" s="43" t="str"/>
      <x:c r="AZ141" s="43" t="str">
        <x:v>4.625</x:v>
      </x:c>
      <x:c r="BA141" s="43" t="str">
        <x:v>3.7009</x:v>
      </x:c>
      <x:c r="BB141" s="43" t="str">
        <x:v>8</x:v>
      </x:c>
      <x:c r="BC141" s="43" t="str">
        <x:v>1.6352</x:v>
      </x:c>
      <x:c r="BD141" s="43" t="str"/>
      <x:c r="BE141" s="43" t="str">
        <x:v>4.2105</x:v>
      </x:c>
      <x:c r="BF141" s="43" t="str">
        <x:v>2.1751</x:v>
      </x:c>
      <x:c r="BG141" s="43" t="str">
        <x:v>19</x:v>
      </x:c>
      <x:c r="BH141" s="43" t="str">
        <x:v>0.499</x:v>
      </x:c>
      <x:c r="BI141" s="43" t="str"/>
      <x:c r="BJ141" s="43" t="str">
        <x:v>Extracted all from raw data</x:v>
      </x:c>
      <x:c r="BK141" s="43" t="str">
        <x:v>Data  provided by Abramova on request</x:v>
      </x:c>
      <x:c r="BL141" s="43" t="str"/>
      <x:c r="BM141" s="43" t="str"/>
      <x:c r="BN141" s="43" t="str"/>
      <x:c r="BO141" s="43" t="str"/>
      <x:c r="BP141" s="43" t="str"/>
      <x:c r="BQ141" s="43" t="str"/>
      <x:c r="BR141" s="43" t="str">
        <x:v>yes</x:v>
      </x:c>
      <x:c r="BS141" s="43" t="str">
        <x:v>adjust comments text</x:v>
      </x:c>
      <x:c r="BT141" s="43" t="str"/>
      <x:c r="BU141" s="43" t="str"/>
      <x:c r="BV141" s="43" t="str"/>
      <x:c r="BW141" s="43" t="str">
        <x:v>1.308466</x:v>
      </x:c>
      <x:c r="BX141" s="43" t="str">
        <x:v>SD / sqrt(n), using descriptive statistics calculated from author raw data</x:v>
      </x:c>
      <x:c r="BY141" s="43" t="str">
        <x:v>included_studies/abramova_2020_genpath/abramova2020_descriptives.xlsx, tidy_all</x:v>
      </x:c>
      <x:c r="BZ141" s="43" t="str"/>
      <x:c r="CA141" s="43" t="str">
        <x:v>0.499002</x:v>
      </x:c>
      <x:c r="CB141" s="43" t="str">
        <x:v>SD / sqrt(n), using descriptive statistics calculated from author raw data</x:v>
      </x:c>
      <x:c r="CC141" s="43" t="str">
        <x:v>included_studies/abramova_2020_genpath/abramova2020_descriptives.xlsx, tidy_all</x:v>
      </x:c>
      <x:c r="CD141" s="43" t="str">
        <x:v>Corrected derived value</x:v>
      </x:c>
      <x:c r="CE141" s="43" t="str">
        <x:v>5 – Abramova 2020 derived SEs</x:v>
      </x:c>
      <x:c r="CF141" s="43" t="str">
        <x:v>The analysis SE is recalculated as SD/sqrt(n); no author-reported statistic is overwritten.</x:v>
      </x:c>
    </x:row>
    <x:row r="142">
      <x:c r="A142" s="43" t="str">
        <x:v>142</x:v>
      </x:c>
      <x:c r="B142" s="43" t="str">
        <x:v>abramova_2020_genpath</x:v>
      </x:c>
      <x:c r="C142" s="43" t="str">
        <x:v>ex024</x:v>
      </x:c>
      <x:c r="D142" s="43" t="str">
        <x:v>con020</x:v>
      </x:c>
      <x:c r="E142" s="43" t="str">
        <x:v>out066</x:v>
      </x:c>
      <x:c r="F142" s="43" t="str">
        <x:v>es141</x:v>
      </x:c>
      <x:c r="G142" s="43" t="str">
        <x:v>No</x:v>
      </x:c>
      <x:c r="H142" s="43" t="str">
        <x:v>They had one level of exposure, and two experimental groups, female and males, and one control per group</x:v>
      </x:c>
      <x:c r="I142" s="43" t="str">
        <x:v>Social and Cognitive Impairments in Rat Offspring after Ultrasound-Induced Prenatal Stress</x:v>
      </x:c>
      <x:c r="J142" s="43" t="str">
        <x:v>10.1007/s10517-020-04790-0</x:v>
      </x:c>
      <x:c r="K142" s="43" t="str">
        <x:v>General Pathology and Pathophysiology</x:v>
      </x:c>
      <x:c r="L142" s="43" t="str">
        <x:v>Only one assay </x:v>
      </x:c>
      <x:c r="M142" s="43" t="str">
        <x:v>Rattus norvegicus</x:v>
      </x:c>
      <x:c r="N142" s="43" t="str">
        <x:v>albino lab rat</x:v>
      </x:c>
      <x:c r="O142" s="43" t="str">
        <x:v>Sprague-Dawley</x:v>
      </x:c>
      <x:c r="P142" s="43" t="str"/>
      <x:c r="Q142" s="43" t="str">
        <x:v>not reported</x:v>
      </x:c>
      <x:c r="R142" s="43" t="str">
        <x:v>early, mid, late</x:v>
      </x:c>
      <x:c r="S142" s="43" t="str">
        <x:v>all gestation</x:v>
      </x:c>
      <x:c r="T142" s="43" t="str">
        <x:v>21</x:v>
      </x:c>
      <x:c r="U142" s="43" t="str">
        <x:v>Continuous</x:v>
      </x:c>
      <x:c r="V142" s="43" t="str">
        <x:v>24.0</x:v>
      </x:c>
      <x:c r="W142" s="43" t="str">
        <x:v>Expossed to continuous variable frequencies </x:v>
      </x:c>
      <x:c r="X142" s="43" t="str">
        <x:v>Ultrasound</x:v>
      </x:c>
      <x:c r="Y142" s="43" t="str">
        <x:v>Ultrasound</x:v>
      </x:c>
      <x:c r="Z142" s="43" t="str">
        <x:v>50</x:v>
      </x:c>
      <x:c r="AA142" s="43" t="str">
        <x:v>20,000-45,000</x:v>
      </x:c>
      <x:c r="AB142" s="43" t="str">
        <x:v>Ambient sound</x:v>
      </x:c>
      <x:c r="AC142" s="43" t="str"/>
      <x:c r="AD142" s="43" t="str">
        <x:v>"under normal conditions without ultrasound"</x:v>
      </x:c>
      <x:c r="AE142" s="43" t="str">
        <x:v>female</x:v>
      </x:c>
      <x:c r="AF142" s="43" t="str">
        <x:v>90</x:v>
      </x:c>
      <x:c r="AG142" s="43" t="str">
        <x:v>3 months</x:v>
      </x:c>
      <x:c r="AH142" s="43" t="str">
        <x:v>none</x:v>
      </x:c>
      <x:c r="AI142" s="43" t="str"/>
      <x:c r="AJ142" s="43" t="str">
        <x:v>Anxiety</x:v>
      </x:c>
      <x:c r="AK142" s="43" t="str">
        <x:v>Open Field Test (OFT)</x:v>
      </x:c>
      <x:c r="AL142" s="43" t="str"/>
      <x:c r="AM142" s="43" t="str">
        <x:v>Grooming frequency</x:v>
      </x:c>
      <x:c r="AN142" s="43" t="str">
        <x:v>Count</x:v>
      </x:c>
      <x:c r="AO142" s="43" t="str">
        <x:v>Count</x:v>
      </x:c>
      <x:c r="AP142" s="43" t="str">
        <x:v>Light phase</x:v>
      </x:c>
      <x:c r="AQ142" s="43" t="str">
        <x:v>raw data</x:v>
      </x:c>
      <x:c r="AR142" s="43" t="str">
        <x:v>abramova_2020_genpath</x:v>
      </x:c>
      <x:c r="AS142" s="43" t="str">
        <x:v>CO-f-grf</x:v>
      </x:c>
      <x:c r="AT142" s="43" t="str">
        <x:v>US-f-g1-grf</x:v>
      </x:c>
      <x:c r="AU142" s="43" t="str">
        <x:v>KO_US_f_grf</x:v>
      </x:c>
      <x:c r="AV142" s="43" t="str">
        <x:v>Independent</x:v>
      </x:c>
      <x:c r="AW142" s="43" t="str">
        <x:v>No</x:v>
      </x:c>
      <x:c r="AX142" s="43" t="str">
        <x:v>Positive</x:v>
      </x:c>
      <x:c r="AY142" s="43" t="str"/>
      <x:c r="AZ142" s="43" t="str">
        <x:v>2.875</x:v>
      </x:c>
      <x:c r="BA142" s="43" t="str">
        <x:v>1.8077</x:v>
      </x:c>
      <x:c r="BB142" s="43" t="str">
        <x:v>8</x:v>
      </x:c>
      <x:c r="BC142" s="43" t="str">
        <x:v>1.0165</x:v>
      </x:c>
      <x:c r="BD142" s="43" t="str"/>
      <x:c r="BE142" s="43" t="str">
        <x:v>3.0</x:v>
      </x:c>
      <x:c r="BF142" s="43" t="str">
        <x:v>1.3663</x:v>
      </x:c>
      <x:c r="BG142" s="43" t="str">
        <x:v>16</x:v>
      </x:c>
      <x:c r="BH142" s="43" t="str">
        <x:v>0.75</x:v>
      </x:c>
      <x:c r="BI142" s="43" t="str"/>
      <x:c r="BJ142" s="43" t="str">
        <x:v>Extracted all from raw data</x:v>
      </x:c>
      <x:c r="BK142" s="43" t="str">
        <x:v>Data  provided by Abramova on request</x:v>
      </x:c>
      <x:c r="BL142" s="43" t="str"/>
      <x:c r="BM142" s="43" t="str"/>
      <x:c r="BN142" s="43" t="str"/>
      <x:c r="BO142" s="43" t="str"/>
      <x:c r="BP142" s="43" t="str"/>
      <x:c r="BQ142" s="43" t="str"/>
      <x:c r="BR142" s="43" t="str">
        <x:v>yes</x:v>
      </x:c>
      <x:c r="BS142" s="43" t="str">
        <x:v>adjust comments text</x:v>
      </x:c>
      <x:c r="BT142" s="43" t="str"/>
      <x:c r="BU142" s="43" t="str"/>
      <x:c r="BV142" s="43" t="str"/>
      <x:c r="BW142" s="43" t="str">
        <x:v>0.639118</x:v>
      </x:c>
      <x:c r="BX142" s="43" t="str">
        <x:v>SD / sqrt(n), using descriptive statistics calculated from author raw data</x:v>
      </x:c>
      <x:c r="BY142" s="43" t="str">
        <x:v>included_studies/abramova_2020_genpath/abramova2020_descriptives.xlsx, tidy_all</x:v>
      </x:c>
      <x:c r="BZ142" s="43" t="str"/>
      <x:c r="CA142" s="43" t="str">
        <x:v>0.341575</x:v>
      </x:c>
      <x:c r="CB142" s="43" t="str">
        <x:v>SD / sqrt(n), using descriptive statistics calculated from author raw data</x:v>
      </x:c>
      <x:c r="CC142" s="43" t="str">
        <x:v>included_studies/abramova_2020_genpath/abramova2020_descriptives.xlsx, tidy_all</x:v>
      </x:c>
      <x:c r="CD142" s="43" t="str">
        <x:v>Corrected derived value</x:v>
      </x:c>
      <x:c r="CE142" s="43" t="str">
        <x:v>5 – Abramova 2020 derived SEs</x:v>
      </x:c>
      <x:c r="CF142" s="43" t="str">
        <x:v>The analysis SE is recalculated as SD/sqrt(n); no author-reported statistic is overwritten.</x:v>
      </x:c>
    </x:row>
    <x:row r="143">
      <x:c r="A143" s="43" t="str">
        <x:v>143</x:v>
      </x:c>
      <x:c r="B143" s="43" t="str">
        <x:v>abramova_2020_genpath</x:v>
      </x:c>
      <x:c r="C143" s="43" t="str">
        <x:v>ex023</x:v>
      </x:c>
      <x:c r="D143" s="43" t="str">
        <x:v>con019</x:v>
      </x:c>
      <x:c r="E143" s="43" t="str">
        <x:v>out067</x:v>
      </x:c>
      <x:c r="F143" s="43" t="str">
        <x:v>es142</x:v>
      </x:c>
      <x:c r="G143" s="43" t="str">
        <x:v>No</x:v>
      </x:c>
      <x:c r="H143" s="43" t="str">
        <x:v>They had one level of exposure, and two experimental groups, female and males, and one control per group</x:v>
      </x:c>
      <x:c r="I143" s="43" t="str">
        <x:v>Social and Cognitive Impairments in Rat Offspring after Ultrasound-Induced Prenatal Stress</x:v>
      </x:c>
      <x:c r="J143" s="43" t="str">
        <x:v>10.1007/s10517-020-04790-0</x:v>
      </x:c>
      <x:c r="K143" s="43" t="str">
        <x:v>General Pathology and Pathophysiology</x:v>
      </x:c>
      <x:c r="L143" s="43" t="str">
        <x:v>Only one assay </x:v>
      </x:c>
      <x:c r="M143" s="43" t="str">
        <x:v>Rattus norvegicus</x:v>
      </x:c>
      <x:c r="N143" s="43" t="str">
        <x:v>albino lab rat</x:v>
      </x:c>
      <x:c r="O143" s="43" t="str">
        <x:v>Sprague-Dawley</x:v>
      </x:c>
      <x:c r="P143" s="43" t="str"/>
      <x:c r="Q143" s="43" t="str">
        <x:v>not reported</x:v>
      </x:c>
      <x:c r="R143" s="43" t="str">
        <x:v>early, mid, late</x:v>
      </x:c>
      <x:c r="S143" s="43" t="str">
        <x:v>all gestation</x:v>
      </x:c>
      <x:c r="T143" s="43" t="str">
        <x:v>21</x:v>
      </x:c>
      <x:c r="U143" s="43" t="str">
        <x:v>Continuous</x:v>
      </x:c>
      <x:c r="V143" s="43" t="str">
        <x:v>24.0</x:v>
      </x:c>
      <x:c r="W143" s="43" t="str">
        <x:v>Expossed to continuous variable frequencies </x:v>
      </x:c>
      <x:c r="X143" s="43" t="str">
        <x:v>Ultrasound</x:v>
      </x:c>
      <x:c r="Y143" s="43" t="str">
        <x:v>Ultrasound</x:v>
      </x:c>
      <x:c r="Z143" s="43" t="str">
        <x:v>50</x:v>
      </x:c>
      <x:c r="AA143" s="43" t="str">
        <x:v>20,000-45,000</x:v>
      </x:c>
      <x:c r="AB143" s="43" t="str">
        <x:v>Ambient sound</x:v>
      </x:c>
      <x:c r="AC143" s="43" t="str"/>
      <x:c r="AD143" s="43" t="str">
        <x:v>"under normal conditions without ultrasound"</x:v>
      </x:c>
      <x:c r="AE143" s="43" t="str">
        <x:v>male</x:v>
      </x:c>
      <x:c r="AF143" s="43" t="str">
        <x:v>90</x:v>
      </x:c>
      <x:c r="AG143" s="43" t="str">
        <x:v>3 months</x:v>
      </x:c>
      <x:c r="AH143" s="43" t="str">
        <x:v>none</x:v>
      </x:c>
      <x:c r="AI143" s="43" t="str"/>
      <x:c r="AJ143" s="43" t="str">
        <x:v>Anxiety</x:v>
      </x:c>
      <x:c r="AK143" s="43" t="str">
        <x:v>Elevated Plus Maze (EPM)</x:v>
      </x:c>
      <x:c r="AL143" s="43" t="str"/>
      <x:c r="AM143" s="43" t="str">
        <x:v>Total time in dark</x:v>
      </x:c>
      <x:c r="AN143" s="43" t="str">
        <x:v>Time</x:v>
      </x:c>
      <x:c r="AO143" s="43" t="str">
        <x:v>s</x:v>
      </x:c>
      <x:c r="AP143" s="43" t="str">
        <x:v>Light phase</x:v>
      </x:c>
      <x:c r="AQ143" s="43" t="str">
        <x:v>raw data</x:v>
      </x:c>
      <x:c r="AR143" s="43" t="str">
        <x:v>abramova_2020_genpath</x:v>
      </x:c>
      <x:c r="AS143" s="43" t="str">
        <x:v>KO-m-grf</x:v>
      </x:c>
      <x:c r="AT143" s="43" t="str">
        <x:v>US-m-g1</x:v>
      </x:c>
      <x:c r="AU143" s="43" t="str">
        <x:v>KO_US_m_d</x:v>
      </x:c>
      <x:c r="AV143" s="43" t="str">
        <x:v>Independent</x:v>
      </x:c>
      <x:c r="AW143" s="43" t="str">
        <x:v>No</x:v>
      </x:c>
      <x:c r="AX143" s="43" t="str">
        <x:v>Positive</x:v>
      </x:c>
      <x:c r="AY143" s="43" t="str"/>
      <x:c r="AZ143" s="43" t="str">
        <x:v>282.218</x:v>
      </x:c>
      <x:c r="BA143" s="43" t="str">
        <x:v>17.0866</x:v>
      </x:c>
      <x:c r="BB143" s="43" t="str">
        <x:v>20</x:v>
      </x:c>
      <x:c r="BC143" s="43" t="str">
        <x:v>63.1059</x:v>
      </x:c>
      <x:c r="BD143" s="43" t="str"/>
      <x:c r="BE143" s="43" t="str">
        <x:v>253.7111</x:v>
      </x:c>
      <x:c r="BF143" s="43" t="str">
        <x:v>39.4675</x:v>
      </x:c>
      <x:c r="BG143" s="43" t="str">
        <x:v>19</x:v>
      </x:c>
      <x:c r="BH143" s="43" t="str">
        <x:v>9.0545</x:v>
      </x:c>
      <x:c r="BI143" s="43" t="str"/>
      <x:c r="BJ143" s="43" t="str">
        <x:v>Extracted all from raw data</x:v>
      </x:c>
      <x:c r="BK143" s="43" t="str">
        <x:v>Data  provided by Abramova on request</x:v>
      </x:c>
      <x:c r="BL143" s="43" t="str"/>
      <x:c r="BM143" s="43" t="str"/>
      <x:c r="BN143" s="43" t="str"/>
      <x:c r="BO143" s="43" t="str"/>
      <x:c r="BP143" s="43" t="str"/>
      <x:c r="BQ143" s="43" t="str"/>
      <x:c r="BR143" s="43" t="str">
        <x:v>yes</x:v>
      </x:c>
      <x:c r="BS143" s="43" t="str">
        <x:v>adjust comments text</x:v>
      </x:c>
      <x:c r="BT143" s="43" t="str"/>
      <x:c r="BU143" s="43" t="str"/>
      <x:c r="BV143" s="43" t="str"/>
      <x:c r="BW143" s="43" t="str">
        <x:v>3.82068</x:v>
      </x:c>
      <x:c r="BX143" s="43" t="str">
        <x:v>SD / sqrt(n), using descriptive statistics calculated from author raw data</x:v>
      </x:c>
      <x:c r="BY143" s="43" t="str">
        <x:v>included_studies/abramova_2020_genpath/abramova2020_descriptives.xlsx, tidy_all</x:v>
      </x:c>
      <x:c r="BZ143" s="43" t="str"/>
      <x:c r="CA143" s="43" t="str">
        <x:v>9.054465</x:v>
      </x:c>
      <x:c r="CB143" s="43" t="str">
        <x:v>SD / sqrt(n), using descriptive statistics calculated from author raw data</x:v>
      </x:c>
      <x:c r="CC143" s="43" t="str">
        <x:v>included_studies/abramova_2020_genpath/abramova2020_descriptives.xlsx, tidy_all</x:v>
      </x:c>
      <x:c r="CD143" s="43" t="str">
        <x:v>Corrected derived value</x:v>
      </x:c>
      <x:c r="CE143" s="43" t="str">
        <x:v>5 – Abramova 2020 derived SEs</x:v>
      </x:c>
      <x:c r="CF143" s="43" t="str">
        <x:v>The analysis SE is recalculated as SD/sqrt(n); no author-reported statistic is overwritten.</x:v>
      </x:c>
    </x:row>
    <x:row r="144">
      <x:c r="A144" s="43" t="str">
        <x:v>144</x:v>
      </x:c>
      <x:c r="B144" s="43" t="str">
        <x:v>abramova_2020_genpath</x:v>
      </x:c>
      <x:c r="C144" s="43" t="str">
        <x:v>ex024</x:v>
      </x:c>
      <x:c r="D144" s="43" t="str">
        <x:v>con020</x:v>
      </x:c>
      <x:c r="E144" s="43" t="str">
        <x:v>out067</x:v>
      </x:c>
      <x:c r="F144" s="43" t="str">
        <x:v>es143</x:v>
      </x:c>
      <x:c r="G144" s="43" t="str">
        <x:v>No</x:v>
      </x:c>
      <x:c r="H144" s="43" t="str">
        <x:v>They had one level of exposure, and two experimental groups, female and males, and one control per group</x:v>
      </x:c>
      <x:c r="I144" s="43" t="str">
        <x:v>Social and Cognitive Impairments in Rat Offspring after Ultrasound-Induced Prenatal Stress</x:v>
      </x:c>
      <x:c r="J144" s="43" t="str">
        <x:v>10.1007/s10517-020-04790-0</x:v>
      </x:c>
      <x:c r="K144" s="43" t="str">
        <x:v>General Pathology and Pathophysiology</x:v>
      </x:c>
      <x:c r="L144" s="43" t="str">
        <x:v>Only one assay </x:v>
      </x:c>
      <x:c r="M144" s="43" t="str">
        <x:v>Rattus norvegicus</x:v>
      </x:c>
      <x:c r="N144" s="43" t="str">
        <x:v>albino lab rat</x:v>
      </x:c>
      <x:c r="O144" s="43" t="str">
        <x:v>Sprague-Dawley</x:v>
      </x:c>
      <x:c r="P144" s="43" t="str"/>
      <x:c r="Q144" s="43" t="str">
        <x:v>not reported</x:v>
      </x:c>
      <x:c r="R144" s="43" t="str">
        <x:v>early, mid, late</x:v>
      </x:c>
      <x:c r="S144" s="43" t="str">
        <x:v>all gestation</x:v>
      </x:c>
      <x:c r="T144" s="43" t="str">
        <x:v>21</x:v>
      </x:c>
      <x:c r="U144" s="43" t="str">
        <x:v>Continuous</x:v>
      </x:c>
      <x:c r="V144" s="43" t="str">
        <x:v>24.0</x:v>
      </x:c>
      <x:c r="W144" s="43" t="str">
        <x:v>Expossed to continuous variable frequencies </x:v>
      </x:c>
      <x:c r="X144" s="43" t="str">
        <x:v>Ultrasound</x:v>
      </x:c>
      <x:c r="Y144" s="43" t="str">
        <x:v>Ultrasound</x:v>
      </x:c>
      <x:c r="Z144" s="43" t="str">
        <x:v>50</x:v>
      </x:c>
      <x:c r="AA144" s="43" t="str">
        <x:v>20,000-45,000</x:v>
      </x:c>
      <x:c r="AB144" s="43" t="str">
        <x:v>Ambient sound</x:v>
      </x:c>
      <x:c r="AC144" s="43" t="str"/>
      <x:c r="AD144" s="43" t="str">
        <x:v>"under normal conditions without ultrasound"</x:v>
      </x:c>
      <x:c r="AE144" s="43" t="str">
        <x:v>female</x:v>
      </x:c>
      <x:c r="AF144" s="43" t="str">
        <x:v>90</x:v>
      </x:c>
      <x:c r="AG144" s="43" t="str">
        <x:v>3 months</x:v>
      </x:c>
      <x:c r="AH144" s="43" t="str">
        <x:v>none</x:v>
      </x:c>
      <x:c r="AI144" s="43" t="str"/>
      <x:c r="AJ144" s="43" t="str">
        <x:v>Anxiety</x:v>
      </x:c>
      <x:c r="AK144" s="43" t="str">
        <x:v>Elevated Plus Maze (EPM)</x:v>
      </x:c>
      <x:c r="AL144" s="43" t="str"/>
      <x:c r="AM144" s="43" t="str">
        <x:v>Total time in dark</x:v>
      </x:c>
      <x:c r="AN144" s="43" t="str">
        <x:v>Time</x:v>
      </x:c>
      <x:c r="AO144" s="43" t="str">
        <x:v>s</x:v>
      </x:c>
      <x:c r="AP144" s="43" t="str">
        <x:v>Light phase</x:v>
      </x:c>
      <x:c r="AQ144" s="43" t="str">
        <x:v>raw data</x:v>
      </x:c>
      <x:c r="AR144" s="43" t="str">
        <x:v>abramova_2020_genpath</x:v>
      </x:c>
      <x:c r="AS144" s="43" t="str">
        <x:v>CO-f-grf</x:v>
      </x:c>
      <x:c r="AT144" s="43" t="str">
        <x:v>US-f-g1</x:v>
      </x:c>
      <x:c r="AU144" s="43" t="str">
        <x:v>CO_US_f_d</x:v>
      </x:c>
      <x:c r="AV144" s="43" t="str">
        <x:v>Independent</x:v>
      </x:c>
      <x:c r="AW144" s="43" t="str">
        <x:v>No</x:v>
      </x:c>
      <x:c r="AX144" s="43" t="str">
        <x:v>Positive</x:v>
      </x:c>
      <x:c r="AY144" s="43" t="str"/>
      <x:c r="AZ144" s="43" t="str">
        <x:v>270.4478</x:v>
      </x:c>
      <x:c r="BA144" s="43" t="str">
        <x:v>23.5988</x:v>
      </x:c>
      <x:c r="BB144" s="43" t="str">
        <x:v>18</x:v>
      </x:c>
      <x:c r="BC144" s="43" t="str">
        <x:v>63.7452</x:v>
      </x:c>
      <x:c r="BD144" s="43" t="str"/>
      <x:c r="BE144" s="43" t="str">
        <x:v>242.4406</x:v>
      </x:c>
      <x:c r="BF144" s="43" t="str">
        <x:v>43.8737</x:v>
      </x:c>
      <x:c r="BG144" s="43" t="str">
        <x:v>16</x:v>
      </x:c>
      <x:c r="BH144" s="43" t="str">
        <x:v>10.9684</x:v>
      </x:c>
      <x:c r="BI144" s="43" t="str"/>
      <x:c r="BJ144" s="43" t="str">
        <x:v>Extracted all from raw data</x:v>
      </x:c>
      <x:c r="BK144" s="43" t="str">
        <x:v>Data  provided by Abramova on request</x:v>
      </x:c>
      <x:c r="BL144" s="43" t="str"/>
      <x:c r="BM144" s="43" t="str"/>
      <x:c r="BN144" s="43" t="str"/>
      <x:c r="BO144" s="43" t="str"/>
      <x:c r="BP144" s="43" t="str"/>
      <x:c r="BQ144" s="43" t="str"/>
      <x:c r="BR144" s="43" t="str">
        <x:v>yes</x:v>
      </x:c>
      <x:c r="BS144" s="43" t="str">
        <x:v>adjust comments text</x:v>
      </x:c>
      <x:c r="BT144" s="43" t="str"/>
      <x:c r="BU144" s="43" t="str"/>
      <x:c r="BV144" s="43" t="str"/>
      <x:c r="BW144" s="43" t="str">
        <x:v>5.562291</x:v>
      </x:c>
      <x:c r="BX144" s="43" t="str">
        <x:v>SD / sqrt(n), using descriptive statistics calculated from author raw data</x:v>
      </x:c>
      <x:c r="BY144" s="43" t="str">
        <x:v>included_studies/abramova_2020_genpath/abramova2020_descriptives.xlsx, tidy_all</x:v>
      </x:c>
      <x:c r="BZ144" s="43" t="str"/>
      <x:c r="CA144" s="43" t="str">
        <x:v>10.968425</x:v>
      </x:c>
      <x:c r="CB144" s="43" t="str">
        <x:v>SD / sqrt(n), using descriptive statistics calculated from author raw data</x:v>
      </x:c>
      <x:c r="CC144" s="43" t="str">
        <x:v>included_studies/abramova_2020_genpath/abramova2020_descriptives.xlsx, tidy_all</x:v>
      </x:c>
      <x:c r="CD144" s="43" t="str">
        <x:v>Corrected derived value</x:v>
      </x:c>
      <x:c r="CE144" s="43" t="str">
        <x:v>5 – Abramova 2020 derived SEs</x:v>
      </x:c>
      <x:c r="CF144" s="43" t="str">
        <x:v>The analysis SE is recalculated as SD/sqrt(n); no author-reported statistic is overwritten.</x:v>
      </x:c>
    </x:row>
    <x:row r="145">
      <x:c r="A145" s="43" t="str">
        <x:v>145</x:v>
      </x:c>
      <x:c r="B145" s="43" t="str">
        <x:v>abramova_2020_genpath</x:v>
      </x:c>
      <x:c r="C145" s="43" t="str">
        <x:v>ex023</x:v>
      </x:c>
      <x:c r="D145" s="43" t="str">
        <x:v>con019</x:v>
      </x:c>
      <x:c r="E145" s="43" t="str">
        <x:v>out068</x:v>
      </x:c>
      <x:c r="F145" s="43" t="str">
        <x:v>es144</x:v>
      </x:c>
      <x:c r="G145" s="43" t="str">
        <x:v>No</x:v>
      </x:c>
      <x:c r="H145" s="43" t="str">
        <x:v>They had one level of exposure, and two experimental groups, female and males, and one control per group</x:v>
      </x:c>
      <x:c r="I145" s="43" t="str">
        <x:v>Social and Cognitive Impairments in Rat Offspring after Ultrasound-Induced Prenatal Stress</x:v>
      </x:c>
      <x:c r="J145" s="43" t="str">
        <x:v>10.1007/s10517-020-04790-0</x:v>
      </x:c>
      <x:c r="K145" s="43" t="str">
        <x:v>General Pathology and Pathophysiology</x:v>
      </x:c>
      <x:c r="L145" s="43" t="str">
        <x:v>Only one assay </x:v>
      </x:c>
      <x:c r="M145" s="43" t="str">
        <x:v>Rattus norvegicus</x:v>
      </x:c>
      <x:c r="N145" s="43" t="str">
        <x:v>albino lab rat</x:v>
      </x:c>
      <x:c r="O145" s="43" t="str">
        <x:v>Sprague-Dawley</x:v>
      </x:c>
      <x:c r="P145" s="43" t="str"/>
      <x:c r="Q145" s="43" t="str">
        <x:v>not reported</x:v>
      </x:c>
      <x:c r="R145" s="43" t="str">
        <x:v>early, mid, late</x:v>
      </x:c>
      <x:c r="S145" s="43" t="str">
        <x:v>all gestation</x:v>
      </x:c>
      <x:c r="T145" s="43" t="str">
        <x:v>21</x:v>
      </x:c>
      <x:c r="U145" s="43" t="str">
        <x:v>Continuous</x:v>
      </x:c>
      <x:c r="V145" s="43" t="str">
        <x:v>24.0</x:v>
      </x:c>
      <x:c r="W145" s="43" t="str">
        <x:v>Expossed to continuous variable frequencies </x:v>
      </x:c>
      <x:c r="X145" s="43" t="str">
        <x:v>Ultrasound</x:v>
      </x:c>
      <x:c r="Y145" s="43" t="str">
        <x:v>Ultrasound</x:v>
      </x:c>
      <x:c r="Z145" s="43" t="str">
        <x:v>50</x:v>
      </x:c>
      <x:c r="AA145" s="43" t="str">
        <x:v>20,000-45,000</x:v>
      </x:c>
      <x:c r="AB145" s="43" t="str">
        <x:v>Ambient sound</x:v>
      </x:c>
      <x:c r="AC145" s="43" t="str"/>
      <x:c r="AD145" s="43" t="str">
        <x:v>"under normal conditions without ultrasound"</x:v>
      </x:c>
      <x:c r="AE145" s="43" t="str">
        <x:v>male</x:v>
      </x:c>
      <x:c r="AF145" s="43" t="str">
        <x:v>90</x:v>
      </x:c>
      <x:c r="AG145" s="43" t="str">
        <x:v>3 months</x:v>
      </x:c>
      <x:c r="AH145" s="43" t="str">
        <x:v>none</x:v>
      </x:c>
      <x:c r="AI145" s="43" t="str"/>
      <x:c r="AJ145" s="43" t="str">
        <x:v>Anxiety</x:v>
      </x:c>
      <x:c r="AK145" s="43" t="str">
        <x:v>Elevated Plus Maze (EPM)</x:v>
      </x:c>
      <x:c r="AL145" s="43" t="str"/>
      <x:c r="AM145" s="43" t="str">
        <x:v>Total time in light</x:v>
      </x:c>
      <x:c r="AN145" s="43" t="str">
        <x:v>Time</x:v>
      </x:c>
      <x:c r="AO145" s="43" t="str">
        <x:v>s</x:v>
      </x:c>
      <x:c r="AP145" s="43" t="str">
        <x:v>Light phase</x:v>
      </x:c>
      <x:c r="AQ145" s="43" t="str">
        <x:v>raw data</x:v>
      </x:c>
      <x:c r="AR145" s="43" t="str">
        <x:v>abramova_2020_genpath</x:v>
      </x:c>
      <x:c r="AS145" s="43" t="str">
        <x:v>KO-m-d</x:v>
      </x:c>
      <x:c r="AT145" s="43" t="str">
        <x:v>US-m-g1</x:v>
      </x:c>
      <x:c r="AU145" s="43" t="str">
        <x:v>KO_US_m_li</x:v>
      </x:c>
      <x:c r="AV145" s="43" t="str">
        <x:v>Independent</x:v>
      </x:c>
      <x:c r="AW145" s="43" t="str">
        <x:v>Yes</x:v>
      </x:c>
      <x:c r="AX145" s="43" t="str">
        <x:v>Negative</x:v>
      </x:c>
      <x:c r="AY145" s="43" t="str"/>
      <x:c r="AZ145" s="43" t="str">
        <x:v>15.626</x:v>
      </x:c>
      <x:c r="BA145" s="43" t="str">
        <x:v>16.2996</x:v>
      </x:c>
      <x:c r="BB145" s="43" t="str">
        <x:v>20</x:v>
      </x:c>
      <x:c r="BC145" s="43" t="str">
        <x:v>3.4941</x:v>
      </x:c>
      <x:c r="BD145" s="43" t="str"/>
      <x:c r="BE145" s="43" t="str">
        <x:v>42.7837</x:v>
      </x:c>
      <x:c r="BF145" s="43" t="str">
        <x:v>38.8467</x:v>
      </x:c>
      <x:c r="BG145" s="43" t="str">
        <x:v>19</x:v>
      </x:c>
      <x:c r="BH145" s="43" t="str">
        <x:v>8.912</x:v>
      </x:c>
      <x:c r="BI145" s="43" t="str"/>
      <x:c r="BJ145" s="43" t="str">
        <x:v>Extracted all from raw data</x:v>
      </x:c>
      <x:c r="BK145" s="43" t="str">
        <x:v>Data  provided by Abramova on request</x:v>
      </x:c>
      <x:c r="BL145" s="43" t="str"/>
      <x:c r="BM145" s="43" t="str"/>
      <x:c r="BN145" s="43" t="str"/>
      <x:c r="BO145" s="43" t="str"/>
      <x:c r="BP145" s="43" t="str"/>
      <x:c r="BQ145" s="43" t="str"/>
      <x:c r="BR145" s="43" t="str">
        <x:v>yes</x:v>
      </x:c>
      <x:c r="BS145" s="43" t="str">
        <x:v>adjust comments text</x:v>
      </x:c>
      <x:c r="BT145" s="43" t="str"/>
      <x:c r="BU145" s="43" t="str"/>
      <x:c r="BV145" s="43" t="str"/>
      <x:c r="BW145" s="43" t="str">
        <x:v>3.644701</x:v>
      </x:c>
      <x:c r="BX145" s="43" t="str">
        <x:v>SD / sqrt(n), using descriptive statistics calculated from author raw data</x:v>
      </x:c>
      <x:c r="BY145" s="43" t="str">
        <x:v>included_studies/abramova_2020_genpath/abramova2020_descriptives.xlsx, tidy_all</x:v>
      </x:c>
      <x:c r="BZ145" s="43" t="str"/>
      <x:c r="CA145" s="43" t="str">
        <x:v>8.912044</x:v>
      </x:c>
      <x:c r="CB145" s="43" t="str">
        <x:v>SD / sqrt(n), using descriptive statistics calculated from author raw data</x:v>
      </x:c>
      <x:c r="CC145" s="43" t="str">
        <x:v>included_studies/abramova_2020_genpath/abramova2020_descriptives.xlsx, tidy_all</x:v>
      </x:c>
      <x:c r="CD145" s="43" t="str">
        <x:v>Corrected derived value</x:v>
      </x:c>
      <x:c r="CE145" s="43" t="str">
        <x:v>5 – Abramova 2020 derived SEs</x:v>
      </x:c>
      <x:c r="CF145" s="43" t="str">
        <x:v>The analysis SE is recalculated as SD/sqrt(n); no author-reported statistic is overwritten.</x:v>
      </x:c>
    </x:row>
    <x:row r="146">
      <x:c r="A146" s="43" t="str">
        <x:v>146</x:v>
      </x:c>
      <x:c r="B146" s="43" t="str">
        <x:v>abramova_2020_genpath</x:v>
      </x:c>
      <x:c r="C146" s="43" t="str">
        <x:v>ex024</x:v>
      </x:c>
      <x:c r="D146" s="43" t="str">
        <x:v>con020</x:v>
      </x:c>
      <x:c r="E146" s="43" t="str">
        <x:v>out068</x:v>
      </x:c>
      <x:c r="F146" s="43" t="str">
        <x:v>es145</x:v>
      </x:c>
      <x:c r="G146" s="43" t="str">
        <x:v>No</x:v>
      </x:c>
      <x:c r="H146" s="43" t="str">
        <x:v>They had one level of exposure, and two experimental groups, female and males, and one control per group</x:v>
      </x:c>
      <x:c r="I146" s="43" t="str">
        <x:v>Social and Cognitive Impairments in Rat Offspring after Ultrasound-Induced Prenatal Stress</x:v>
      </x:c>
      <x:c r="J146" s="43" t="str">
        <x:v>10.1007/s10517-020-04790-0</x:v>
      </x:c>
      <x:c r="K146" s="43" t="str">
        <x:v>General Pathology and Pathophysiology</x:v>
      </x:c>
      <x:c r="L146" s="43" t="str">
        <x:v>Only one assay </x:v>
      </x:c>
      <x:c r="M146" s="43" t="str">
        <x:v>Rattus norvegicus</x:v>
      </x:c>
      <x:c r="N146" s="43" t="str">
        <x:v>albino lab rat</x:v>
      </x:c>
      <x:c r="O146" s="43" t="str">
        <x:v>Sprague-Dawley</x:v>
      </x:c>
      <x:c r="P146" s="43" t="str"/>
      <x:c r="Q146" s="43" t="str">
        <x:v>not reported</x:v>
      </x:c>
      <x:c r="R146" s="43" t="str">
        <x:v>early, mid, late</x:v>
      </x:c>
      <x:c r="S146" s="43" t="str">
        <x:v>all gestation</x:v>
      </x:c>
      <x:c r="T146" s="43" t="str">
        <x:v>21</x:v>
      </x:c>
      <x:c r="U146" s="43" t="str">
        <x:v>Continuous</x:v>
      </x:c>
      <x:c r="V146" s="43" t="str">
        <x:v>24.0</x:v>
      </x:c>
      <x:c r="W146" s="43" t="str">
        <x:v>Expossed to continuous variable frequencies </x:v>
      </x:c>
      <x:c r="X146" s="43" t="str">
        <x:v>Ultrasound</x:v>
      </x:c>
      <x:c r="Y146" s="43" t="str">
        <x:v>Ultrasound</x:v>
      </x:c>
      <x:c r="Z146" s="43" t="str">
        <x:v>50</x:v>
      </x:c>
      <x:c r="AA146" s="43" t="str">
        <x:v>20,000-45,000</x:v>
      </x:c>
      <x:c r="AB146" s="43" t="str">
        <x:v>Ambient sound</x:v>
      </x:c>
      <x:c r="AC146" s="43" t="str"/>
      <x:c r="AD146" s="43" t="str">
        <x:v>"under normal conditions without ultrasound"</x:v>
      </x:c>
      <x:c r="AE146" s="43" t="str">
        <x:v>female</x:v>
      </x:c>
      <x:c r="AF146" s="43" t="str">
        <x:v>90</x:v>
      </x:c>
      <x:c r="AG146" s="43" t="str">
        <x:v>3 months</x:v>
      </x:c>
      <x:c r="AH146" s="43" t="str">
        <x:v>none</x:v>
      </x:c>
      <x:c r="AI146" s="43" t="str"/>
      <x:c r="AJ146" s="43" t="str">
        <x:v>Anxiety</x:v>
      </x:c>
      <x:c r="AK146" s="43" t="str">
        <x:v>Elevated Plus Maze (EPM)</x:v>
      </x:c>
      <x:c r="AL146" s="43" t="str"/>
      <x:c r="AM146" s="43" t="str">
        <x:v>Total time in light</x:v>
      </x:c>
      <x:c r="AN146" s="43" t="str">
        <x:v>Time</x:v>
      </x:c>
      <x:c r="AO146" s="43" t="str">
        <x:v>s</x:v>
      </x:c>
      <x:c r="AP146" s="43" t="str">
        <x:v>Light phase</x:v>
      </x:c>
      <x:c r="AQ146" s="43" t="str">
        <x:v>raw data</x:v>
      </x:c>
      <x:c r="AR146" s="43" t="str">
        <x:v>abramova_2020_genpath</x:v>
      </x:c>
      <x:c r="AS146" s="43" t="str">
        <x:v>KO-f-d</x:v>
      </x:c>
      <x:c r="AT146" s="43" t="str">
        <x:v>US-f-g1</x:v>
      </x:c>
      <x:c r="AU146" s="43" t="str">
        <x:v>CO_US_f_li</x:v>
      </x:c>
      <x:c r="AV146" s="43" t="str">
        <x:v>Independent</x:v>
      </x:c>
      <x:c r="AW146" s="43" t="str">
        <x:v>Yes</x:v>
      </x:c>
      <x:c r="AX146" s="43" t="str">
        <x:v>Negative</x:v>
      </x:c>
      <x:c r="AY146" s="43" t="str"/>
      <x:c r="AZ146" s="43" t="str">
        <x:v>26.8306</x:v>
      </x:c>
      <x:c r="BA146" s="43" t="str">
        <x:v>21.928</x:v>
      </x:c>
      <x:c r="BB146" s="43" t="str">
        <x:v>18</x:v>
      </x:c>
      <x:c r="BC146" s="43" t="str">
        <x:v>6.324</x:v>
      </x:c>
      <x:c r="BD146" s="43" t="str"/>
      <x:c r="BE146" s="43" t="str">
        <x:v>49.9631</x:v>
      </x:c>
      <x:c r="BF146" s="43" t="str">
        <x:v>41.8416</x:v>
      </x:c>
      <x:c r="BG146" s="43" t="str">
        <x:v>16</x:v>
      </x:c>
      <x:c r="BH146" s="43" t="str">
        <x:v>10.4604</x:v>
      </x:c>
      <x:c r="BI146" s="43" t="str"/>
      <x:c r="BJ146" s="43" t="str">
        <x:v>Extracted all from raw data</x:v>
      </x:c>
      <x:c r="BK146" s="43" t="str">
        <x:v>Data  provided by Abramova on request</x:v>
      </x:c>
      <x:c r="BL146" s="43" t="str"/>
      <x:c r="BM146" s="43" t="str"/>
      <x:c r="BN146" s="43" t="str"/>
      <x:c r="BO146" s="43" t="str"/>
      <x:c r="BP146" s="43" t="str"/>
      <x:c r="BQ146" s="43" t="str"/>
      <x:c r="BR146" s="43" t="str">
        <x:v>yes</x:v>
      </x:c>
      <x:c r="BS146" s="43" t="str">
        <x:v>adjust comments text</x:v>
      </x:c>
      <x:c r="BT146" s="43" t="str"/>
      <x:c r="BU146" s="43" t="str"/>
      <x:c r="BV146" s="43" t="str"/>
      <x:c r="BW146" s="43" t="str">
        <x:v>5.168479</x:v>
      </x:c>
      <x:c r="BX146" s="43" t="str">
        <x:v>SD / sqrt(n), using descriptive statistics calculated from author raw data</x:v>
      </x:c>
      <x:c r="BY146" s="43" t="str">
        <x:v>included_studies/abramova_2020_genpath/abramova2020_descriptives.xlsx, tidy_all</x:v>
      </x:c>
      <x:c r="BZ146" s="43" t="str"/>
      <x:c r="CA146" s="43" t="str">
        <x:v>10.4604</x:v>
      </x:c>
      <x:c r="CB146" s="43" t="str">
        <x:v>SD / sqrt(n), using descriptive statistics calculated from author raw data</x:v>
      </x:c>
      <x:c r="CC146" s="43" t="str">
        <x:v>included_studies/abramova_2020_genpath/abramova2020_descriptives.xlsx, tidy_all</x:v>
      </x:c>
      <x:c r="CD146" s="43" t="str">
        <x:v>Corrected derived value</x:v>
      </x:c>
      <x:c r="CE146" s="43" t="str">
        <x:v>5 – Abramova 2020 derived SEs</x:v>
      </x:c>
      <x:c r="CF146" s="43" t="str">
        <x:v>The analysis SE is recalculated as SD/sqrt(n); no author-reported statistic is overwritten.</x:v>
      </x:c>
    </x:row>
    <x:row r="147">
      <x:c r="A147" s="43" t="str">
        <x:v>147</x:v>
      </x:c>
      <x:c r="B147" s="43" t="str">
        <x:v>abramova_2020_genpath</x:v>
      </x:c>
      <x:c r="C147" s="43" t="str">
        <x:v>ex023</x:v>
      </x:c>
      <x:c r="D147" s="43" t="str">
        <x:v>con019</x:v>
      </x:c>
      <x:c r="E147" s="43" t="str">
        <x:v>out069</x:v>
      </x:c>
      <x:c r="F147" s="43" t="str">
        <x:v>es146</x:v>
      </x:c>
      <x:c r="G147" s="43" t="str">
        <x:v>No</x:v>
      </x:c>
      <x:c r="H147" s="43" t="str">
        <x:v>They had one level of exposure, and two experimental groups, female and males, and one control per group</x:v>
      </x:c>
      <x:c r="I147" s="43" t="str">
        <x:v>Social and Cognitive Impairments in Rat Offspring after Ultrasound-Induced Prenatal Stress</x:v>
      </x:c>
      <x:c r="J147" s="43" t="str">
        <x:v>10.1007/s10517-020-04790-0</x:v>
      </x:c>
      <x:c r="K147" s="43" t="str">
        <x:v>General Pathology and Pathophysiology</x:v>
      </x:c>
      <x:c r="L147" s="43" t="str">
        <x:v>Only one assay </x:v>
      </x:c>
      <x:c r="M147" s="43" t="str">
        <x:v>Rattus norvegicus</x:v>
      </x:c>
      <x:c r="N147" s="43" t="str">
        <x:v>albino lab rat</x:v>
      </x:c>
      <x:c r="O147" s="43" t="str">
        <x:v>Sprague-Dawley</x:v>
      </x:c>
      <x:c r="P147" s="43" t="str"/>
      <x:c r="Q147" s="43" t="str">
        <x:v>not reported</x:v>
      </x:c>
      <x:c r="R147" s="43" t="str">
        <x:v>early, mid, late</x:v>
      </x:c>
      <x:c r="S147" s="43" t="str">
        <x:v>all gestation</x:v>
      </x:c>
      <x:c r="T147" s="43" t="str">
        <x:v>21</x:v>
      </x:c>
      <x:c r="U147" s="43" t="str">
        <x:v>Continuous</x:v>
      </x:c>
      <x:c r="V147" s="43" t="str">
        <x:v>24.0</x:v>
      </x:c>
      <x:c r="W147" s="43" t="str">
        <x:v>Expossed to continuous variable frequencies </x:v>
      </x:c>
      <x:c r="X147" s="43" t="str">
        <x:v>Ultrasound</x:v>
      </x:c>
      <x:c r="Y147" s="43" t="str">
        <x:v>Ultrasound</x:v>
      </x:c>
      <x:c r="Z147" s="43" t="str">
        <x:v>50</x:v>
      </x:c>
      <x:c r="AA147" s="43" t="str">
        <x:v>20,000-45,000</x:v>
      </x:c>
      <x:c r="AB147" s="43" t="str">
        <x:v>Ambient sound</x:v>
      </x:c>
      <x:c r="AC147" s="43" t="str"/>
      <x:c r="AD147" s="43" t="str">
        <x:v>"under normal conditions without ultrasound"</x:v>
      </x:c>
      <x:c r="AE147" s="43" t="str">
        <x:v>male</x:v>
      </x:c>
      <x:c r="AF147" s="43" t="str">
        <x:v>90</x:v>
      </x:c>
      <x:c r="AG147" s="43" t="str">
        <x:v>3 months</x:v>
      </x:c>
      <x:c r="AH147" s="43" t="str">
        <x:v>none</x:v>
      </x:c>
      <x:c r="AI147" s="43" t="str"/>
      <x:c r="AJ147" s="43" t="str">
        <x:v>Anxiety</x:v>
      </x:c>
      <x:c r="AK147" s="43" t="str">
        <x:v>Elevated Plus Maze (EPM)</x:v>
      </x:c>
      <x:c r="AL147" s="43" t="str"/>
      <x:c r="AM147" s="43" t="str">
        <x:v>Center entries (crossing)</x:v>
      </x:c>
      <x:c r="AN147" s="43" t="str">
        <x:v>Count</x:v>
      </x:c>
      <x:c r="AO147" s="43" t="str">
        <x:v>Count</x:v>
      </x:c>
      <x:c r="AP147" s="43" t="str">
        <x:v>Light phase</x:v>
      </x:c>
      <x:c r="AQ147" s="43" t="str">
        <x:v>raw data</x:v>
      </x:c>
      <x:c r="AR147" s="43" t="str">
        <x:v>abramova_2020_genpath</x:v>
      </x:c>
      <x:c r="AS147" s="43" t="str">
        <x:v>KO-m-l</x:v>
      </x:c>
      <x:c r="AT147" s="43" t="str">
        <x:v>US-m-g1</x:v>
      </x:c>
      <x:c r="AU147" s="43" t="str">
        <x:v>KO_US_m_tr</x:v>
      </x:c>
      <x:c r="AV147" s="43" t="str">
        <x:v>Independent</x:v>
      </x:c>
      <x:c r="AW147" s="43" t="str">
        <x:v>Yes</x:v>
      </x:c>
      <x:c r="AX147" s="43" t="str">
        <x:v>Negative</x:v>
      </x:c>
      <x:c r="AY147" s="43" t="str"/>
      <x:c r="AZ147" s="43" t="str">
        <x:v>1.95</x:v>
      </x:c>
      <x:c r="BA147" s="43" t="str">
        <x:v>2.0894</x:v>
      </x:c>
      <x:c r="BB147" s="43" t="str">
        <x:v>20</x:v>
      </x:c>
      <x:c r="BC147" s="43" t="str">
        <x:v>0.436</x:v>
      </x:c>
      <x:c r="BD147" s="43" t="str"/>
      <x:c r="BE147" s="43" t="str">
        <x:v>3.7895</x:v>
      </x:c>
      <x:c r="BF147" s="43" t="str">
        <x:v>3.1372</x:v>
      </x:c>
      <x:c r="BG147" s="43" t="str">
        <x:v>19</x:v>
      </x:c>
      <x:c r="BH147" s="43" t="str">
        <x:v>0.7197</x:v>
      </x:c>
      <x:c r="BI147" s="43" t="str"/>
      <x:c r="BJ147" s="43" t="str">
        <x:v>Extracted all from raw data</x:v>
      </x:c>
      <x:c r="BK147" s="43" t="str">
        <x:v>Data  provided by Abramova on request</x:v>
      </x:c>
      <x:c r="BL147" s="43" t="str"/>
      <x:c r="BM147" s="43" t="str"/>
      <x:c r="BN147" s="43" t="str"/>
      <x:c r="BO147" s="43" t="str"/>
      <x:c r="BP147" s="43" t="str"/>
      <x:c r="BQ147" s="43" t="str"/>
      <x:c r="BR147" s="43" t="str">
        <x:v>yes</x:v>
      </x:c>
      <x:c r="BS147" s="43" t="str">
        <x:v>adjust comments text</x:v>
      </x:c>
      <x:c r="BT147" s="43" t="str"/>
      <x:c r="BU147" s="43" t="str"/>
      <x:c r="BV147" s="43" t="str"/>
      <x:c r="BW147" s="43" t="str">
        <x:v>0.467204</x:v>
      </x:c>
      <x:c r="BX147" s="43" t="str">
        <x:v>SD / sqrt(n), using descriptive statistics calculated from author raw data</x:v>
      </x:c>
      <x:c r="BY147" s="43" t="str">
        <x:v>included_studies/abramova_2020_genpath/abramova2020_descriptives.xlsx, tidy_all</x:v>
      </x:c>
      <x:c r="BZ147" s="43" t="str"/>
      <x:c r="CA147" s="43" t="str">
        <x:v>0.719723</x:v>
      </x:c>
      <x:c r="CB147" s="43" t="str">
        <x:v>SD / sqrt(n), using descriptive statistics calculated from author raw data</x:v>
      </x:c>
      <x:c r="CC147" s="43" t="str">
        <x:v>included_studies/abramova_2020_genpath/abramova2020_descriptives.xlsx, tidy_all</x:v>
      </x:c>
      <x:c r="CD147" s="43" t="str">
        <x:v>Corrected derived value</x:v>
      </x:c>
      <x:c r="CE147" s="43" t="str">
        <x:v>5 – Abramova 2020 derived SEs</x:v>
      </x:c>
      <x:c r="CF147" s="43" t="str">
        <x:v>The analysis SE is recalculated as SD/sqrt(n); no author-reported statistic is overwritten.</x:v>
      </x:c>
    </x:row>
    <x:row r="148">
      <x:c r="A148" s="43" t="str">
        <x:v>148</x:v>
      </x:c>
      <x:c r="B148" s="43" t="str">
        <x:v>abramova_2020_genpath</x:v>
      </x:c>
      <x:c r="C148" s="43" t="str">
        <x:v>ex024</x:v>
      </x:c>
      <x:c r="D148" s="43" t="str">
        <x:v>con020</x:v>
      </x:c>
      <x:c r="E148" s="43" t="str">
        <x:v>out069</x:v>
      </x:c>
      <x:c r="F148" s="43" t="str">
        <x:v>es147</x:v>
      </x:c>
      <x:c r="G148" s="43" t="str">
        <x:v>No</x:v>
      </x:c>
      <x:c r="H148" s="43" t="str">
        <x:v>They had one level of exposure, and two experimental groups, female and males, and one control per group</x:v>
      </x:c>
      <x:c r="I148" s="43" t="str">
        <x:v>Social and Cognitive Impairments in Rat Offspring after Ultrasound-Induced Prenatal Stress</x:v>
      </x:c>
      <x:c r="J148" s="43" t="str">
        <x:v>10.1007/s10517-020-04790-0</x:v>
      </x:c>
      <x:c r="K148" s="43" t="str">
        <x:v>General Pathology and Pathophysiology</x:v>
      </x:c>
      <x:c r="L148" s="43" t="str">
        <x:v>Only one assay </x:v>
      </x:c>
      <x:c r="M148" s="43" t="str">
        <x:v>Rattus norvegicus</x:v>
      </x:c>
      <x:c r="N148" s="43" t="str">
        <x:v>albino lab rat</x:v>
      </x:c>
      <x:c r="O148" s="43" t="str">
        <x:v>Sprague-Dawley</x:v>
      </x:c>
      <x:c r="P148" s="43" t="str"/>
      <x:c r="Q148" s="43" t="str">
        <x:v>not reported</x:v>
      </x:c>
      <x:c r="R148" s="43" t="str">
        <x:v>early, mid, late</x:v>
      </x:c>
      <x:c r="S148" s="43" t="str">
        <x:v>all gestation</x:v>
      </x:c>
      <x:c r="T148" s="43" t="str">
        <x:v>21</x:v>
      </x:c>
      <x:c r="U148" s="43" t="str">
        <x:v>Continuous</x:v>
      </x:c>
      <x:c r="V148" s="43" t="str">
        <x:v>24.0</x:v>
      </x:c>
      <x:c r="W148" s="43" t="str">
        <x:v>Expossed to continuous variable frequencies </x:v>
      </x:c>
      <x:c r="X148" s="43" t="str">
        <x:v>Ultrasound</x:v>
      </x:c>
      <x:c r="Y148" s="43" t="str">
        <x:v>Ultrasound</x:v>
      </x:c>
      <x:c r="Z148" s="43" t="str">
        <x:v>50</x:v>
      </x:c>
      <x:c r="AA148" s="43" t="str">
        <x:v>20,000-45,000</x:v>
      </x:c>
      <x:c r="AB148" s="43" t="str">
        <x:v>Ambient sound</x:v>
      </x:c>
      <x:c r="AC148" s="43" t="str"/>
      <x:c r="AD148" s="43" t="str">
        <x:v>"under normal conditions without ultrasound"</x:v>
      </x:c>
      <x:c r="AE148" s="43" t="str">
        <x:v>female</x:v>
      </x:c>
      <x:c r="AF148" s="43" t="str">
        <x:v>90</x:v>
      </x:c>
      <x:c r="AG148" s="43" t="str">
        <x:v>3 months</x:v>
      </x:c>
      <x:c r="AH148" s="43" t="str">
        <x:v>none</x:v>
      </x:c>
      <x:c r="AI148" s="43" t="str"/>
      <x:c r="AJ148" s="43" t="str">
        <x:v>Anxiety</x:v>
      </x:c>
      <x:c r="AK148" s="43" t="str">
        <x:v>Elevated Plus Maze (EPM)</x:v>
      </x:c>
      <x:c r="AL148" s="43" t="str"/>
      <x:c r="AM148" s="43" t="str">
        <x:v>Center entries (crossing)</x:v>
      </x:c>
      <x:c r="AN148" s="43" t="str">
        <x:v>Count</x:v>
      </x:c>
      <x:c r="AO148" s="43" t="str">
        <x:v>Count</x:v>
      </x:c>
      <x:c r="AP148" s="43" t="str">
        <x:v>Light phase</x:v>
      </x:c>
      <x:c r="AQ148" s="43" t="str">
        <x:v>raw data</x:v>
      </x:c>
      <x:c r="AR148" s="43" t="str">
        <x:v>abramova_2020_genpath</x:v>
      </x:c>
      <x:c r="AS148" s="43" t="str">
        <x:v>KO-f-l</x:v>
      </x:c>
      <x:c r="AT148" s="43" t="str">
        <x:v>US-f-g1</x:v>
      </x:c>
      <x:c r="AU148" s="43" t="str">
        <x:v>KO_US_f_tr</x:v>
      </x:c>
      <x:c r="AV148" s="43" t="str">
        <x:v>Independent</x:v>
      </x:c>
      <x:c r="AW148" s="43" t="str">
        <x:v>Yes</x:v>
      </x:c>
      <x:c r="AX148" s="43" t="str">
        <x:v>Negative</x:v>
      </x:c>
      <x:c r="AY148" s="43" t="str"/>
      <x:c r="AZ148" s="43" t="str">
        <x:v>4.3889</x:v>
      </x:c>
      <x:c r="BA148" s="43" t="str">
        <x:v>2.6153</x:v>
      </x:c>
      <x:c r="BB148" s="43" t="str">
        <x:v>18</x:v>
      </x:c>
      <x:c r="BC148" s="43" t="str">
        <x:v>1.0345</x:v>
      </x:c>
      <x:c r="BD148" s="43" t="str"/>
      <x:c r="BE148" s="43" t="str">
        <x:v>4.6875</x:v>
      </x:c>
      <x:c r="BF148" s="43" t="str">
        <x:v>3.2397</x:v>
      </x:c>
      <x:c r="BG148" s="43" t="str">
        <x:v>16</x:v>
      </x:c>
      <x:c r="BH148" s="43" t="str">
        <x:v>0.8099</x:v>
      </x:c>
      <x:c r="BI148" s="43" t="str"/>
      <x:c r="BJ148" s="43" t="str">
        <x:v>Extracted all from raw data</x:v>
      </x:c>
      <x:c r="BK148" s="43" t="str">
        <x:v>Data  provided by Abramova on request</x:v>
      </x:c>
      <x:c r="BL148" s="43" t="str"/>
      <x:c r="BM148" s="43" t="str"/>
      <x:c r="BN148" s="43" t="str"/>
      <x:c r="BO148" s="43" t="str"/>
      <x:c r="BP148" s="43" t="str"/>
      <x:c r="BQ148" s="43" t="str"/>
      <x:c r="BR148" s="43" t="str">
        <x:v>yes</x:v>
      </x:c>
      <x:c r="BS148" s="43" t="str">
        <x:v>adjust comments text</x:v>
      </x:c>
      <x:c r="BT148" s="43" t="str"/>
      <x:c r="BU148" s="43" t="str"/>
      <x:c r="BV148" s="43" t="str"/>
      <x:c r="BW148" s="43" t="str">
        <x:v>0.616432</x:v>
      </x:c>
      <x:c r="BX148" s="43" t="str">
        <x:v>SD / sqrt(n), using descriptive statistics calculated from author raw data</x:v>
      </x:c>
      <x:c r="BY148" s="43" t="str">
        <x:v>included_studies/abramova_2020_genpath/abramova2020_descriptives.xlsx, tidy_all</x:v>
      </x:c>
      <x:c r="BZ148" s="43" t="str"/>
      <x:c r="CA148" s="43" t="str">
        <x:v>0.809925</x:v>
      </x:c>
      <x:c r="CB148" s="43" t="str">
        <x:v>SD / sqrt(n), using descriptive statistics calculated from author raw data</x:v>
      </x:c>
      <x:c r="CC148" s="43" t="str">
        <x:v>included_studies/abramova_2020_genpath/abramova2020_descriptives.xlsx, tidy_all</x:v>
      </x:c>
      <x:c r="CD148" s="43" t="str">
        <x:v>Corrected derived value</x:v>
      </x:c>
      <x:c r="CE148" s="43" t="str">
        <x:v>5 – Abramova 2020 derived SEs</x:v>
      </x:c>
      <x:c r="CF148" s="43" t="str">
        <x:v>The analysis SE is recalculated as SD/sqrt(n); no author-reported statistic is overwritten.</x:v>
      </x:c>
    </x:row>
    <x:row r="149">
      <x:c r="A149" s="43" t="str">
        <x:v>149</x:v>
      </x:c>
      <x:c r="B149" s="43" t="str">
        <x:v>abramova_2020_genpath</x:v>
      </x:c>
      <x:c r="C149" s="43" t="str">
        <x:v>ex023</x:v>
      </x:c>
      <x:c r="D149" s="43" t="str">
        <x:v>con019</x:v>
      </x:c>
      <x:c r="E149" s="43" t="str">
        <x:v>out070</x:v>
      </x:c>
      <x:c r="F149" s="43" t="str">
        <x:v>es148</x:v>
      </x:c>
      <x:c r="G149" s="43" t="str">
        <x:v>No</x:v>
      </x:c>
      <x:c r="H149" s="43" t="str">
        <x:v>They had one level of exposure, and two experimental groups, female and males, and one control per group</x:v>
      </x:c>
      <x:c r="I149" s="43" t="str">
        <x:v>Social and Cognitive Impairments in Rat Offspring after Ultrasound-Induced Prenatal Stress</x:v>
      </x:c>
      <x:c r="J149" s="43" t="str">
        <x:v>10.1007/s10517-020-04790-0</x:v>
      </x:c>
      <x:c r="K149" s="43" t="str">
        <x:v>General Pathology and Pathophysiology</x:v>
      </x:c>
      <x:c r="L149" s="43" t="str">
        <x:v>Only one assay </x:v>
      </x:c>
      <x:c r="M149" s="43" t="str">
        <x:v>Rattus norvegicus</x:v>
      </x:c>
      <x:c r="N149" s="43" t="str">
        <x:v>albino lab rat</x:v>
      </x:c>
      <x:c r="O149" s="43" t="str">
        <x:v>Sprague-Dawley</x:v>
      </x:c>
      <x:c r="P149" s="43" t="str"/>
      <x:c r="Q149" s="43" t="str">
        <x:v>not reported</x:v>
      </x:c>
      <x:c r="R149" s="43" t="str">
        <x:v>early, mid, late</x:v>
      </x:c>
      <x:c r="S149" s="43" t="str">
        <x:v>all gestation</x:v>
      </x:c>
      <x:c r="T149" s="43" t="str">
        <x:v>21</x:v>
      </x:c>
      <x:c r="U149" s="43" t="str">
        <x:v>Continuous</x:v>
      </x:c>
      <x:c r="V149" s="43" t="str">
        <x:v>24.0</x:v>
      </x:c>
      <x:c r="W149" s="43" t="str">
        <x:v>Expossed to continuous variable frequencies </x:v>
      </x:c>
      <x:c r="X149" s="43" t="str">
        <x:v>Ultrasound</x:v>
      </x:c>
      <x:c r="Y149" s="43" t="str">
        <x:v>Ultrasound</x:v>
      </x:c>
      <x:c r="Z149" s="43" t="str">
        <x:v>50</x:v>
      </x:c>
      <x:c r="AA149" s="43" t="str">
        <x:v>20,000-45,000</x:v>
      </x:c>
      <x:c r="AB149" s="43" t="str">
        <x:v>Ambient sound</x:v>
      </x:c>
      <x:c r="AC149" s="43" t="str"/>
      <x:c r="AD149" s="43" t="str">
        <x:v>"under normal conditions without ultrasound"</x:v>
      </x:c>
      <x:c r="AE149" s="43" t="str">
        <x:v>male</x:v>
      </x:c>
      <x:c r="AF149" s="43" t="str">
        <x:v>90</x:v>
      </x:c>
      <x:c r="AG149" s="43" t="str">
        <x:v>3 months</x:v>
      </x:c>
      <x:c r="AH149" s="43" t="str">
        <x:v>none</x:v>
      </x:c>
      <x:c r="AI149" s="43" t="str"/>
      <x:c r="AJ149" s="43" t="str">
        <x:v>Anxiety</x:v>
      </x:c>
      <x:c r="AK149" s="43" t="str">
        <x:v>Elevated Plus Maze (EPM)</x:v>
      </x:c>
      <x:c r="AL149" s="43" t="str"/>
      <x:c r="AM149" s="43" t="str">
        <x:v>Head-out inspections</x:v>
      </x:c>
      <x:c r="AN149" s="43" t="str">
        <x:v>Count</x:v>
      </x:c>
      <x:c r="AO149" s="43" t="str">
        <x:v>Count</x:v>
      </x:c>
      <x:c r="AP149" s="43" t="str">
        <x:v>Light phase</x:v>
      </x:c>
      <x:c r="AQ149" s="43" t="str">
        <x:v>raw data</x:v>
      </x:c>
      <x:c r="AR149" s="43" t="str">
        <x:v>abramova_2020_genpath</x:v>
      </x:c>
      <x:c r="AS149" s="43" t="str">
        <x:v>KO-m-tr</x:v>
      </x:c>
      <x:c r="AT149" s="43" t="str">
        <x:v>US-m-g1</x:v>
      </x:c>
      <x:c r="AU149" s="43" t="str">
        <x:v>KO_US_m_ho</x:v>
      </x:c>
      <x:c r="AV149" s="43" t="str">
        <x:v>Independent</x:v>
      </x:c>
      <x:c r="AW149" s="43" t="str">
        <x:v>No</x:v>
      </x:c>
      <x:c r="AX149" s="43" t="str">
        <x:v>Positive</x:v>
      </x:c>
      <x:c r="AY149" s="43" t="str"/>
      <x:c r="AZ149" s="43" t="str">
        <x:v>2.9</x:v>
      </x:c>
      <x:c r="BA149" s="43" t="str">
        <x:v>1.2524</x:v>
      </x:c>
      <x:c r="BB149" s="43" t="str">
        <x:v>20</x:v>
      </x:c>
      <x:c r="BC149" s="43" t="str">
        <x:v>0.6485</x:v>
      </x:c>
      <x:c r="BD149" s="43" t="str"/>
      <x:c r="BE149" s="43" t="str">
        <x:v>3.0526</x:v>
      </x:c>
      <x:c r="BF149" s="43" t="str">
        <x:v>2.1978</x:v>
      </x:c>
      <x:c r="BG149" s="43" t="str">
        <x:v>19</x:v>
      </x:c>
      <x:c r="BH149" s="43" t="str">
        <x:v>0.5042</x:v>
      </x:c>
      <x:c r="BI149" s="43" t="str"/>
      <x:c r="BJ149" s="43" t="str">
        <x:v>Extracted all from raw data</x:v>
      </x:c>
      <x:c r="BK149" s="43" t="str">
        <x:v>Data  provided by Abramova on request</x:v>
      </x:c>
      <x:c r="BL149" s="43" t="str"/>
      <x:c r="BM149" s="43" t="str"/>
      <x:c r="BN149" s="43" t="str"/>
      <x:c r="BO149" s="43" t="str"/>
      <x:c r="BP149" s="43" t="str"/>
      <x:c r="BQ149" s="43" t="str"/>
      <x:c r="BR149" s="43" t="str">
        <x:v>yes</x:v>
      </x:c>
      <x:c r="BS149" s="43" t="str">
        <x:v>adjust comments text</x:v>
      </x:c>
      <x:c r="BT149" s="43" t="str"/>
      <x:c r="BU149" s="43" t="str"/>
      <x:c r="BV149" s="43" t="str"/>
      <x:c r="BW149" s="43" t="str">
        <x:v>0.280045</x:v>
      </x:c>
      <x:c r="BX149" s="43" t="str">
        <x:v>SD / sqrt(n), using descriptive statistics calculated from author raw data</x:v>
      </x:c>
      <x:c r="BY149" s="43" t="str">
        <x:v>included_studies/abramova_2020_genpath/abramova2020_descriptives.xlsx, tidy_all</x:v>
      </x:c>
      <x:c r="BZ149" s="43" t="str"/>
      <x:c r="CA149" s="43" t="str">
        <x:v>0.50421</x:v>
      </x:c>
      <x:c r="CB149" s="43" t="str">
        <x:v>SD / sqrt(n), using descriptive statistics calculated from author raw data</x:v>
      </x:c>
      <x:c r="CC149" s="43" t="str">
        <x:v>included_studies/abramova_2020_genpath/abramova2020_descriptives.xlsx, tidy_all</x:v>
      </x:c>
      <x:c r="CD149" s="43" t="str">
        <x:v>Corrected derived value</x:v>
      </x:c>
      <x:c r="CE149" s="43" t="str">
        <x:v>5 – Abramova 2020 derived SEs</x:v>
      </x:c>
      <x:c r="CF149" s="43" t="str">
        <x:v>The analysis SE is recalculated as SD/sqrt(n); no author-reported statistic is overwritten.</x:v>
      </x:c>
    </x:row>
    <x:row r="150">
      <x:c r="A150" s="43" t="str">
        <x:v>150</x:v>
      </x:c>
      <x:c r="B150" s="43" t="str">
        <x:v>abramova_2020_genpath</x:v>
      </x:c>
      <x:c r="C150" s="43" t="str">
        <x:v>ex024</x:v>
      </x:c>
      <x:c r="D150" s="43" t="str">
        <x:v>con020</x:v>
      </x:c>
      <x:c r="E150" s="43" t="str">
        <x:v>out070</x:v>
      </x:c>
      <x:c r="F150" s="43" t="str">
        <x:v>es149</x:v>
      </x:c>
      <x:c r="G150" s="43" t="str">
        <x:v>No</x:v>
      </x:c>
      <x:c r="H150" s="43" t="str">
        <x:v>They had one level of exposure, and two experimental groups, female and males, and one control per group</x:v>
      </x:c>
      <x:c r="I150" s="43" t="str">
        <x:v>Social and Cognitive Impairments in Rat Offspring after Ultrasound-Induced Prenatal Stress</x:v>
      </x:c>
      <x:c r="J150" s="43" t="str">
        <x:v>10.1007/s10517-020-04790-0</x:v>
      </x:c>
      <x:c r="K150" s="43" t="str">
        <x:v>General Pathology and Pathophysiology</x:v>
      </x:c>
      <x:c r="L150" s="43" t="str">
        <x:v>Only one assay </x:v>
      </x:c>
      <x:c r="M150" s="43" t="str">
        <x:v>Rattus norvegicus</x:v>
      </x:c>
      <x:c r="N150" s="43" t="str">
        <x:v>albino lab rat</x:v>
      </x:c>
      <x:c r="O150" s="43" t="str">
        <x:v>Sprague-Dawley</x:v>
      </x:c>
      <x:c r="P150" s="43" t="str"/>
      <x:c r="Q150" s="43" t="str">
        <x:v>not reported</x:v>
      </x:c>
      <x:c r="R150" s="43" t="str">
        <x:v>early, mid, late</x:v>
      </x:c>
      <x:c r="S150" s="43" t="str">
        <x:v>all gestation</x:v>
      </x:c>
      <x:c r="T150" s="43" t="str">
        <x:v>21</x:v>
      </x:c>
      <x:c r="U150" s="43" t="str">
        <x:v>Continuous</x:v>
      </x:c>
      <x:c r="V150" s="43" t="str">
        <x:v>24.0</x:v>
      </x:c>
      <x:c r="W150" s="43" t="str">
        <x:v>Expossed to continuous variable frequencies </x:v>
      </x:c>
      <x:c r="X150" s="43" t="str">
        <x:v>Ultrasound</x:v>
      </x:c>
      <x:c r="Y150" s="43" t="str">
        <x:v>Ultrasound</x:v>
      </x:c>
      <x:c r="Z150" s="43" t="str">
        <x:v>50</x:v>
      </x:c>
      <x:c r="AA150" s="43" t="str">
        <x:v>20,000-45,000</x:v>
      </x:c>
      <x:c r="AB150" s="43" t="str">
        <x:v>Ambient sound</x:v>
      </x:c>
      <x:c r="AC150" s="43" t="str"/>
      <x:c r="AD150" s="43" t="str">
        <x:v>"under normal conditions without ultrasound"</x:v>
      </x:c>
      <x:c r="AE150" s="43" t="str">
        <x:v>female</x:v>
      </x:c>
      <x:c r="AF150" s="43" t="str">
        <x:v>90</x:v>
      </x:c>
      <x:c r="AG150" s="43" t="str">
        <x:v>3 months</x:v>
      </x:c>
      <x:c r="AH150" s="43" t="str">
        <x:v>none</x:v>
      </x:c>
      <x:c r="AI150" s="43" t="str"/>
      <x:c r="AJ150" s="43" t="str">
        <x:v>Anxiety</x:v>
      </x:c>
      <x:c r="AK150" s="43" t="str">
        <x:v>Elevated Plus Maze (EPM)</x:v>
      </x:c>
      <x:c r="AL150" s="43" t="str"/>
      <x:c r="AM150" s="43" t="str">
        <x:v>Head-out inspections</x:v>
      </x:c>
      <x:c r="AN150" s="43" t="str">
        <x:v>Count</x:v>
      </x:c>
      <x:c r="AO150" s="43" t="str">
        <x:v>Count</x:v>
      </x:c>
      <x:c r="AP150" s="43" t="str">
        <x:v>Light phase</x:v>
      </x:c>
      <x:c r="AQ150" s="43" t="str">
        <x:v>raw data</x:v>
      </x:c>
      <x:c r="AR150" s="43" t="str">
        <x:v>abramova_2020_genpath</x:v>
      </x:c>
      <x:c r="AS150" s="43" t="str">
        <x:v>KO-f-tr</x:v>
      </x:c>
      <x:c r="AT150" s="43" t="str">
        <x:v>US-f-g1</x:v>
      </x:c>
      <x:c r="AU150" s="43" t="str">
        <x:v>KO_US_f_ho</x:v>
      </x:c>
      <x:c r="AV150" s="43" t="str">
        <x:v>Independent</x:v>
      </x:c>
      <x:c r="AW150" s="43" t="str">
        <x:v>No</x:v>
      </x:c>
      <x:c r="AX150" s="43" t="str">
        <x:v>Positive</x:v>
      </x:c>
      <x:c r="AY150" s="43" t="str"/>
      <x:c r="AZ150" s="43" t="str">
        <x:v>3.7222</x:v>
      </x:c>
      <x:c r="BA150" s="43" t="str">
        <x:v>1.8726</x:v>
      </x:c>
      <x:c r="BB150" s="43" t="str">
        <x:v>18</x:v>
      </x:c>
      <x:c r="BC150" s="43" t="str">
        <x:v>0.8773</x:v>
      </x:c>
      <x:c r="BD150" s="43" t="str"/>
      <x:c r="BE150" s="43" t="str">
        <x:v>3.25</x:v>
      </x:c>
      <x:c r="BF150" s="43" t="str">
        <x:v>1.9149</x:v>
      </x:c>
      <x:c r="BG150" s="43" t="str">
        <x:v>16</x:v>
      </x:c>
      <x:c r="BH150" s="43" t="str">
        <x:v>0.4787</x:v>
      </x:c>
      <x:c r="BI150" s="43" t="str"/>
      <x:c r="BJ150" s="43" t="str">
        <x:v>Extracted all from raw data</x:v>
      </x:c>
      <x:c r="BK150" s="43" t="str">
        <x:v>Data  provided by Abramova on request</x:v>
      </x:c>
      <x:c r="BL150" s="43" t="str"/>
      <x:c r="BM150" s="43" t="str"/>
      <x:c r="BN150" s="43" t="str"/>
      <x:c r="BO150" s="43" t="str"/>
      <x:c r="BP150" s="43" t="str"/>
      <x:c r="BQ150" s="43" t="str"/>
      <x:c r="BR150" s="43" t="str">
        <x:v>yes</x:v>
      </x:c>
      <x:c r="BS150" s="43" t="str">
        <x:v>adjust comments text</x:v>
      </x:c>
      <x:c r="BT150" s="43" t="str"/>
      <x:c r="BU150" s="43" t="str"/>
      <x:c r="BV150" s="43" t="str"/>
      <x:c r="BW150" s="43" t="str">
        <x:v>0.441376</x:v>
      </x:c>
      <x:c r="BX150" s="43" t="str">
        <x:v>SD / sqrt(n), using descriptive statistics calculated from author raw data</x:v>
      </x:c>
      <x:c r="BY150" s="43" t="str">
        <x:v>included_studies/abramova_2020_genpath/abramova2020_descriptives.xlsx, tidy_all</x:v>
      </x:c>
      <x:c r="BZ150" s="43" t="str"/>
      <x:c r="CA150" s="43" t="str">
        <x:v>0.478725</x:v>
      </x:c>
      <x:c r="CB150" s="43" t="str">
        <x:v>SD / sqrt(n), using descriptive statistics calculated from author raw data</x:v>
      </x:c>
      <x:c r="CC150" s="43" t="str">
        <x:v>included_studies/abramova_2020_genpath/abramova2020_descriptives.xlsx, tidy_all</x:v>
      </x:c>
      <x:c r="CD150" s="43" t="str">
        <x:v>Corrected derived value</x:v>
      </x:c>
      <x:c r="CE150" s="43" t="str">
        <x:v>5 – Abramova 2020 derived SEs</x:v>
      </x:c>
      <x:c r="CF150" s="43" t="str">
        <x:v>The analysis SE is recalculated as SD/sqrt(n); no author-reported statistic is overwritten.</x:v>
      </x:c>
    </x:row>
    <x:row r="151">
      <x:c r="A151" s="43" t="str">
        <x:v>151</x:v>
      </x:c>
      <x:c r="B151" s="43" t="str">
        <x:v>abramova_2020_genpath</x:v>
      </x:c>
      <x:c r="C151" s="43" t="str">
        <x:v>ex023</x:v>
      </x:c>
      <x:c r="D151" s="43" t="str">
        <x:v>con019</x:v>
      </x:c>
      <x:c r="E151" s="43" t="str">
        <x:v>out071</x:v>
      </x:c>
      <x:c r="F151" s="43" t="str">
        <x:v>es150</x:v>
      </x:c>
      <x:c r="G151" s="43" t="str">
        <x:v>No</x:v>
      </x:c>
      <x:c r="H151" s="43" t="str">
        <x:v>They had one level of exposure, and two experimental groups, female and males, and one control per group</x:v>
      </x:c>
      <x:c r="I151" s="43" t="str">
        <x:v>Social and Cognitive Impairments in Rat Offspring after Ultrasound-Induced Prenatal Stress</x:v>
      </x:c>
      <x:c r="J151" s="43" t="str">
        <x:v>10.1007/s10517-020-04790-0</x:v>
      </x:c>
      <x:c r="K151" s="43" t="str">
        <x:v>General Pathology and Pathophysiology</x:v>
      </x:c>
      <x:c r="L151" s="43" t="str">
        <x:v>Only one assay </x:v>
      </x:c>
      <x:c r="M151" s="43" t="str">
        <x:v>Rattus norvegicus</x:v>
      </x:c>
      <x:c r="N151" s="43" t="str">
        <x:v>albino lab rat</x:v>
      </x:c>
      <x:c r="O151" s="43" t="str">
        <x:v>Sprague-Dawley</x:v>
      </x:c>
      <x:c r="P151" s="43" t="str"/>
      <x:c r="Q151" s="43" t="str">
        <x:v>not reported</x:v>
      </x:c>
      <x:c r="R151" s="43" t="str">
        <x:v>early, mid, late</x:v>
      </x:c>
      <x:c r="S151" s="43" t="str">
        <x:v>all gestation</x:v>
      </x:c>
      <x:c r="T151" s="43" t="str">
        <x:v>21</x:v>
      </x:c>
      <x:c r="U151" s="43" t="str">
        <x:v>Continuous</x:v>
      </x:c>
      <x:c r="V151" s="43" t="str">
        <x:v>24.0</x:v>
      </x:c>
      <x:c r="W151" s="43" t="str">
        <x:v>Expossed to continuous variable frequencies </x:v>
      </x:c>
      <x:c r="X151" s="43" t="str">
        <x:v>Ultrasound</x:v>
      </x:c>
      <x:c r="Y151" s="43" t="str">
        <x:v>Ultrasound</x:v>
      </x:c>
      <x:c r="Z151" s="43" t="str">
        <x:v>50</x:v>
      </x:c>
      <x:c r="AA151" s="43" t="str">
        <x:v>20,000-45,000</x:v>
      </x:c>
      <x:c r="AB151" s="43" t="str">
        <x:v>Ambient sound</x:v>
      </x:c>
      <x:c r="AC151" s="43" t="str"/>
      <x:c r="AD151" s="43" t="str">
        <x:v>"under normal conditions without ultrasound"</x:v>
      </x:c>
      <x:c r="AE151" s="43" t="str">
        <x:v>male</x:v>
      </x:c>
      <x:c r="AF151" s="43" t="str">
        <x:v>90</x:v>
      </x:c>
      <x:c r="AG151" s="43" t="str">
        <x:v>3 months</x:v>
      </x:c>
      <x:c r="AH151" s="43" t="str">
        <x:v>none</x:v>
      </x:c>
      <x:c r="AI151" s="43" t="str"/>
      <x:c r="AJ151" s="43" t="str">
        <x:v>Anxiety</x:v>
      </x:c>
      <x:c r="AK151" s="43" t="str">
        <x:v>Elevated Plus Maze (EPM)</x:v>
      </x:c>
      <x:c r="AL151" s="43" t="str"/>
      <x:c r="AM151" s="43" t="str">
        <x:v>Overhangs</x:v>
      </x:c>
      <x:c r="AN151" s="43" t="str">
        <x:v>Count</x:v>
      </x:c>
      <x:c r="AO151" s="43" t="str">
        <x:v>Count</x:v>
      </x:c>
      <x:c r="AP151" s="43" t="str">
        <x:v>Light phase</x:v>
      </x:c>
      <x:c r="AQ151" s="43" t="str">
        <x:v>raw data</x:v>
      </x:c>
      <x:c r="AR151" s="43" t="str">
        <x:v>abramova_2020_genpath</x:v>
      </x:c>
      <x:c r="AS151" s="43" t="str">
        <x:v>KO-m-hea</x:v>
      </x:c>
      <x:c r="AT151" s="43" t="str">
        <x:v>US-m-g1</x:v>
      </x:c>
      <x:c r="AU151" s="43" t="str">
        <x:v>KO_US_m_oh</x:v>
      </x:c>
      <x:c r="AV151" s="43" t="str">
        <x:v>Independent</x:v>
      </x:c>
      <x:c r="AW151" s="43" t="str">
        <x:v>No</x:v>
      </x:c>
      <x:c r="AX151" s="43" t="str">
        <x:v>Positive</x:v>
      </x:c>
      <x:c r="AY151" s="43" t="str"/>
      <x:c r="AZ151" s="43" t="str">
        <x:v>2.95</x:v>
      </x:c>
      <x:c r="BA151" s="43" t="str">
        <x:v>3.0517</x:v>
      </x:c>
      <x:c r="BB151" s="43" t="str">
        <x:v>20</x:v>
      </x:c>
      <x:c r="BC151" s="43" t="str">
        <x:v>0.6596</x:v>
      </x:c>
      <x:c r="BD151" s="43" t="str"/>
      <x:c r="BE151" s="43" t="str">
        <x:v>7.1053</x:v>
      </x:c>
      <x:c r="BF151" s="43" t="str">
        <x:v>5.4149</x:v>
      </x:c>
      <x:c r="BG151" s="43" t="str">
        <x:v>19</x:v>
      </x:c>
      <x:c r="BH151" s="43" t="str">
        <x:v>1.2423</x:v>
      </x:c>
      <x:c r="BI151" s="43" t="str"/>
      <x:c r="BJ151" s="43" t="str">
        <x:v>Extracted all from raw data</x:v>
      </x:c>
      <x:c r="BK151" s="43" t="str">
        <x:v>Data  provided by Abramova on request</x:v>
      </x:c>
      <x:c r="BL151" s="43" t="str"/>
      <x:c r="BM151" s="43" t="str"/>
      <x:c r="BN151" s="43" t="str"/>
      <x:c r="BO151" s="43" t="str"/>
      <x:c r="BP151" s="43" t="str"/>
      <x:c r="BQ151" s="43" t="str"/>
      <x:c r="BR151" s="43" t="str">
        <x:v>yes</x:v>
      </x:c>
      <x:c r="BS151" s="43" t="str">
        <x:v>adjust comments text</x:v>
      </x:c>
      <x:c r="BT151" s="43" t="str"/>
      <x:c r="BU151" s="43" t="str"/>
      <x:c r="BV151" s="43" t="str"/>
      <x:c r="BW151" s="43" t="str">
        <x:v>0.682381</x:v>
      </x:c>
      <x:c r="BX151" s="43" t="str">
        <x:v>SD / sqrt(n), using descriptive statistics calculated from author raw data</x:v>
      </x:c>
      <x:c r="BY151" s="43" t="str">
        <x:v>included_studies/abramova_2020_genpath/abramova2020_descriptives.xlsx, tidy_all</x:v>
      </x:c>
      <x:c r="BZ151" s="43" t="str"/>
      <x:c r="CA151" s="43" t="str">
        <x:v>1.242263</x:v>
      </x:c>
      <x:c r="CB151" s="43" t="str">
        <x:v>SD / sqrt(n), using descriptive statistics calculated from author raw data</x:v>
      </x:c>
      <x:c r="CC151" s="43" t="str">
        <x:v>included_studies/abramova_2020_genpath/abramova2020_descriptives.xlsx, tidy_all</x:v>
      </x:c>
      <x:c r="CD151" s="43" t="str">
        <x:v>Corrected derived value</x:v>
      </x:c>
      <x:c r="CE151" s="43" t="str">
        <x:v>5 – Abramova 2020 derived SEs</x:v>
      </x:c>
      <x:c r="CF151" s="43" t="str">
        <x:v>The analysis SE is recalculated as SD/sqrt(n); no author-reported statistic is overwritten.</x:v>
      </x:c>
    </x:row>
    <x:row r="152">
      <x:c r="A152" s="43" t="str">
        <x:v>152</x:v>
      </x:c>
      <x:c r="B152" s="43" t="str">
        <x:v>abramova_2020_genpath</x:v>
      </x:c>
      <x:c r="C152" s="43" t="str">
        <x:v>ex024</x:v>
      </x:c>
      <x:c r="D152" s="43" t="str">
        <x:v>con020</x:v>
      </x:c>
      <x:c r="E152" s="43" t="str">
        <x:v>out071</x:v>
      </x:c>
      <x:c r="F152" s="43" t="str">
        <x:v>es151</x:v>
      </x:c>
      <x:c r="G152" s="43" t="str">
        <x:v>No</x:v>
      </x:c>
      <x:c r="H152" s="43" t="str">
        <x:v>They had one level of exposure, and two experimental groups, female and males, and one control per group</x:v>
      </x:c>
      <x:c r="I152" s="43" t="str">
        <x:v>Social and Cognitive Impairments in Rat Offspring after Ultrasound-Induced Prenatal Stress</x:v>
      </x:c>
      <x:c r="J152" s="43" t="str">
        <x:v>10.1007/s10517-020-04790-0</x:v>
      </x:c>
      <x:c r="K152" s="43" t="str">
        <x:v>General Pathology and Pathophysiology</x:v>
      </x:c>
      <x:c r="L152" s="43" t="str">
        <x:v>Only one assay </x:v>
      </x:c>
      <x:c r="M152" s="43" t="str">
        <x:v>Rattus norvegicus</x:v>
      </x:c>
      <x:c r="N152" s="43" t="str">
        <x:v>albino lab rat</x:v>
      </x:c>
      <x:c r="O152" s="43" t="str">
        <x:v>Sprague-Dawley</x:v>
      </x:c>
      <x:c r="P152" s="43" t="str"/>
      <x:c r="Q152" s="43" t="str">
        <x:v>not reported</x:v>
      </x:c>
      <x:c r="R152" s="43" t="str">
        <x:v>early, mid, late</x:v>
      </x:c>
      <x:c r="S152" s="43" t="str">
        <x:v>all gestation</x:v>
      </x:c>
      <x:c r="T152" s="43" t="str">
        <x:v>21</x:v>
      </x:c>
      <x:c r="U152" s="43" t="str">
        <x:v>Continuous</x:v>
      </x:c>
      <x:c r="V152" s="43" t="str">
        <x:v>24.0</x:v>
      </x:c>
      <x:c r="W152" s="43" t="str">
        <x:v>Expossed to continuous variable frequencies </x:v>
      </x:c>
      <x:c r="X152" s="43" t="str">
        <x:v>Ultrasound</x:v>
      </x:c>
      <x:c r="Y152" s="43" t="str">
        <x:v>Ultrasound</x:v>
      </x:c>
      <x:c r="Z152" s="43" t="str">
        <x:v>50</x:v>
      </x:c>
      <x:c r="AA152" s="43" t="str">
        <x:v>20,000-45,000</x:v>
      </x:c>
      <x:c r="AB152" s="43" t="str">
        <x:v>Ambient sound</x:v>
      </x:c>
      <x:c r="AC152" s="43" t="str"/>
      <x:c r="AD152" s="43" t="str">
        <x:v>"under normal conditions without ultrasound"</x:v>
      </x:c>
      <x:c r="AE152" s="43" t="str">
        <x:v>female</x:v>
      </x:c>
      <x:c r="AF152" s="43" t="str">
        <x:v>90</x:v>
      </x:c>
      <x:c r="AG152" s="43" t="str">
        <x:v>3 months</x:v>
      </x:c>
      <x:c r="AH152" s="43" t="str">
        <x:v>none</x:v>
      </x:c>
      <x:c r="AI152" s="43" t="str"/>
      <x:c r="AJ152" s="43" t="str">
        <x:v>Anxiety</x:v>
      </x:c>
      <x:c r="AK152" s="43" t="str">
        <x:v>Elevated Plus Maze (EPM)</x:v>
      </x:c>
      <x:c r="AL152" s="43" t="str"/>
      <x:c r="AM152" s="43" t="str">
        <x:v>Overhangs</x:v>
      </x:c>
      <x:c r="AN152" s="43" t="str">
        <x:v>Count</x:v>
      </x:c>
      <x:c r="AO152" s="43" t="str">
        <x:v>Count</x:v>
      </x:c>
      <x:c r="AP152" s="43" t="str">
        <x:v>Light phase</x:v>
      </x:c>
      <x:c r="AQ152" s="43" t="str">
        <x:v>raw data</x:v>
      </x:c>
      <x:c r="AR152" s="43" t="str">
        <x:v>abramova_2020_genpath</x:v>
      </x:c>
      <x:c r="AS152" s="43" t="str">
        <x:v>KO-f-hea</x:v>
      </x:c>
      <x:c r="AT152" s="43" t="str">
        <x:v>US-f-g1</x:v>
      </x:c>
      <x:c r="AU152" s="43" t="str">
        <x:v>KO_US_f_oh</x:v>
      </x:c>
      <x:c r="AV152" s="43" t="str">
        <x:v>Independent</x:v>
      </x:c>
      <x:c r="AW152" s="43" t="str">
        <x:v>No</x:v>
      </x:c>
      <x:c r="AX152" s="43" t="str">
        <x:v>Positive</x:v>
      </x:c>
      <x:c r="AY152" s="43" t="str"/>
      <x:c r="AZ152" s="43" t="str">
        <x:v>5.7778</x:v>
      </x:c>
      <x:c r="BA152" s="43" t="str">
        <x:v>4.9415</x:v>
      </x:c>
      <x:c r="BB152" s="43" t="str">
        <x:v>18</x:v>
      </x:c>
      <x:c r="BC152" s="43" t="str">
        <x:v>1.3618</x:v>
      </x:c>
      <x:c r="BD152" s="43" t="str"/>
      <x:c r="BE152" s="43" t="str">
        <x:v>8.625</x:v>
      </x:c>
      <x:c r="BF152" s="43" t="str">
        <x:v>6.8593</x:v>
      </x:c>
      <x:c r="BG152" s="43" t="str">
        <x:v>16</x:v>
      </x:c>
      <x:c r="BH152" s="43" t="str">
        <x:v>1.7148</x:v>
      </x:c>
      <x:c r="BI152" s="43" t="str"/>
      <x:c r="BJ152" s="43" t="str">
        <x:v>Extracted all from raw data</x:v>
      </x:c>
      <x:c r="BK152" s="43" t="str">
        <x:v>Data  provided by Abramova on request</x:v>
      </x:c>
      <x:c r="BL152" s="43" t="str"/>
      <x:c r="BM152" s="43" t="str"/>
      <x:c r="BN152" s="43" t="str"/>
      <x:c r="BO152" s="43" t="str"/>
      <x:c r="BP152" s="43" t="str"/>
      <x:c r="BQ152" s="43" t="str"/>
      <x:c r="BR152" s="43" t="str">
        <x:v>yes</x:v>
      </x:c>
      <x:c r="BS152" s="43" t="str">
        <x:v>adjust comments text</x:v>
      </x:c>
      <x:c r="BT152" s="43" t="str"/>
      <x:c r="BU152" s="43" t="str"/>
      <x:c r="BV152" s="43" t="str"/>
      <x:c r="BW152" s="43" t="str">
        <x:v>1.164723</x:v>
      </x:c>
      <x:c r="BX152" s="43" t="str">
        <x:v>SD / sqrt(n), using descriptive statistics calculated from author raw data</x:v>
      </x:c>
      <x:c r="BY152" s="43" t="str">
        <x:v>included_studies/abramova_2020_genpath/abramova2020_descriptives.xlsx, tidy_all</x:v>
      </x:c>
      <x:c r="BZ152" s="43" t="str"/>
      <x:c r="CA152" s="43" t="str">
        <x:v>1.714825</x:v>
      </x:c>
      <x:c r="CB152" s="43" t="str">
        <x:v>SD / sqrt(n), using descriptive statistics calculated from author raw data</x:v>
      </x:c>
      <x:c r="CC152" s="43" t="str">
        <x:v>included_studies/abramova_2020_genpath/abramova2020_descriptives.xlsx, tidy_all</x:v>
      </x:c>
      <x:c r="CD152" s="43" t="str">
        <x:v>Corrected derived value</x:v>
      </x:c>
      <x:c r="CE152" s="43" t="str">
        <x:v>5 – Abramova 2020 derived SEs</x:v>
      </x:c>
      <x:c r="CF152" s="43" t="str">
        <x:v>The analysis SE is recalculated as SD/sqrt(n); no author-reported statistic is overwritten.</x:v>
      </x:c>
    </x:row>
    <x:row r="153">
      <x:c r="A153" s="43" t="str">
        <x:v>153</x:v>
      </x:c>
      <x:c r="B153" s="43" t="str">
        <x:v>abramova_2020_genpath</x:v>
      </x:c>
      <x:c r="C153" s="43" t="str">
        <x:v>ex023</x:v>
      </x:c>
      <x:c r="D153" s="43" t="str">
        <x:v>con019</x:v>
      </x:c>
      <x:c r="E153" s="43" t="str">
        <x:v>out072</x:v>
      </x:c>
      <x:c r="F153" s="43" t="str">
        <x:v>es152</x:v>
      </x:c>
      <x:c r="G153" s="43" t="str">
        <x:v>No</x:v>
      </x:c>
      <x:c r="H153" s="43" t="str">
        <x:v>They had one level of exposure, and two experimental groups, female and males, and one control per group</x:v>
      </x:c>
      <x:c r="I153" s="43" t="str">
        <x:v>Social and Cognitive Impairments in Rat Offspring after Ultrasound-Induced Prenatal Stress</x:v>
      </x:c>
      <x:c r="J153" s="43" t="str">
        <x:v>10.1007/s10517-020-04790-0</x:v>
      </x:c>
      <x:c r="K153" s="43" t="str">
        <x:v>General Pathology and Pathophysiology</x:v>
      </x:c>
      <x:c r="L153" s="43" t="str">
        <x:v>Only one assay </x:v>
      </x:c>
      <x:c r="M153" s="43" t="str">
        <x:v>Rattus norvegicus</x:v>
      </x:c>
      <x:c r="N153" s="43" t="str">
        <x:v>albino lab rat</x:v>
      </x:c>
      <x:c r="O153" s="43" t="str">
        <x:v>Sprague-Dawley</x:v>
      </x:c>
      <x:c r="P153" s="43" t="str"/>
      <x:c r="Q153" s="43" t="str">
        <x:v>not reported</x:v>
      </x:c>
      <x:c r="R153" s="43" t="str">
        <x:v>early, mid, late</x:v>
      </x:c>
      <x:c r="S153" s="43" t="str">
        <x:v>all gestation</x:v>
      </x:c>
      <x:c r="T153" s="43" t="str">
        <x:v>21</x:v>
      </x:c>
      <x:c r="U153" s="43" t="str">
        <x:v>Continuous</x:v>
      </x:c>
      <x:c r="V153" s="43" t="str">
        <x:v>24.0</x:v>
      </x:c>
      <x:c r="W153" s="43" t="str">
        <x:v>Expossed to continuous variable frequencies </x:v>
      </x:c>
      <x:c r="X153" s="43" t="str">
        <x:v>Ultrasound</x:v>
      </x:c>
      <x:c r="Y153" s="43" t="str">
        <x:v>Ultrasound</x:v>
      </x:c>
      <x:c r="Z153" s="43" t="str">
        <x:v>50</x:v>
      </x:c>
      <x:c r="AA153" s="43" t="str">
        <x:v>20,000-45,000</x:v>
      </x:c>
      <x:c r="AB153" s="43" t="str">
        <x:v>Ambient sound</x:v>
      </x:c>
      <x:c r="AC153" s="43" t="str"/>
      <x:c r="AD153" s="43" t="str">
        <x:v>"under normal conditions without ultrasound"</x:v>
      </x:c>
      <x:c r="AE153" s="43" t="str">
        <x:v>male</x:v>
      </x:c>
      <x:c r="AF153" s="43" t="str">
        <x:v>90</x:v>
      </x:c>
      <x:c r="AG153" s="43" t="str">
        <x:v>3 months</x:v>
      </x:c>
      <x:c r="AH153" s="43" t="str">
        <x:v>none</x:v>
      </x:c>
      <x:c r="AI153" s="43" t="str"/>
      <x:c r="AJ153" s="43" t="str">
        <x:v>Anxiety</x:v>
      </x:c>
      <x:c r="AK153" s="43" t="str">
        <x:v>Elevated Plus Maze (EPM)</x:v>
      </x:c>
      <x:c r="AL153" s="43" t="str"/>
      <x:c r="AM153" s="43" t="str">
        <x:v>Total grooming time</x:v>
      </x:c>
      <x:c r="AN153" s="43" t="str">
        <x:v>Time</x:v>
      </x:c>
      <x:c r="AO153" s="43" t="str">
        <x:v>s</x:v>
      </x:c>
      <x:c r="AP153" s="43" t="str">
        <x:v>Light phase</x:v>
      </x:c>
      <x:c r="AQ153" s="43" t="str">
        <x:v>raw data</x:v>
      </x:c>
      <x:c r="AR153" s="43" t="str">
        <x:v>abramova_2020_genpath</x:v>
      </x:c>
      <x:c r="AS153" s="43" t="str">
        <x:v>KO-m-tgt</x:v>
      </x:c>
      <x:c r="AT153" s="43" t="str">
        <x:v>US-m-g1</x:v>
      </x:c>
      <x:c r="AU153" s="43" t="str">
        <x:v>KO_US_m_tgt</x:v>
      </x:c>
      <x:c r="AV153" s="43" t="str">
        <x:v>Independent</x:v>
      </x:c>
      <x:c r="AW153" s="43" t="str">
        <x:v>No</x:v>
      </x:c>
      <x:c r="AX153" s="43" t="str">
        <x:v>Positive</x:v>
      </x:c>
      <x:c r="AY153" s="43" t="str"/>
      <x:c r="AZ153" s="43" t="str">
        <x:v>47.411</x:v>
      </x:c>
      <x:c r="BA153" s="43" t="str">
        <x:v>38.3449</x:v>
      </x:c>
      <x:c r="BB153" s="43" t="str">
        <x:v>20</x:v>
      </x:c>
      <x:c r="BC153" s="43" t="str">
        <x:v>10.6014</x:v>
      </x:c>
      <x:c r="BD153" s="43" t="str"/>
      <x:c r="BE153" s="43" t="str">
        <x:v>22.8753</x:v>
      </x:c>
      <x:c r="BF153" s="43" t="str">
        <x:v>20.7601</x:v>
      </x:c>
      <x:c r="BG153" s="43" t="str">
        <x:v>19</x:v>
      </x:c>
      <x:c r="BH153" s="43" t="str">
        <x:v>4.7627</x:v>
      </x:c>
      <x:c r="BI153" s="43" t="str"/>
      <x:c r="BJ153" s="43" t="str">
        <x:v>Extracted all from raw data</x:v>
      </x:c>
      <x:c r="BK153" s="43" t="str">
        <x:v>Data  provided by Abramova on request</x:v>
      </x:c>
      <x:c r="BL153" s="43" t="str"/>
      <x:c r="BM153" s="43" t="str"/>
      <x:c r="BN153" s="43" t="str"/>
      <x:c r="BO153" s="43" t="str"/>
      <x:c r="BP153" s="43" t="str"/>
      <x:c r="BQ153" s="43" t="str"/>
      <x:c r="BR153" s="43" t="str">
        <x:v>yes</x:v>
      </x:c>
      <x:c r="BS153" s="43" t="str">
        <x:v>adjust comments text</x:v>
      </x:c>
      <x:c r="BT153" s="43" t="str"/>
      <x:c r="BU153" s="43" t="str"/>
      <x:c r="BV153" s="43" t="str"/>
      <x:c r="BW153" s="43" t="str">
        <x:v>8.57418</x:v>
      </x:c>
      <x:c r="BX153" s="43" t="str">
        <x:v>SD / sqrt(n), using descriptive statistics calculated from author raw data</x:v>
      </x:c>
      <x:c r="BY153" s="43" t="str">
        <x:v>included_studies/abramova_2020_genpath/abramova2020_descriptives.xlsx, tidy_all</x:v>
      </x:c>
      <x:c r="BZ153" s="43" t="str"/>
      <x:c r="CA153" s="43" t="str">
        <x:v>4.762694</x:v>
      </x:c>
      <x:c r="CB153" s="43" t="str">
        <x:v>SD / sqrt(n), using descriptive statistics calculated from author raw data</x:v>
      </x:c>
      <x:c r="CC153" s="43" t="str">
        <x:v>included_studies/abramova_2020_genpath/abramova2020_descriptives.xlsx, tidy_all</x:v>
      </x:c>
      <x:c r="CD153" s="43" t="str">
        <x:v>Corrected derived value</x:v>
      </x:c>
      <x:c r="CE153" s="43" t="str">
        <x:v>5 – Abramova 2020 derived SEs</x:v>
      </x:c>
      <x:c r="CF153" s="43" t="str">
        <x:v>The analysis SE is recalculated as SD/sqrt(n); no author-reported statistic is overwritten.</x:v>
      </x:c>
    </x:row>
    <x:row r="154">
      <x:c r="A154" s="43" t="str">
        <x:v>154</x:v>
      </x:c>
      <x:c r="B154" s="43" t="str">
        <x:v>abramova_2020_genpath</x:v>
      </x:c>
      <x:c r="C154" s="43" t="str">
        <x:v>ex024</x:v>
      </x:c>
      <x:c r="D154" s="43" t="str">
        <x:v>con020</x:v>
      </x:c>
      <x:c r="E154" s="43" t="str">
        <x:v>out072</x:v>
      </x:c>
      <x:c r="F154" s="43" t="str">
        <x:v>es153</x:v>
      </x:c>
      <x:c r="G154" s="43" t="str">
        <x:v>No</x:v>
      </x:c>
      <x:c r="H154" s="43" t="str">
        <x:v>They had one level of exposure, and two experimental groups, female and males, and one control per group</x:v>
      </x:c>
      <x:c r="I154" s="43" t="str">
        <x:v>Social and Cognitive Impairments in Rat Offspring after Ultrasound-Induced Prenatal Stress</x:v>
      </x:c>
      <x:c r="J154" s="43" t="str">
        <x:v>10.1007/s10517-020-04790-0</x:v>
      </x:c>
      <x:c r="K154" s="43" t="str">
        <x:v>General Pathology and Pathophysiology</x:v>
      </x:c>
      <x:c r="L154" s="43" t="str">
        <x:v>Only one assay </x:v>
      </x:c>
      <x:c r="M154" s="43" t="str">
        <x:v>Rattus norvegicus</x:v>
      </x:c>
      <x:c r="N154" s="43" t="str">
        <x:v>albino lab rat</x:v>
      </x:c>
      <x:c r="O154" s="43" t="str">
        <x:v>Sprague-Dawley</x:v>
      </x:c>
      <x:c r="P154" s="43" t="str"/>
      <x:c r="Q154" s="43" t="str">
        <x:v>not reported</x:v>
      </x:c>
      <x:c r="R154" s="43" t="str">
        <x:v>early, mid, late</x:v>
      </x:c>
      <x:c r="S154" s="43" t="str">
        <x:v>all gestation</x:v>
      </x:c>
      <x:c r="T154" s="43" t="str">
        <x:v>21</x:v>
      </x:c>
      <x:c r="U154" s="43" t="str">
        <x:v>Continuous</x:v>
      </x:c>
      <x:c r="V154" s="43" t="str">
        <x:v>24.0</x:v>
      </x:c>
      <x:c r="W154" s="43" t="str">
        <x:v>Expossed to continuous variable frequencies </x:v>
      </x:c>
      <x:c r="X154" s="43" t="str">
        <x:v>Ultrasound</x:v>
      </x:c>
      <x:c r="Y154" s="43" t="str">
        <x:v>Ultrasound</x:v>
      </x:c>
      <x:c r="Z154" s="43" t="str">
        <x:v>50</x:v>
      </x:c>
      <x:c r="AA154" s="43" t="str">
        <x:v>20,000-45,000</x:v>
      </x:c>
      <x:c r="AB154" s="43" t="str">
        <x:v>Ambient sound</x:v>
      </x:c>
      <x:c r="AC154" s="43" t="str"/>
      <x:c r="AD154" s="43" t="str">
        <x:v>"under normal conditions without ultrasound"</x:v>
      </x:c>
      <x:c r="AE154" s="43" t="str">
        <x:v>female</x:v>
      </x:c>
      <x:c r="AF154" s="43" t="str">
        <x:v>90</x:v>
      </x:c>
      <x:c r="AG154" s="43" t="str">
        <x:v>3 months</x:v>
      </x:c>
      <x:c r="AH154" s="43" t="str">
        <x:v>none</x:v>
      </x:c>
      <x:c r="AI154" s="43" t="str"/>
      <x:c r="AJ154" s="43" t="str">
        <x:v>Anxiety</x:v>
      </x:c>
      <x:c r="AK154" s="43" t="str">
        <x:v>Elevated Plus Maze (EPM)</x:v>
      </x:c>
      <x:c r="AL154" s="43" t="str"/>
      <x:c r="AM154" s="43" t="str">
        <x:v>Total grooming time</x:v>
      </x:c>
      <x:c r="AN154" s="43" t="str">
        <x:v>Time</x:v>
      </x:c>
      <x:c r="AO154" s="43" t="str">
        <x:v>s</x:v>
      </x:c>
      <x:c r="AP154" s="43" t="str">
        <x:v>Light phase</x:v>
      </x:c>
      <x:c r="AQ154" s="43" t="str">
        <x:v>raw data</x:v>
      </x:c>
      <x:c r="AR154" s="43" t="str">
        <x:v>abramova_2020_genpath</x:v>
      </x:c>
      <x:c r="AS154" s="43" t="str">
        <x:v>KO-f-tgt</x:v>
      </x:c>
      <x:c r="AT154" s="43" t="str">
        <x:v>US-f-g1</x:v>
      </x:c>
      <x:c r="AU154" s="43" t="str">
        <x:v>KO_US_f_tgt</x:v>
      </x:c>
      <x:c r="AV154" s="43" t="str">
        <x:v>Independent</x:v>
      </x:c>
      <x:c r="AW154" s="43" t="str">
        <x:v>No</x:v>
      </x:c>
      <x:c r="AX154" s="43" t="str">
        <x:v>Positive</x:v>
      </x:c>
      <x:c r="AY154" s="43" t="str"/>
      <x:c r="AZ154" s="43" t="str">
        <x:v>46.7839</x:v>
      </x:c>
      <x:c r="BA154" s="43" t="str">
        <x:v>44.2145</x:v>
      </x:c>
      <x:c r="BB154" s="43" t="str">
        <x:v>18</x:v>
      </x:c>
      <x:c r="BC154" s="43" t="str">
        <x:v>11.0271</x:v>
      </x:c>
      <x:c r="BD154" s="43" t="str"/>
      <x:c r="BE154" s="43" t="str">
        <x:v>30.5488</x:v>
      </x:c>
      <x:c r="BF154" s="43" t="str">
        <x:v>22.0721</x:v>
      </x:c>
      <x:c r="BG154" s="43" t="str">
        <x:v>16</x:v>
      </x:c>
      <x:c r="BH154" s="43" t="str">
        <x:v>5.518</x:v>
      </x:c>
      <x:c r="BI154" s="43" t="str"/>
      <x:c r="BJ154" s="43" t="str">
        <x:v>Extracted all from raw data</x:v>
      </x:c>
      <x:c r="BK154" s="43" t="str">
        <x:v>Data  provided by Abramova on request</x:v>
      </x:c>
      <x:c r="BL154" s="43" t="str"/>
      <x:c r="BM154" s="43" t="str"/>
      <x:c r="BN154" s="43" t="str"/>
      <x:c r="BO154" s="43" t="str"/>
      <x:c r="BP154" s="43" t="str"/>
      <x:c r="BQ154" s="43" t="str"/>
      <x:c r="BR154" s="43" t="str">
        <x:v>yes</x:v>
      </x:c>
      <x:c r="BS154" s="43" t="str">
        <x:v>adjust comments text</x:v>
      </x:c>
      <x:c r="BT154" s="43" t="str"/>
      <x:c r="BU154" s="43" t="str"/>
      <x:c r="BV154" s="43" t="str"/>
      <x:c r="BW154" s="43" t="str">
        <x:v>10.421458</x:v>
      </x:c>
      <x:c r="BX154" s="43" t="str">
        <x:v>SD / sqrt(n), using descriptive statistics calculated from author raw data</x:v>
      </x:c>
      <x:c r="BY154" s="43" t="str">
        <x:v>included_studies/abramova_2020_genpath/abramova2020_descriptives.xlsx, tidy_all</x:v>
      </x:c>
      <x:c r="BZ154" s="43" t="str"/>
      <x:c r="CA154" s="43" t="str">
        <x:v>5.518025</x:v>
      </x:c>
      <x:c r="CB154" s="43" t="str">
        <x:v>SD / sqrt(n), using descriptive statistics calculated from author raw data</x:v>
      </x:c>
      <x:c r="CC154" s="43" t="str">
        <x:v>included_studies/abramova_2020_genpath/abramova2020_descriptives.xlsx, tidy_all</x:v>
      </x:c>
      <x:c r="CD154" s="43" t="str">
        <x:v>Corrected derived value</x:v>
      </x:c>
      <x:c r="CE154" s="43" t="str">
        <x:v>5 – Abramova 2020 derived SEs</x:v>
      </x:c>
      <x:c r="CF154" s="43" t="str">
        <x:v>The analysis SE is recalculated as SD/sqrt(n); no author-reported statistic is overwritten.</x:v>
      </x:c>
    </x:row>
    <x:row r="155">
      <x:c r="A155" s="43" t="str">
        <x:v>155</x:v>
      </x:c>
      <x:c r="B155" s="43" t="str">
        <x:v>abramova_2020_genpath</x:v>
      </x:c>
      <x:c r="C155" s="43" t="str">
        <x:v>ex023</x:v>
      </x:c>
      <x:c r="D155" s="43" t="str">
        <x:v>con019</x:v>
      </x:c>
      <x:c r="E155" s="43" t="str">
        <x:v>out073</x:v>
      </x:c>
      <x:c r="F155" s="43" t="str">
        <x:v>es154</x:v>
      </x:c>
      <x:c r="G155" s="43" t="str">
        <x:v>No</x:v>
      </x:c>
      <x:c r="H155" s="43" t="str">
        <x:v>They had one level of exposure, and two experimental groups, female and males, and one control per group</x:v>
      </x:c>
      <x:c r="I155" s="43" t="str">
        <x:v>Social and Cognitive Impairments in Rat Offspring after Ultrasound-Induced Prenatal Stress</x:v>
      </x:c>
      <x:c r="J155" s="43" t="str">
        <x:v>10.1007/s10517-020-04790-0</x:v>
      </x:c>
      <x:c r="K155" s="43" t="str">
        <x:v>General Pathology and Pathophysiology</x:v>
      </x:c>
      <x:c r="L155" s="43" t="str">
        <x:v>Only one assay </x:v>
      </x:c>
      <x:c r="M155" s="43" t="str">
        <x:v>Rattus norvegicus</x:v>
      </x:c>
      <x:c r="N155" s="43" t="str">
        <x:v>albino lab rat</x:v>
      </x:c>
      <x:c r="O155" s="43" t="str">
        <x:v>Sprague-Dawley</x:v>
      </x:c>
      <x:c r="P155" s="43" t="str"/>
      <x:c r="Q155" s="43" t="str">
        <x:v>not reported</x:v>
      </x:c>
      <x:c r="R155" s="43" t="str">
        <x:v>early, mid, late</x:v>
      </x:c>
      <x:c r="S155" s="43" t="str">
        <x:v>all gestation</x:v>
      </x:c>
      <x:c r="T155" s="43" t="str">
        <x:v>21</x:v>
      </x:c>
      <x:c r="U155" s="43" t="str">
        <x:v>Continuous</x:v>
      </x:c>
      <x:c r="V155" s="43" t="str">
        <x:v>24.0</x:v>
      </x:c>
      <x:c r="W155" s="43" t="str">
        <x:v>Expossed to continuous variable frequencies </x:v>
      </x:c>
      <x:c r="X155" s="43" t="str">
        <x:v>Ultrasound</x:v>
      </x:c>
      <x:c r="Y155" s="43" t="str">
        <x:v>Ultrasound</x:v>
      </x:c>
      <x:c r="Z155" s="43" t="str">
        <x:v>50</x:v>
      </x:c>
      <x:c r="AA155" s="43" t="str">
        <x:v>20,000-45,000</x:v>
      </x:c>
      <x:c r="AB155" s="43" t="str">
        <x:v>Ambient sound</x:v>
      </x:c>
      <x:c r="AC155" s="43" t="str"/>
      <x:c r="AD155" s="43" t="str">
        <x:v>"under normal conditions without ultrasound"</x:v>
      </x:c>
      <x:c r="AE155" s="43" t="str">
        <x:v>male</x:v>
      </x:c>
      <x:c r="AF155" s="43" t="str">
        <x:v>90</x:v>
      </x:c>
      <x:c r="AG155" s="43" t="str">
        <x:v>3 months</x:v>
      </x:c>
      <x:c r="AH155" s="43" t="str">
        <x:v>none</x:v>
      </x:c>
      <x:c r="AI155" s="43" t="str"/>
      <x:c r="AJ155" s="43" t="str">
        <x:v>Anxiety</x:v>
      </x:c>
      <x:c r="AK155" s="43" t="str">
        <x:v>Elevated Plus Maze (EPM)</x:v>
      </x:c>
      <x:c r="AL155" s="43" t="str"/>
      <x:c r="AM155" s="43" t="str">
        <x:v>Rearing frequency</x:v>
      </x:c>
      <x:c r="AN155" s="43" t="str">
        <x:v>Count</x:v>
      </x:c>
      <x:c r="AO155" s="43" t="str">
        <x:v>Count</x:v>
      </x:c>
      <x:c r="AP155" s="43" t="str">
        <x:v>Light phase</x:v>
      </x:c>
      <x:c r="AQ155" s="43" t="str">
        <x:v>raw data</x:v>
      </x:c>
      <x:c r="AR155" s="43" t="str">
        <x:v>abramova_2020_genpath</x:v>
      </x:c>
      <x:c r="AS155" s="43" t="str">
        <x:v>KO-m-rea</x:v>
      </x:c>
      <x:c r="AT155" s="43" t="str">
        <x:v>US-m-g1</x:v>
      </x:c>
      <x:c r="AU155" s="43" t="str">
        <x:v>KO_US_m_rf</x:v>
      </x:c>
      <x:c r="AV155" s="43" t="str">
        <x:v>Independent</x:v>
      </x:c>
      <x:c r="AW155" s="43" t="str">
        <x:v>Yes</x:v>
      </x:c>
      <x:c r="AX155" s="43" t="str">
        <x:v>Negative</x:v>
      </x:c>
      <x:c r="AY155" s="43" t="str"/>
      <x:c r="AZ155" s="43" t="str">
        <x:v>8.25</x:v>
      </x:c>
      <x:c r="BA155" s="43" t="str">
        <x:v>3.8645</x:v>
      </x:c>
      <x:c r="BB155" s="43" t="str">
        <x:v>20</x:v>
      </x:c>
      <x:c r="BC155" s="43" t="str">
        <x:v>1.8448</x:v>
      </x:c>
      <x:c r="BD155" s="43" t="str"/>
      <x:c r="BE155" s="43" t="str">
        <x:v>12.4211</x:v>
      </x:c>
      <x:c r="BF155" s="43" t="str">
        <x:v>5.3678</x:v>
      </x:c>
      <x:c r="BG155" s="43" t="str">
        <x:v>19</x:v>
      </x:c>
      <x:c r="BH155" s="43" t="str">
        <x:v>1.2314</x:v>
      </x:c>
      <x:c r="BI155" s="43" t="str"/>
      <x:c r="BJ155" s="43" t="str">
        <x:v>Extracted all from raw data</x:v>
      </x:c>
      <x:c r="BK155" s="43" t="str">
        <x:v>Data  provided by Abramova on request</x:v>
      </x:c>
      <x:c r="BL155" s="43" t="str"/>
      <x:c r="BM155" s="43" t="str"/>
      <x:c r="BN155" s="43" t="str"/>
      <x:c r="BO155" s="43" t="str"/>
      <x:c r="BP155" s="43" t="str"/>
      <x:c r="BQ155" s="43" t="str"/>
      <x:c r="BR155" s="43" t="str">
        <x:v>yes</x:v>
      </x:c>
      <x:c r="BS155" s="43" t="str">
        <x:v>adjust comments text</x:v>
      </x:c>
      <x:c r="BT155" s="43" t="str"/>
      <x:c r="BU155" s="43" t="str"/>
      <x:c r="BV155" s="43" t="str"/>
      <x:c r="BW155" s="43" t="str">
        <x:v>0.864128</x:v>
      </x:c>
      <x:c r="BX155" s="43" t="str">
        <x:v>SD / sqrt(n), using descriptive statistics calculated from author raw data</x:v>
      </x:c>
      <x:c r="BY155" s="43" t="str">
        <x:v>included_studies/abramova_2020_genpath/abramova2020_descriptives.xlsx, tidy_all</x:v>
      </x:c>
      <x:c r="BZ155" s="43" t="str"/>
      <x:c r="CA155" s="43" t="str">
        <x:v>1.231458</x:v>
      </x:c>
      <x:c r="CB155" s="43" t="str">
        <x:v>SD / sqrt(n), using descriptive statistics calculated from author raw data</x:v>
      </x:c>
      <x:c r="CC155" s="43" t="str">
        <x:v>included_studies/abramova_2020_genpath/abramova2020_descriptives.xlsx, tidy_all</x:v>
      </x:c>
      <x:c r="CD155" s="43" t="str">
        <x:v>Corrected derived value</x:v>
      </x:c>
      <x:c r="CE155" s="43" t="str">
        <x:v>5 – Abramova 2020 derived SEs</x:v>
      </x:c>
      <x:c r="CF155" s="43" t="str">
        <x:v>The analysis SE is recalculated as SD/sqrt(n); no author-reported statistic is overwritten.</x:v>
      </x:c>
    </x:row>
    <x:row r="156">
      <x:c r="A156" s="43" t="str">
        <x:v>156</x:v>
      </x:c>
      <x:c r="B156" s="43" t="str">
        <x:v>abramova_2020_genpath</x:v>
      </x:c>
      <x:c r="C156" s="43" t="str">
        <x:v>ex024</x:v>
      </x:c>
      <x:c r="D156" s="43" t="str">
        <x:v>con020</x:v>
      </x:c>
      <x:c r="E156" s="43" t="str">
        <x:v>out073</x:v>
      </x:c>
      <x:c r="F156" s="43" t="str">
        <x:v>es155</x:v>
      </x:c>
      <x:c r="G156" s="43" t="str">
        <x:v>No</x:v>
      </x:c>
      <x:c r="H156" s="43" t="str">
        <x:v>They had one level of exposure, and two experimental groups, female and males, and one control per group</x:v>
      </x:c>
      <x:c r="I156" s="43" t="str">
        <x:v>Social and Cognitive Impairments in Rat Offspring after Ultrasound-Induced Prenatal Stress</x:v>
      </x:c>
      <x:c r="J156" s="43" t="str">
        <x:v>10.1007/s10517-020-04790-0</x:v>
      </x:c>
      <x:c r="K156" s="43" t="str">
        <x:v>General Pathology and Pathophysiology</x:v>
      </x:c>
      <x:c r="L156" s="43" t="str">
        <x:v>Only one assay </x:v>
      </x:c>
      <x:c r="M156" s="43" t="str">
        <x:v>Rattus norvegicus</x:v>
      </x:c>
      <x:c r="N156" s="43" t="str">
        <x:v>albino lab rat</x:v>
      </x:c>
      <x:c r="O156" s="43" t="str">
        <x:v>Sprague-Dawley</x:v>
      </x:c>
      <x:c r="P156" s="43" t="str"/>
      <x:c r="Q156" s="43" t="str">
        <x:v>not reported</x:v>
      </x:c>
      <x:c r="R156" s="43" t="str">
        <x:v>early, mid, late</x:v>
      </x:c>
      <x:c r="S156" s="43" t="str">
        <x:v>all gestation</x:v>
      </x:c>
      <x:c r="T156" s="43" t="str">
        <x:v>21</x:v>
      </x:c>
      <x:c r="U156" s="43" t="str">
        <x:v>Continuous</x:v>
      </x:c>
      <x:c r="V156" s="43" t="str">
        <x:v>24.0</x:v>
      </x:c>
      <x:c r="W156" s="43" t="str">
        <x:v>Expossed to continuous variable frequencies </x:v>
      </x:c>
      <x:c r="X156" s="43" t="str">
        <x:v>Ultrasound</x:v>
      </x:c>
      <x:c r="Y156" s="43" t="str">
        <x:v>Ultrasound</x:v>
      </x:c>
      <x:c r="Z156" s="43" t="str">
        <x:v>50</x:v>
      </x:c>
      <x:c r="AA156" s="43" t="str">
        <x:v>20,000-45,000</x:v>
      </x:c>
      <x:c r="AB156" s="43" t="str">
        <x:v>Ambient sound</x:v>
      </x:c>
      <x:c r="AC156" s="43" t="str"/>
      <x:c r="AD156" s="43" t="str">
        <x:v>"under normal conditions without ultrasound"</x:v>
      </x:c>
      <x:c r="AE156" s="43" t="str">
        <x:v>female</x:v>
      </x:c>
      <x:c r="AF156" s="43" t="str">
        <x:v>90</x:v>
      </x:c>
      <x:c r="AG156" s="43" t="str">
        <x:v>3 months</x:v>
      </x:c>
      <x:c r="AH156" s="43" t="str">
        <x:v>none</x:v>
      </x:c>
      <x:c r="AI156" s="43" t="str"/>
      <x:c r="AJ156" s="43" t="str">
        <x:v>Anxiety</x:v>
      </x:c>
      <x:c r="AK156" s="43" t="str">
        <x:v>Elevated Plus Maze (EPM)</x:v>
      </x:c>
      <x:c r="AL156" s="43" t="str"/>
      <x:c r="AM156" s="43" t="str">
        <x:v>Rearing frequency</x:v>
      </x:c>
      <x:c r="AN156" s="43" t="str">
        <x:v>Count</x:v>
      </x:c>
      <x:c r="AO156" s="43" t="str">
        <x:v>Count</x:v>
      </x:c>
      <x:c r="AP156" s="43" t="str">
        <x:v>Light phase</x:v>
      </x:c>
      <x:c r="AQ156" s="43" t="str">
        <x:v>raw data</x:v>
      </x:c>
      <x:c r="AR156" s="43" t="str">
        <x:v>abramova_2020_genpath</x:v>
      </x:c>
      <x:c r="AS156" s="43" t="str">
        <x:v>KO-f-rea</x:v>
      </x:c>
      <x:c r="AT156" s="43" t="str">
        <x:v>US-f-g1</x:v>
      </x:c>
      <x:c r="AU156" s="43" t="str">
        <x:v>KO_US_f_rf</x:v>
      </x:c>
      <x:c r="AV156" s="43" t="str">
        <x:v>Independent</x:v>
      </x:c>
      <x:c r="AW156" s="43" t="str">
        <x:v>Yes</x:v>
      </x:c>
      <x:c r="AX156" s="43" t="str">
        <x:v>Negative</x:v>
      </x:c>
      <x:c r="AY156" s="43" t="str"/>
      <x:c r="AZ156" s="43" t="str">
        <x:v>11.7222</x:v>
      </x:c>
      <x:c r="BA156" s="43" t="str">
        <x:v>5.4966</x:v>
      </x:c>
      <x:c r="BB156" s="43" t="str">
        <x:v>18</x:v>
      </x:c>
      <x:c r="BC156" s="43" t="str">
        <x:v>2.763</x:v>
      </x:c>
      <x:c r="BD156" s="43" t="str"/>
      <x:c r="BE156" s="43" t="str">
        <x:v>16.9375</x:v>
      </x:c>
      <x:c r="BF156" s="43" t="str">
        <x:v>6.678</x:v>
      </x:c>
      <x:c r="BG156" s="43" t="str">
        <x:v>16</x:v>
      </x:c>
      <x:c r="BH156" s="43" t="str">
        <x:v>1.6695</x:v>
      </x:c>
      <x:c r="BI156" s="43" t="str"/>
      <x:c r="BJ156" s="43" t="str">
        <x:v>Extracted all from raw data</x:v>
      </x:c>
      <x:c r="BK156" s="43" t="str">
        <x:v>Data  provided by Abramova on request</x:v>
      </x:c>
      <x:c r="BL156" s="43" t="str"/>
      <x:c r="BM156" s="43" t="str"/>
      <x:c r="BN156" s="43" t="str"/>
      <x:c r="BO156" s="43" t="str"/>
      <x:c r="BP156" s="43" t="str"/>
      <x:c r="BQ156" s="43" t="str"/>
      <x:c r="BR156" s="43" t="str">
        <x:v>yes</x:v>
      </x:c>
      <x:c r="BS156" s="43" t="str">
        <x:v>adjust comments text</x:v>
      </x:c>
      <x:c r="BT156" s="43" t="str"/>
      <x:c r="BU156" s="43" t="str"/>
      <x:c r="BV156" s="43" t="str"/>
      <x:c r="BW156" s="43" t="str">
        <x:v>1.295561</x:v>
      </x:c>
      <x:c r="BX156" s="43" t="str">
        <x:v>SD / sqrt(n), using descriptive statistics calculated from author raw data</x:v>
      </x:c>
      <x:c r="BY156" s="43" t="str">
        <x:v>included_studies/abramova_2020_genpath/abramova2020_descriptives.xlsx, tidy_all</x:v>
      </x:c>
      <x:c r="BZ156" s="43" t="str"/>
      <x:c r="CA156" s="43" t="str">
        <x:v>1.6695</x:v>
      </x:c>
      <x:c r="CB156" s="43" t="str">
        <x:v>SD / sqrt(n), using descriptive statistics calculated from author raw data</x:v>
      </x:c>
      <x:c r="CC156" s="43" t="str">
        <x:v>included_studies/abramova_2020_genpath/abramova2020_descriptives.xlsx, tidy_all</x:v>
      </x:c>
      <x:c r="CD156" s="43" t="str">
        <x:v>Corrected derived value</x:v>
      </x:c>
      <x:c r="CE156" s="43" t="str">
        <x:v>5 – Abramova 2020 derived SEs</x:v>
      </x:c>
      <x:c r="CF156" s="43" t="str">
        <x:v>The analysis SE is recalculated as SD/sqrt(n); no author-reported statistic is overwritten.</x:v>
      </x:c>
    </x:row>
    <x:row r="157">
      <x:c r="A157" s="43" t="str">
        <x:v>157</x:v>
      </x:c>
      <x:c r="B157" s="43" t="str">
        <x:v>abramova_2020_genpath</x:v>
      </x:c>
      <x:c r="C157" s="43" t="str">
        <x:v>ex023</x:v>
      </x:c>
      <x:c r="D157" s="43" t="str">
        <x:v>con019</x:v>
      </x:c>
      <x:c r="E157" s="43" t="str">
        <x:v>out074</x:v>
      </x:c>
      <x:c r="F157" s="43" t="str">
        <x:v>es156</x:v>
      </x:c>
      <x:c r="G157" s="43" t="str">
        <x:v>No</x:v>
      </x:c>
      <x:c r="H157" s="43" t="str">
        <x:v>They had one level of exposure, and two experimental groups, female and males, and one control per group</x:v>
      </x:c>
      <x:c r="I157" s="43" t="str">
        <x:v>Social and Cognitive Impairments in Rat Offspring after Ultrasound-Induced Prenatal Stress</x:v>
      </x:c>
      <x:c r="J157" s="43" t="str">
        <x:v>10.1007/s10517-020-04790-0</x:v>
      </x:c>
      <x:c r="K157" s="43" t="str">
        <x:v>General Pathology and Pathophysiology</x:v>
      </x:c>
      <x:c r="L157" s="43" t="str">
        <x:v>Only one assay </x:v>
      </x:c>
      <x:c r="M157" s="43" t="str">
        <x:v>Rattus norvegicus</x:v>
      </x:c>
      <x:c r="N157" s="43" t="str">
        <x:v>albino lab rat</x:v>
      </x:c>
      <x:c r="O157" s="43" t="str">
        <x:v>Sprague-Dawley</x:v>
      </x:c>
      <x:c r="P157" s="43" t="str"/>
      <x:c r="Q157" s="43" t="str">
        <x:v>not reported</x:v>
      </x:c>
      <x:c r="R157" s="43" t="str">
        <x:v>early, mid, late</x:v>
      </x:c>
      <x:c r="S157" s="43" t="str">
        <x:v>all gestation</x:v>
      </x:c>
      <x:c r="T157" s="43" t="str">
        <x:v>21</x:v>
      </x:c>
      <x:c r="U157" s="43" t="str">
        <x:v>Continuous</x:v>
      </x:c>
      <x:c r="V157" s="43" t="str">
        <x:v>24.0</x:v>
      </x:c>
      <x:c r="W157" s="43" t="str">
        <x:v>Expossed to continuous variable frequencies </x:v>
      </x:c>
      <x:c r="X157" s="43" t="str">
        <x:v>Ultrasound</x:v>
      </x:c>
      <x:c r="Y157" s="43" t="str">
        <x:v>Ultrasound</x:v>
      </x:c>
      <x:c r="Z157" s="43" t="str">
        <x:v>50</x:v>
      </x:c>
      <x:c r="AA157" s="43" t="str">
        <x:v>20,000-45,000</x:v>
      </x:c>
      <x:c r="AB157" s="43" t="str">
        <x:v>Ambient sound</x:v>
      </x:c>
      <x:c r="AC157" s="43" t="str"/>
      <x:c r="AD157" s="43" t="str">
        <x:v>"under normal conditions without ultrasound"</x:v>
      </x:c>
      <x:c r="AE157" s="43" t="str">
        <x:v>male</x:v>
      </x:c>
      <x:c r="AF157" s="43" t="str">
        <x:v>90</x:v>
      </x:c>
      <x:c r="AG157" s="43" t="str">
        <x:v>3 months</x:v>
      </x:c>
      <x:c r="AH157" s="43" t="str">
        <x:v>none</x:v>
      </x:c>
      <x:c r="AI157" s="43" t="str"/>
      <x:c r="AJ157" s="43" t="str">
        <x:v>Anxiety</x:v>
      </x:c>
      <x:c r="AK157" s="43" t="str">
        <x:v>Elevated Plus Maze (EPM)</x:v>
      </x:c>
      <x:c r="AL157" s="43" t="str"/>
      <x:c r="AM157" s="43" t="str">
        <x:v>Total freezing time</x:v>
      </x:c>
      <x:c r="AN157" s="43" t="str">
        <x:v>Time</x:v>
      </x:c>
      <x:c r="AO157" s="43" t="str">
        <x:v>s</x:v>
      </x:c>
      <x:c r="AP157" s="43" t="str">
        <x:v>Light phase</x:v>
      </x:c>
      <x:c r="AQ157" s="43" t="str">
        <x:v>raw data</x:v>
      </x:c>
      <x:c r="AR157" s="43" t="str">
        <x:v>abramova_2020_genpath</x:v>
      </x:c>
      <x:c r="AS157" s="43" t="str">
        <x:v>KO-m-rea</x:v>
      </x:c>
      <x:c r="AT157" s="43" t="str">
        <x:v>US-m-g1</x:v>
      </x:c>
      <x:c r="AU157" s="43" t="str">
        <x:v>KO_US_m_tft</x:v>
      </x:c>
      <x:c r="AV157" s="43" t="str">
        <x:v>Independent</x:v>
      </x:c>
      <x:c r="AW157" s="43" t="str">
        <x:v>No</x:v>
      </x:c>
      <x:c r="AX157" s="43" t="str">
        <x:v>Positive</x:v>
      </x:c>
      <x:c r="AY157" s="43" t="str"/>
      <x:c r="AZ157" s="43" t="str">
        <x:v>22.984</x:v>
      </x:c>
      <x:c r="BA157" s="43" t="str">
        <x:v>36.2606</x:v>
      </x:c>
      <x:c r="BB157" s="43" t="str">
        <x:v>20</x:v>
      </x:c>
      <x:c r="BC157" s="43" t="str">
        <x:v>5.1394</x:v>
      </x:c>
      <x:c r="BD157" s="43" t="str"/>
      <x:c r="BE157" s="43" t="str">
        <x:v>6.5274</x:v>
      </x:c>
      <x:c r="BF157" s="43" t="str">
        <x:v>11.2848</x:v>
      </x:c>
      <x:c r="BG157" s="43" t="str">
        <x:v>19</x:v>
      </x:c>
      <x:c r="BH157" s="43" t="str">
        <x:v>2.5889</x:v>
      </x:c>
      <x:c r="BI157" s="43" t="str"/>
      <x:c r="BJ157" s="43" t="str">
        <x:v>Extracted all from raw data</x:v>
      </x:c>
      <x:c r="BK157" s="43" t="str">
        <x:v>Data  provided by Abramova on request</x:v>
      </x:c>
      <x:c r="BL157" s="43" t="str"/>
      <x:c r="BM157" s="43" t="str"/>
      <x:c r="BN157" s="43" t="str"/>
      <x:c r="BO157" s="43" t="str"/>
      <x:c r="BP157" s="43" t="str"/>
      <x:c r="BQ157" s="43" t="str"/>
      <x:c r="BR157" s="43" t="str">
        <x:v>yes</x:v>
      </x:c>
      <x:c r="BS157" s="43" t="str">
        <x:v>adjust comments text</x:v>
      </x:c>
      <x:c r="BT157" s="43" t="str"/>
      <x:c r="BU157" s="43" t="str"/>
      <x:c r="BV157" s="43" t="str"/>
      <x:c r="BW157" s="43" t="str">
        <x:v>8.108117</x:v>
      </x:c>
      <x:c r="BX157" s="43" t="str">
        <x:v>SD / sqrt(n), using descriptive statistics calculated from author raw data</x:v>
      </x:c>
      <x:c r="BY157" s="43" t="str">
        <x:v>included_studies/abramova_2020_genpath/abramova2020_descriptives.xlsx, tidy_all</x:v>
      </x:c>
      <x:c r="BZ157" s="43" t="str"/>
      <x:c r="CA157" s="43" t="str">
        <x:v>2.588911</x:v>
      </x:c>
      <x:c r="CB157" s="43" t="str">
        <x:v>SD / sqrt(n), using descriptive statistics calculated from author raw data</x:v>
      </x:c>
      <x:c r="CC157" s="43" t="str">
        <x:v>included_studies/abramova_2020_genpath/abramova2020_descriptives.xlsx, tidy_all</x:v>
      </x:c>
      <x:c r="CD157" s="43" t="str">
        <x:v>Corrected derived value</x:v>
      </x:c>
      <x:c r="CE157" s="43" t="str">
        <x:v>5 – Abramova 2020 derived SEs</x:v>
      </x:c>
      <x:c r="CF157" s="43" t="str">
        <x:v>The analysis SE is recalculated as SD/sqrt(n); no author-reported statistic is overwritten.</x:v>
      </x:c>
    </x:row>
    <x:row r="158">
      <x:c r="A158" s="43" t="str">
        <x:v>158</x:v>
      </x:c>
      <x:c r="B158" s="43" t="str">
        <x:v>abramova_2020_genpath</x:v>
      </x:c>
      <x:c r="C158" s="43" t="str">
        <x:v>ex024</x:v>
      </x:c>
      <x:c r="D158" s="43" t="str">
        <x:v>con020</x:v>
      </x:c>
      <x:c r="E158" s="43" t="str">
        <x:v>out074</x:v>
      </x:c>
      <x:c r="F158" s="43" t="str">
        <x:v>es157</x:v>
      </x:c>
      <x:c r="G158" s="43" t="str">
        <x:v>No</x:v>
      </x:c>
      <x:c r="H158" s="43" t="str">
        <x:v>They had one level of exposure, and two experimental groups, female and males, and one control per group</x:v>
      </x:c>
      <x:c r="I158" s="43" t="str">
        <x:v>Social and Cognitive Impairments in Rat Offspring after Ultrasound-Induced Prenatal Stress</x:v>
      </x:c>
      <x:c r="J158" s="43" t="str">
        <x:v>10.1007/s10517-020-04790-0</x:v>
      </x:c>
      <x:c r="K158" s="43" t="str">
        <x:v>General Pathology and Pathophysiology</x:v>
      </x:c>
      <x:c r="L158" s="43" t="str">
        <x:v>Only one assay </x:v>
      </x:c>
      <x:c r="M158" s="43" t="str">
        <x:v>Rattus norvegicus</x:v>
      </x:c>
      <x:c r="N158" s="43" t="str">
        <x:v>albino lab rat</x:v>
      </x:c>
      <x:c r="O158" s="43" t="str">
        <x:v>Sprague-Dawley</x:v>
      </x:c>
      <x:c r="P158" s="43" t="str"/>
      <x:c r="Q158" s="43" t="str">
        <x:v>not reported</x:v>
      </x:c>
      <x:c r="R158" s="43" t="str">
        <x:v>early, mid, late</x:v>
      </x:c>
      <x:c r="S158" s="43" t="str">
        <x:v>all gestation</x:v>
      </x:c>
      <x:c r="T158" s="43" t="str">
        <x:v>21</x:v>
      </x:c>
      <x:c r="U158" s="43" t="str">
        <x:v>Continuous</x:v>
      </x:c>
      <x:c r="V158" s="43" t="str">
        <x:v>24.0</x:v>
      </x:c>
      <x:c r="W158" s="43" t="str">
        <x:v>Expossed to continuous variable frequencies </x:v>
      </x:c>
      <x:c r="X158" s="43" t="str">
        <x:v>Ultrasound</x:v>
      </x:c>
      <x:c r="Y158" s="43" t="str">
        <x:v>Ultrasound</x:v>
      </x:c>
      <x:c r="Z158" s="43" t="str">
        <x:v>50</x:v>
      </x:c>
      <x:c r="AA158" s="43" t="str">
        <x:v>20,000-45,000</x:v>
      </x:c>
      <x:c r="AB158" s="43" t="str">
        <x:v>Ambient sound</x:v>
      </x:c>
      <x:c r="AC158" s="43" t="str"/>
      <x:c r="AD158" s="43" t="str">
        <x:v>"under normal conditions without ultrasound"</x:v>
      </x:c>
      <x:c r="AE158" s="43" t="str">
        <x:v>female</x:v>
      </x:c>
      <x:c r="AF158" s="43" t="str">
        <x:v>90</x:v>
      </x:c>
      <x:c r="AG158" s="43" t="str">
        <x:v>3 months</x:v>
      </x:c>
      <x:c r="AH158" s="43" t="str">
        <x:v>none</x:v>
      </x:c>
      <x:c r="AI158" s="43" t="str"/>
      <x:c r="AJ158" s="43" t="str">
        <x:v>Anxiety</x:v>
      </x:c>
      <x:c r="AK158" s="43" t="str">
        <x:v>Elevated Plus Maze (EPM)</x:v>
      </x:c>
      <x:c r="AL158" s="43" t="str"/>
      <x:c r="AM158" s="43" t="str">
        <x:v>Total freezing time</x:v>
      </x:c>
      <x:c r="AN158" s="43" t="str">
        <x:v>Time</x:v>
      </x:c>
      <x:c r="AO158" s="43" t="str">
        <x:v>s</x:v>
      </x:c>
      <x:c r="AP158" s="43" t="str">
        <x:v>Light phase</x:v>
      </x:c>
      <x:c r="AQ158" s="43" t="str">
        <x:v>raw data</x:v>
      </x:c>
      <x:c r="AR158" s="43" t="str">
        <x:v>abramova_2020_genpath</x:v>
      </x:c>
      <x:c r="AS158" s="43" t="str">
        <x:v>KO-f-rea</x:v>
      </x:c>
      <x:c r="AT158" s="43" t="str">
        <x:v>US-f-g1</x:v>
      </x:c>
      <x:c r="AU158" s="43" t="str">
        <x:v>KO_US_f_tft</x:v>
      </x:c>
      <x:c r="AV158" s="43" t="str">
        <x:v>Independent</x:v>
      </x:c>
      <x:c r="AW158" s="43" t="str">
        <x:v>No</x:v>
      </x:c>
      <x:c r="AX158" s="43" t="str">
        <x:v>Positive</x:v>
      </x:c>
      <x:c r="AY158" s="43" t="str"/>
      <x:c r="AZ158" s="43" t="str">
        <x:v>11.1783</x:v>
      </x:c>
      <x:c r="BA158" s="43" t="str">
        <x:v>30.8267</x:v>
      </x:c>
      <x:c r="BB158" s="43" t="str">
        <x:v>18</x:v>
      </x:c>
      <x:c r="BC158" s="43" t="str">
        <x:v>2.6348</x:v>
      </x:c>
      <x:c r="BD158" s="43" t="str"/>
      <x:c r="BE158" s="43" t="str">
        <x:v>11.8338</x:v>
      </x:c>
      <x:c r="BF158" s="43" t="str">
        <x:v>18.4115</x:v>
      </x:c>
      <x:c r="BG158" s="43" t="str">
        <x:v>16</x:v>
      </x:c>
      <x:c r="BH158" s="43" t="str">
        <x:v>4.6029</x:v>
      </x:c>
      <x:c r="BI158" s="43" t="str"/>
      <x:c r="BJ158" s="43" t="str">
        <x:v>Extracted all from raw data</x:v>
      </x:c>
      <x:c r="BK158" s="43" t="str">
        <x:v>Data  provided by Abramova on request</x:v>
      </x:c>
      <x:c r="BL158" s="43" t="str"/>
      <x:c r="BM158" s="43" t="str"/>
      <x:c r="BN158" s="43" t="str"/>
      <x:c r="BO158" s="43" t="str"/>
      <x:c r="BP158" s="43" t="str"/>
      <x:c r="BQ158" s="43" t="str"/>
      <x:c r="BR158" s="43" t="str">
        <x:v>yes</x:v>
      </x:c>
      <x:c r="BS158" s="43" t="str">
        <x:v>adjust comments text</x:v>
      </x:c>
      <x:c r="BT158" s="43" t="str"/>
      <x:c r="BU158" s="43" t="str"/>
      <x:c r="BV158" s="43" t="str"/>
      <x:c r="BW158" s="43" t="str">
        <x:v>7.265923</x:v>
      </x:c>
      <x:c r="BX158" s="43" t="str">
        <x:v>SD / sqrt(n), using descriptive statistics calculated from author raw data</x:v>
      </x:c>
      <x:c r="BY158" s="43" t="str">
        <x:v>included_studies/abramova_2020_genpath/abramova2020_descriptives.xlsx, tidy_all</x:v>
      </x:c>
      <x:c r="BZ158" s="43" t="str"/>
      <x:c r="CA158" s="43" t="str">
        <x:v>4.602875</x:v>
      </x:c>
      <x:c r="CB158" s="43" t="str">
        <x:v>SD / sqrt(n), using descriptive statistics calculated from author raw data</x:v>
      </x:c>
      <x:c r="CC158" s="43" t="str">
        <x:v>included_studies/abramova_2020_genpath/abramova2020_descriptives.xlsx, tidy_all</x:v>
      </x:c>
      <x:c r="CD158" s="43" t="str">
        <x:v>Corrected derived value</x:v>
      </x:c>
      <x:c r="CE158" s="43" t="str">
        <x:v>5 – Abramova 2020 derived SEs</x:v>
      </x:c>
      <x:c r="CF158" s="43" t="str">
        <x:v>The analysis SE is recalculated as SD/sqrt(n); no author-reported statistic is overwritten.</x:v>
      </x:c>
    </x:row>
    <x:row r="159">
      <x:c r="A159" s="43" t="str">
        <x:v>159</x:v>
      </x:c>
      <x:c r="B159" s="43" t="str">
        <x:v>abramova_2020_genpath</x:v>
      </x:c>
      <x:c r="C159" s="43" t="str">
        <x:v>ex023</x:v>
      </x:c>
      <x:c r="D159" s="43" t="str">
        <x:v>con019</x:v>
      </x:c>
      <x:c r="E159" s="43" t="str">
        <x:v>out075</x:v>
      </x:c>
      <x:c r="F159" s="43" t="str">
        <x:v>es158</x:v>
      </x:c>
      <x:c r="G159" s="43" t="str">
        <x:v>No</x:v>
      </x:c>
      <x:c r="H159" s="43" t="str">
        <x:v>They had one level of exposure, and two experimental groups, female and males, and one control per group</x:v>
      </x:c>
      <x:c r="I159" s="43" t="str">
        <x:v>Social and Cognitive Impairments in Rat Offspring after Ultrasound-Induced Prenatal Stress</x:v>
      </x:c>
      <x:c r="J159" s="43" t="str">
        <x:v>10.1007/s10517-020-04790-0</x:v>
      </x:c>
      <x:c r="K159" s="43" t="str">
        <x:v>General Pathology and Pathophysiology</x:v>
      </x:c>
      <x:c r="L159" s="43" t="str">
        <x:v>Only one assay </x:v>
      </x:c>
      <x:c r="M159" s="43" t="str">
        <x:v>Rattus norvegicus</x:v>
      </x:c>
      <x:c r="N159" s="43" t="str">
        <x:v>albino lab rat</x:v>
      </x:c>
      <x:c r="O159" s="43" t="str">
        <x:v>Sprague-Dawley</x:v>
      </x:c>
      <x:c r="P159" s="43" t="str"/>
      <x:c r="Q159" s="43" t="str">
        <x:v>not reported</x:v>
      </x:c>
      <x:c r="R159" s="43" t="str">
        <x:v>early, mid, late</x:v>
      </x:c>
      <x:c r="S159" s="43" t="str">
        <x:v>all gestation</x:v>
      </x:c>
      <x:c r="T159" s="43" t="str">
        <x:v>21</x:v>
      </x:c>
      <x:c r="U159" s="43" t="str">
        <x:v>Continuous</x:v>
      </x:c>
      <x:c r="V159" s="43" t="str">
        <x:v>24.0</x:v>
      </x:c>
      <x:c r="W159" s="43" t="str">
        <x:v>Expossed to continuous variable frequencies </x:v>
      </x:c>
      <x:c r="X159" s="43" t="str">
        <x:v>Ultrasound</x:v>
      </x:c>
      <x:c r="Y159" s="43" t="str">
        <x:v>Ultrasound</x:v>
      </x:c>
      <x:c r="Z159" s="43" t="str">
        <x:v>50</x:v>
      </x:c>
      <x:c r="AA159" s="43" t="str">
        <x:v>20,000-45,000</x:v>
      </x:c>
      <x:c r="AB159" s="43" t="str">
        <x:v>Ambient sound</x:v>
      </x:c>
      <x:c r="AC159" s="43" t="str"/>
      <x:c r="AD159" s="43" t="str">
        <x:v>"under normal conditions without ultrasound"</x:v>
      </x:c>
      <x:c r="AE159" s="43" t="str">
        <x:v>male</x:v>
      </x:c>
      <x:c r="AF159" s="43" t="str">
        <x:v>90</x:v>
      </x:c>
      <x:c r="AG159" s="43" t="str">
        <x:v>3 months</x:v>
      </x:c>
      <x:c r="AH159" s="43" t="str">
        <x:v>none</x:v>
      </x:c>
      <x:c r="AI159" s="43" t="str"/>
      <x:c r="AJ159" s="43" t="str">
        <x:v>Anxiety</x:v>
      </x:c>
      <x:c r="AK159" s="43" t="str">
        <x:v>Elevated Plus Maze (EPM)</x:v>
      </x:c>
      <x:c r="AL159" s="43" t="str"/>
      <x:c r="AM159" s="43" t="str">
        <x:v>Grooming frequency</x:v>
      </x:c>
      <x:c r="AN159" s="43" t="str">
        <x:v>Count</x:v>
      </x:c>
      <x:c r="AO159" s="43" t="str">
        <x:v>Count</x:v>
      </x:c>
      <x:c r="AP159" s="43" t="str">
        <x:v>Light phase</x:v>
      </x:c>
      <x:c r="AQ159" s="43" t="str">
        <x:v>raw data</x:v>
      </x:c>
      <x:c r="AR159" s="43" t="str">
        <x:v>abramova_2020_genpath</x:v>
      </x:c>
      <x:c r="AS159" s="43" t="str">
        <x:v>KO-m-rea</x:v>
      </x:c>
      <x:c r="AT159" s="43" t="str">
        <x:v>US-m-g1</x:v>
      </x:c>
      <x:c r="AU159" s="43" t="str">
        <x:v>KO_US_m_grf</x:v>
      </x:c>
      <x:c r="AV159" s="43" t="str">
        <x:v>Independent</x:v>
      </x:c>
      <x:c r="AW159" s="43" t="str">
        <x:v>No</x:v>
      </x:c>
      <x:c r="AX159" s="43" t="str">
        <x:v>Positive</x:v>
      </x:c>
      <x:c r="AY159" s="43" t="str"/>
      <x:c r="AZ159" s="43" t="str">
        <x:v>3.8</x:v>
      </x:c>
      <x:c r="BA159" s="43" t="str">
        <x:v>2.3753</x:v>
      </x:c>
      <x:c r="BB159" s="43" t="str">
        <x:v>20</x:v>
      </x:c>
      <x:c r="BC159" s="43" t="str">
        <x:v>0.8497</x:v>
      </x:c>
      <x:c r="BD159" s="43" t="str"/>
      <x:c r="BE159" s="43" t="str">
        <x:v>3.8421</x:v>
      </x:c>
      <x:c r="BF159" s="43" t="str">
        <x:v>2.5224</x:v>
      </x:c>
      <x:c r="BG159" s="43" t="str">
        <x:v>19</x:v>
      </x:c>
      <x:c r="BH159" s="43" t="str">
        <x:v>0.5787</x:v>
      </x:c>
      <x:c r="BI159" s="43" t="str"/>
      <x:c r="BJ159" s="43" t="str">
        <x:v>Extracted all from raw data</x:v>
      </x:c>
      <x:c r="BK159" s="43" t="str">
        <x:v>Data  provided by Abramova on request</x:v>
      </x:c>
      <x:c r="BL159" s="43" t="str"/>
      <x:c r="BM159" s="43" t="str"/>
      <x:c r="BN159" s="43" t="str"/>
      <x:c r="BO159" s="43" t="str"/>
      <x:c r="BP159" s="43" t="str"/>
      <x:c r="BQ159" s="43" t="str"/>
      <x:c r="BR159" s="43" t="str">
        <x:v>yes</x:v>
      </x:c>
      <x:c r="BS159" s="43" t="str">
        <x:v>adjust comments text</x:v>
      </x:c>
      <x:c r="BT159" s="43" t="str"/>
      <x:c r="BU159" s="43" t="str"/>
      <x:c r="BV159" s="43" t="str"/>
      <x:c r="BW159" s="43" t="str">
        <x:v>0.531133</x:v>
      </x:c>
      <x:c r="BX159" s="43" t="str">
        <x:v>SD / sqrt(n), using descriptive statistics calculated from author raw data</x:v>
      </x:c>
      <x:c r="BY159" s="43" t="str">
        <x:v>included_studies/abramova_2020_genpath/abramova2020_descriptives.xlsx, tidy_all</x:v>
      </x:c>
      <x:c r="BZ159" s="43" t="str"/>
      <x:c r="CA159" s="43" t="str">
        <x:v>0.578678</x:v>
      </x:c>
      <x:c r="CB159" s="43" t="str">
        <x:v>SD / sqrt(n), using descriptive statistics calculated from author raw data</x:v>
      </x:c>
      <x:c r="CC159" s="43" t="str">
        <x:v>included_studies/abramova_2020_genpath/abramova2020_descriptives.xlsx, tidy_all</x:v>
      </x:c>
      <x:c r="CD159" s="43" t="str">
        <x:v>Corrected derived value</x:v>
      </x:c>
      <x:c r="CE159" s="43" t="str">
        <x:v>5 – Abramova 2020 derived SEs</x:v>
      </x:c>
      <x:c r="CF159" s="43" t="str">
        <x:v>The analysis SE is recalculated as SD/sqrt(n); no author-reported statistic is overwritten.</x:v>
      </x:c>
    </x:row>
    <x:row r="160">
      <x:c r="A160" s="43" t="str">
        <x:v>160</x:v>
      </x:c>
      <x:c r="B160" s="43" t="str">
        <x:v>abramova_2020_genpath</x:v>
      </x:c>
      <x:c r="C160" s="43" t="str">
        <x:v>ex024</x:v>
      </x:c>
      <x:c r="D160" s="43" t="str">
        <x:v>con020</x:v>
      </x:c>
      <x:c r="E160" s="43" t="str">
        <x:v>out075</x:v>
      </x:c>
      <x:c r="F160" s="43" t="str">
        <x:v>es159</x:v>
      </x:c>
      <x:c r="G160" s="43" t="str">
        <x:v>No</x:v>
      </x:c>
      <x:c r="H160" s="43" t="str">
        <x:v>They had one level of exposure, and two experimental groups, female and males, and one control per group</x:v>
      </x:c>
      <x:c r="I160" s="43" t="str">
        <x:v>Social and Cognitive Impairments in Rat Offspring after Ultrasound-Induced Prenatal Stress</x:v>
      </x:c>
      <x:c r="J160" s="43" t="str">
        <x:v>10.1007/s10517-020-04790-0</x:v>
      </x:c>
      <x:c r="K160" s="43" t="str">
        <x:v>General Pathology and Pathophysiology</x:v>
      </x:c>
      <x:c r="L160" s="43" t="str">
        <x:v>Only one assay </x:v>
      </x:c>
      <x:c r="M160" s="43" t="str">
        <x:v>Rattus norvegicus</x:v>
      </x:c>
      <x:c r="N160" s="43" t="str">
        <x:v>albino lab rat</x:v>
      </x:c>
      <x:c r="O160" s="43" t="str">
        <x:v>Sprague-Dawley</x:v>
      </x:c>
      <x:c r="P160" s="43" t="str"/>
      <x:c r="Q160" s="43" t="str">
        <x:v>not reported</x:v>
      </x:c>
      <x:c r="R160" s="43" t="str">
        <x:v>early, mid, late</x:v>
      </x:c>
      <x:c r="S160" s="43" t="str">
        <x:v>all gestation</x:v>
      </x:c>
      <x:c r="T160" s="43" t="str">
        <x:v>21</x:v>
      </x:c>
      <x:c r="U160" s="43" t="str">
        <x:v>Continuous</x:v>
      </x:c>
      <x:c r="V160" s="43" t="str">
        <x:v>24.0</x:v>
      </x:c>
      <x:c r="W160" s="43" t="str">
        <x:v>Expossed to continuous variable frequencies </x:v>
      </x:c>
      <x:c r="X160" s="43" t="str">
        <x:v>Ultrasound</x:v>
      </x:c>
      <x:c r="Y160" s="43" t="str">
        <x:v>Ultrasound</x:v>
      </x:c>
      <x:c r="Z160" s="43" t="str">
        <x:v>50</x:v>
      </x:c>
      <x:c r="AA160" s="43" t="str">
        <x:v>20,000-45,000</x:v>
      </x:c>
      <x:c r="AB160" s="43" t="str">
        <x:v>Ambient sound</x:v>
      </x:c>
      <x:c r="AC160" s="43" t="str"/>
      <x:c r="AD160" s="43" t="str">
        <x:v>"under normal conditions without ultrasound"</x:v>
      </x:c>
      <x:c r="AE160" s="43" t="str">
        <x:v>female</x:v>
      </x:c>
      <x:c r="AF160" s="43" t="str">
        <x:v>90</x:v>
      </x:c>
      <x:c r="AG160" s="43" t="str">
        <x:v>3 months</x:v>
      </x:c>
      <x:c r="AH160" s="43" t="str">
        <x:v>none</x:v>
      </x:c>
      <x:c r="AI160" s="43" t="str"/>
      <x:c r="AJ160" s="43" t="str">
        <x:v>Anxiety</x:v>
      </x:c>
      <x:c r="AK160" s="43" t="str">
        <x:v>Elevated Plus Maze (EPM)</x:v>
      </x:c>
      <x:c r="AL160" s="43" t="str"/>
      <x:c r="AM160" s="43" t="str">
        <x:v>Grooming frequency</x:v>
      </x:c>
      <x:c r="AN160" s="43" t="str">
        <x:v>Count</x:v>
      </x:c>
      <x:c r="AO160" s="43" t="str">
        <x:v>Count</x:v>
      </x:c>
      <x:c r="AP160" s="43" t="str">
        <x:v>Light phase</x:v>
      </x:c>
      <x:c r="AQ160" s="43" t="str">
        <x:v>raw data</x:v>
      </x:c>
      <x:c r="AR160" s="43" t="str">
        <x:v>abramova_2020_genpath</x:v>
      </x:c>
      <x:c r="AS160" s="43" t="str">
        <x:v>KO-f-rea</x:v>
      </x:c>
      <x:c r="AT160" s="43" t="str">
        <x:v>US-f-g1</x:v>
      </x:c>
      <x:c r="AU160" s="43" t="str">
        <x:v>KO_US_f_grf</x:v>
      </x:c>
      <x:c r="AV160" s="43" t="str">
        <x:v>Independent</x:v>
      </x:c>
      <x:c r="AW160" s="43" t="str">
        <x:v>No</x:v>
      </x:c>
      <x:c r="AX160" s="43" t="str">
        <x:v>Positive</x:v>
      </x:c>
      <x:c r="AY160" s="43" t="str"/>
      <x:c r="AZ160" s="43" t="str">
        <x:v>4.3889</x:v>
      </x:c>
      <x:c r="BA160" s="43" t="str">
        <x:v>2.2528</x:v>
      </x:c>
      <x:c r="BB160" s="43" t="str">
        <x:v>18</x:v>
      </x:c>
      <x:c r="BC160" s="43" t="str">
        <x:v>1.0345</x:v>
      </x:c>
      <x:c r="BD160" s="43" t="str"/>
      <x:c r="BE160" s="43" t="str">
        <x:v>3.5625</x:v>
      </x:c>
      <x:c r="BF160" s="43" t="str">
        <x:v>1.8608</x:v>
      </x:c>
      <x:c r="BG160" s="43" t="str">
        <x:v>16</x:v>
      </x:c>
      <x:c r="BH160" s="43" t="str">
        <x:v>0.4652</x:v>
      </x:c>
      <x:c r="BI160" s="43" t="str"/>
      <x:c r="BJ160" s="43" t="str">
        <x:v>Extracted all from raw data</x:v>
      </x:c>
      <x:c r="BK160" s="43" t="str">
        <x:v>Data  provided by Abramova on request</x:v>
      </x:c>
      <x:c r="BL160" s="43" t="str"/>
      <x:c r="BM160" s="43" t="str"/>
      <x:c r="BN160" s="43" t="str"/>
      <x:c r="BO160" s="43" t="str"/>
      <x:c r="BP160" s="43" t="str"/>
      <x:c r="BQ160" s="43" t="str"/>
      <x:c r="BR160" s="43" t="str">
        <x:v>yes</x:v>
      </x:c>
      <x:c r="BS160" s="43" t="str">
        <x:v>adjust comments text</x:v>
      </x:c>
      <x:c r="BT160" s="43" t="str"/>
      <x:c r="BU160" s="43" t="str"/>
      <x:c r="BV160" s="43" t="str"/>
      <x:c r="BW160" s="43" t="str">
        <x:v>0.53099</x:v>
      </x:c>
      <x:c r="BX160" s="43" t="str">
        <x:v>SD / sqrt(n), using descriptive statistics calculated from author raw data</x:v>
      </x:c>
      <x:c r="BY160" s="43" t="str">
        <x:v>included_studies/abramova_2020_genpath/abramova2020_descriptives.xlsx, tidy_all</x:v>
      </x:c>
      <x:c r="BZ160" s="43" t="str"/>
      <x:c r="CA160" s="43" t="str">
        <x:v>0.4652</x:v>
      </x:c>
      <x:c r="CB160" s="43" t="str">
        <x:v>SD / sqrt(n), using descriptive statistics calculated from author raw data</x:v>
      </x:c>
      <x:c r="CC160" s="43" t="str">
        <x:v>included_studies/abramova_2020_genpath/abramova2020_descriptives.xlsx, tidy_all</x:v>
      </x:c>
      <x:c r="CD160" s="43" t="str">
        <x:v>Corrected derived value</x:v>
      </x:c>
      <x:c r="CE160" s="43" t="str">
        <x:v>5 – Abramova 2020 derived SEs</x:v>
      </x:c>
      <x:c r="CF160" s="43" t="str">
        <x:v>The analysis SE is recalculated as SD/sqrt(n); no author-reported statistic is overwritten.</x:v>
      </x:c>
    </x:row>
    <x:row r="161">
      <x:c r="A161" s="43" t="str">
        <x:v>161</x:v>
      </x:c>
      <x:c r="B161" s="43" t="str">
        <x:v>abramova_2020_genpath</x:v>
      </x:c>
      <x:c r="C161" s="43" t="str">
        <x:v>ex023</x:v>
      </x:c>
      <x:c r="D161" s="43" t="str">
        <x:v>con019</x:v>
      </x:c>
      <x:c r="E161" s="43" t="str">
        <x:v>out076</x:v>
      </x:c>
      <x:c r="F161" s="43" t="str">
        <x:v>es160</x:v>
      </x:c>
      <x:c r="G161" s="43" t="str">
        <x:v>No</x:v>
      </x:c>
      <x:c r="H161" s="43" t="str">
        <x:v>They had one level of exposure, and two experimental groups, female and males, and one control per group</x:v>
      </x:c>
      <x:c r="I161" s="43" t="str">
        <x:v>Social and Cognitive Impairments in Rat Offspring after Ultrasound-Induced Prenatal Stress</x:v>
      </x:c>
      <x:c r="J161" s="43" t="str">
        <x:v>10.1007/s10517-020-04790-0</x:v>
      </x:c>
      <x:c r="K161" s="43" t="str">
        <x:v>General Pathology and Pathophysiology</x:v>
      </x:c>
      <x:c r="L161" s="43" t="str">
        <x:v>Only one assay </x:v>
      </x:c>
      <x:c r="M161" s="43" t="str">
        <x:v>Rattus norvegicus</x:v>
      </x:c>
      <x:c r="N161" s="43" t="str">
        <x:v>albino lab rat</x:v>
      </x:c>
      <x:c r="O161" s="43" t="str">
        <x:v>Sprague-Dawley</x:v>
      </x:c>
      <x:c r="P161" s="43" t="str"/>
      <x:c r="Q161" s="43" t="str">
        <x:v>not reported</x:v>
      </x:c>
      <x:c r="R161" s="43" t="str">
        <x:v>early, mid, late</x:v>
      </x:c>
      <x:c r="S161" s="43" t="str">
        <x:v>all gestation</x:v>
      </x:c>
      <x:c r="T161" s="43" t="str">
        <x:v>21</x:v>
      </x:c>
      <x:c r="U161" s="43" t="str">
        <x:v>Continuous</x:v>
      </x:c>
      <x:c r="V161" s="43" t="str">
        <x:v>24.0</x:v>
      </x:c>
      <x:c r="W161" s="43" t="str">
        <x:v>Expossed to continuous variable frequencies </x:v>
      </x:c>
      <x:c r="X161" s="43" t="str">
        <x:v>Ultrasound</x:v>
      </x:c>
      <x:c r="Y161" s="43" t="str">
        <x:v>Ultrasound</x:v>
      </x:c>
      <x:c r="Z161" s="43" t="str">
        <x:v>50</x:v>
      </x:c>
      <x:c r="AA161" s="43" t="str">
        <x:v>20,000-45,000</x:v>
      </x:c>
      <x:c r="AB161" s="43" t="str">
        <x:v>Ambient sound</x:v>
      </x:c>
      <x:c r="AC161" s="43" t="str"/>
      <x:c r="AD161" s="43" t="str">
        <x:v>"under normal conditions without ultrasound"</x:v>
      </x:c>
      <x:c r="AE161" s="43" t="str">
        <x:v>male</x:v>
      </x:c>
      <x:c r="AF161" s="43" t="str">
        <x:v>90</x:v>
      </x:c>
      <x:c r="AG161" s="43" t="str">
        <x:v>3 months</x:v>
      </x:c>
      <x:c r="AH161" s="43" t="str">
        <x:v>none</x:v>
      </x:c>
      <x:c r="AI161" s="43" t="str"/>
      <x:c r="AJ161" s="43" t="str">
        <x:v>Depression</x:v>
      </x:c>
      <x:c r="AK161" s="43" t="str">
        <x:v>Forced Swimming Test (FST)</x:v>
      </x:c>
      <x:c r="AL161" s="43" t="str"/>
      <x:c r="AM161" s="43" t="str">
        <x:v>Total immobility time</x:v>
      </x:c>
      <x:c r="AN161" s="43" t="str">
        <x:v>Time</x:v>
      </x:c>
      <x:c r="AO161" s="43" t="str">
        <x:v>s</x:v>
      </x:c>
      <x:c r="AP161" s="43" t="str">
        <x:v>Light phase</x:v>
      </x:c>
      <x:c r="AQ161" s="43" t="str">
        <x:v>raw data</x:v>
      </x:c>
      <x:c r="AR161" s="43" t="str">
        <x:v>abramova_2020_genpath</x:v>
      </x:c>
      <x:c r="AS161" s="43" t="str">
        <x:v>con_m_inm</x:v>
      </x:c>
      <x:c r="AT161" s="43" t="str">
        <x:v>ex_m_inm</x:v>
      </x:c>
      <x:c r="AU161" s="43" t="str">
        <x:v>con_ex_m_inm</x:v>
      </x:c>
      <x:c r="AV161" s="43" t="str">
        <x:v>Independent</x:v>
      </x:c>
      <x:c r="AW161" s="43" t="str">
        <x:v>No</x:v>
      </x:c>
      <x:c r="AX161" s="43" t="str">
        <x:v>Positive</x:v>
      </x:c>
      <x:c r="AY161" s="43" t="str"/>
      <x:c r="AZ161" s="43" t="str">
        <x:v>247.5357</x:v>
      </x:c>
      <x:c r="BA161" s="43" t="str">
        <x:v>63.8354</x:v>
      </x:c>
      <x:c r="BB161" s="43" t="str">
        <x:v>21</x:v>
      </x:c>
      <x:c r="BC161" s="43" t="str">
        <x:v>54.0167</x:v>
      </x:c>
      <x:c r="BD161" s="43" t="str"/>
      <x:c r="BE161" s="43" t="str">
        <x:v>186.3768</x:v>
      </x:c>
      <x:c r="BF161" s="43" t="str">
        <x:v>71.3936</x:v>
      </x:c>
      <x:c r="BG161" s="43" t="str">
        <x:v>19</x:v>
      </x:c>
      <x:c r="BH161" s="43" t="str">
        <x:v>42.7578</x:v>
      </x:c>
      <x:c r="BI161" s="43" t="str"/>
      <x:c r="BJ161" s="43" t="str">
        <x:v>Extracted all from raw data</x:v>
      </x:c>
      <x:c r="BK161" s="43" t="str">
        <x:v>Data  provided by Abramova on request</x:v>
      </x:c>
      <x:c r="BL161" s="43" t="str"/>
      <x:c r="BM161" s="43" t="str"/>
      <x:c r="BN161" s="43" t="str"/>
      <x:c r="BO161" s="43" t="str"/>
      <x:c r="BP161" s="43" t="str"/>
      <x:c r="BQ161" s="43" t="str"/>
      <x:c r="BR161" s="43" t="str">
        <x:v>yes</x:v>
      </x:c>
      <x:c r="BS161" s="43" t="str">
        <x:v>adjust comments text</x:v>
      </x:c>
      <x:c r="BT161" s="43" t="str"/>
      <x:c r="BU161" s="43" t="str"/>
      <x:c r="BV161" s="43" t="str"/>
      <x:c r="BW161" s="43" t="str">
        <x:v>13.930026</x:v>
      </x:c>
      <x:c r="BX161" s="43" t="str">
        <x:v>SD / sqrt(n), using descriptive statistics calculated from author raw data</x:v>
      </x:c>
      <x:c r="BY161" s="43" t="str">
        <x:v>included_studies/abramova_2020_genpath/abramova2020_descriptives.xlsx, tidy_all</x:v>
      </x:c>
      <x:c r="BZ161" s="43" t="str"/>
      <x:c r="CA161" s="43" t="str">
        <x:v>16.378815</x:v>
      </x:c>
      <x:c r="CB161" s="43" t="str">
        <x:v>SD / sqrt(n), using descriptive statistics calculated from author raw data</x:v>
      </x:c>
      <x:c r="CC161" s="43" t="str">
        <x:v>included_studies/abramova_2020_genpath/abramova2020_descriptives.xlsx, tidy_all</x:v>
      </x:c>
      <x:c r="CD161" s="43" t="str">
        <x:v>Corrected derived value</x:v>
      </x:c>
      <x:c r="CE161" s="43" t="str">
        <x:v>5 – Abramova 2020 derived SEs</x:v>
      </x:c>
      <x:c r="CF161" s="43" t="str">
        <x:v>The analysis SE is recalculated as SD/sqrt(n); no author-reported statistic is overwritten.</x:v>
      </x:c>
    </x:row>
    <x:row r="162">
      <x:c r="A162" s="43" t="str">
        <x:v>162</x:v>
      </x:c>
      <x:c r="B162" s="43" t="str">
        <x:v>abramova_2020_genpath</x:v>
      </x:c>
      <x:c r="C162" s="43" t="str">
        <x:v>ex024</x:v>
      </x:c>
      <x:c r="D162" s="43" t="str">
        <x:v>con020</x:v>
      </x:c>
      <x:c r="E162" s="43" t="str">
        <x:v>out076</x:v>
      </x:c>
      <x:c r="F162" s="43" t="str">
        <x:v>es161</x:v>
      </x:c>
      <x:c r="G162" s="43" t="str">
        <x:v>No</x:v>
      </x:c>
      <x:c r="H162" s="43" t="str">
        <x:v>They had one level of exposure, and two experimental groups, female and males, and one control per group</x:v>
      </x:c>
      <x:c r="I162" s="43" t="str">
        <x:v>Social and Cognitive Impairments in Rat Offspring after Ultrasound-Induced Prenatal Stress</x:v>
      </x:c>
      <x:c r="J162" s="43" t="str">
        <x:v>10.1007/s10517-020-04790-0</x:v>
      </x:c>
      <x:c r="K162" s="43" t="str">
        <x:v>General Pathology and Pathophysiology</x:v>
      </x:c>
      <x:c r="L162" s="43" t="str">
        <x:v>Only one assay </x:v>
      </x:c>
      <x:c r="M162" s="43" t="str">
        <x:v>Rattus norvegicus</x:v>
      </x:c>
      <x:c r="N162" s="43" t="str">
        <x:v>albino lab rat</x:v>
      </x:c>
      <x:c r="O162" s="43" t="str">
        <x:v>Sprague-Dawley</x:v>
      </x:c>
      <x:c r="P162" s="43" t="str"/>
      <x:c r="Q162" s="43" t="str">
        <x:v>not reported</x:v>
      </x:c>
      <x:c r="R162" s="43" t="str">
        <x:v>early, mid, late</x:v>
      </x:c>
      <x:c r="S162" s="43" t="str">
        <x:v>all gestation</x:v>
      </x:c>
      <x:c r="T162" s="43" t="str">
        <x:v>21</x:v>
      </x:c>
      <x:c r="U162" s="43" t="str">
        <x:v>Continuous</x:v>
      </x:c>
      <x:c r="V162" s="43" t="str">
        <x:v>24.0</x:v>
      </x:c>
      <x:c r="W162" s="43" t="str">
        <x:v>Expossed to continuous variable frequencies </x:v>
      </x:c>
      <x:c r="X162" s="43" t="str">
        <x:v>Ultrasound</x:v>
      </x:c>
      <x:c r="Y162" s="43" t="str">
        <x:v>Ultrasound</x:v>
      </x:c>
      <x:c r="Z162" s="43" t="str">
        <x:v>50</x:v>
      </x:c>
      <x:c r="AA162" s="43" t="str">
        <x:v>20,000-45,000</x:v>
      </x:c>
      <x:c r="AB162" s="43" t="str">
        <x:v>Ambient sound</x:v>
      </x:c>
      <x:c r="AC162" s="43" t="str"/>
      <x:c r="AD162" s="43" t="str">
        <x:v>"under normal conditions without ultrasound"</x:v>
      </x:c>
      <x:c r="AE162" s="43" t="str">
        <x:v>female</x:v>
      </x:c>
      <x:c r="AF162" s="43" t="str">
        <x:v>90</x:v>
      </x:c>
      <x:c r="AG162" s="43" t="str">
        <x:v>3 months</x:v>
      </x:c>
      <x:c r="AH162" s="43" t="str">
        <x:v>none</x:v>
      </x:c>
      <x:c r="AI162" s="43" t="str"/>
      <x:c r="AJ162" s="43" t="str">
        <x:v>Depression</x:v>
      </x:c>
      <x:c r="AK162" s="43" t="str">
        <x:v>Forced Swimming Test (FST)</x:v>
      </x:c>
      <x:c r="AL162" s="43" t="str"/>
      <x:c r="AM162" s="43" t="str">
        <x:v>Total immobility time</x:v>
      </x:c>
      <x:c r="AN162" s="43" t="str">
        <x:v>Time</x:v>
      </x:c>
      <x:c r="AO162" s="43" t="str">
        <x:v>s</x:v>
      </x:c>
      <x:c r="AP162" s="43" t="str">
        <x:v>Light phase</x:v>
      </x:c>
      <x:c r="AQ162" s="43" t="str">
        <x:v>raw data</x:v>
      </x:c>
      <x:c r="AR162" s="43" t="str">
        <x:v>abramova_2020_genpath</x:v>
      </x:c>
      <x:c r="AS162" s="43" t="str">
        <x:v>con_f_inm</x:v>
      </x:c>
      <x:c r="AT162" s="43" t="str">
        <x:v>ex_f_inm</x:v>
      </x:c>
      <x:c r="AU162" s="43" t="str">
        <x:v>con_ex_f_inm</x:v>
      </x:c>
      <x:c r="AV162" s="43" t="str">
        <x:v>Independent</x:v>
      </x:c>
      <x:c r="AW162" s="43" t="str">
        <x:v>No</x:v>
      </x:c>
      <x:c r="AX162" s="43" t="str">
        <x:v>Positive</x:v>
      </x:c>
      <x:c r="AY162" s="43" t="str"/>
      <x:c r="AZ162" s="43" t="str">
        <x:v>179.33</x:v>
      </x:c>
      <x:c r="BA162" s="43" t="str">
        <x:v>56.2763</x:v>
      </x:c>
      <x:c r="BB162" s="43" t="str">
        <x:v>18</x:v>
      </x:c>
      <x:c r="BC162" s="43" t="str">
        <x:v>42.2685</x:v>
      </x:c>
      <x:c r="BD162" s="43" t="str"/>
      <x:c r="BE162" s="43" t="str">
        <x:v>207.1638</x:v>
      </x:c>
      <x:c r="BF162" s="43" t="str">
        <x:v>75.8212</x:v>
      </x:c>
      <x:c r="BG162" s="43" t="str">
        <x:v>16</x:v>
      </x:c>
      <x:c r="BH162" s="43" t="str">
        <x:v>51.7909</x:v>
      </x:c>
      <x:c r="BI162" s="43" t="str"/>
      <x:c r="BJ162" s="43" t="str">
        <x:v>Extracted all from raw data</x:v>
      </x:c>
      <x:c r="BK162" s="43" t="str">
        <x:v>Data  provided by Abramova on request</x:v>
      </x:c>
      <x:c r="BL162" s="43" t="str"/>
      <x:c r="BM162" s="43" t="str"/>
      <x:c r="BN162" s="43" t="str"/>
      <x:c r="BO162" s="43" t="str"/>
      <x:c r="BP162" s="43" t="str"/>
      <x:c r="BQ162" s="43" t="str"/>
      <x:c r="BR162" s="43" t="str">
        <x:v>yes</x:v>
      </x:c>
      <x:c r="BS162" s="43" t="str">
        <x:v>adjust comments text</x:v>
      </x:c>
      <x:c r="BT162" s="43" t="str"/>
      <x:c r="BU162" s="43" t="str"/>
      <x:c r="BV162" s="43" t="str"/>
      <x:c r="BW162" s="43" t="str">
        <x:v>13.264451</x:v>
      </x:c>
      <x:c r="BX162" s="43" t="str">
        <x:v>SD / sqrt(n), using descriptive statistics calculated from author raw data</x:v>
      </x:c>
      <x:c r="BY162" s="43" t="str">
        <x:v>included_studies/abramova_2020_genpath/abramova2020_descriptives.xlsx, tidy_all</x:v>
      </x:c>
      <x:c r="BZ162" s="43" t="str"/>
      <x:c r="CA162" s="43" t="str">
        <x:v>18.9553</x:v>
      </x:c>
      <x:c r="CB162" s="43" t="str">
        <x:v>SD / sqrt(n), using descriptive statistics calculated from author raw data</x:v>
      </x:c>
      <x:c r="CC162" s="43" t="str">
        <x:v>included_studies/abramova_2020_genpath/abramova2020_descriptives.xlsx, tidy_all</x:v>
      </x:c>
      <x:c r="CD162" s="43" t="str">
        <x:v>Corrected derived value</x:v>
      </x:c>
      <x:c r="CE162" s="43" t="str">
        <x:v>5 – Abramova 2020 derived SEs</x:v>
      </x:c>
      <x:c r="CF162" s="43" t="str">
        <x:v>The analysis SE is recalculated as SD/sqrt(n); no author-reported statistic is overwritten.</x:v>
      </x:c>
    </x:row>
    <x:row r="163">
      <x:c r="A163" s="43" t="str">
        <x:v>163</x:v>
      </x:c>
      <x:c r="B163" s="43" t="str">
        <x:v>abramova_2020_genpath</x:v>
      </x:c>
      <x:c r="C163" s="43" t="str">
        <x:v>ex023</x:v>
      </x:c>
      <x:c r="D163" s="43" t="str">
        <x:v>con019</x:v>
      </x:c>
      <x:c r="E163" s="43" t="str">
        <x:v>out077</x:v>
      </x:c>
      <x:c r="F163" s="43" t="str">
        <x:v>es162</x:v>
      </x:c>
      <x:c r="G163" s="43" t="str">
        <x:v>No</x:v>
      </x:c>
      <x:c r="H163" s="43" t="str">
        <x:v>They had one level of exposure, and two experimental groups, female and males, and one control per group</x:v>
      </x:c>
      <x:c r="I163" s="43" t="str">
        <x:v>Social and Cognitive Impairments in Rat Offspring after Ultrasound-Induced Prenatal Stress</x:v>
      </x:c>
      <x:c r="J163" s="43" t="str">
        <x:v>10.1007/s10517-020-04790-0</x:v>
      </x:c>
      <x:c r="K163" s="43" t="str">
        <x:v>General Pathology and Pathophysiology</x:v>
      </x:c>
      <x:c r="L163" s="43" t="str">
        <x:v>Only one assay </x:v>
      </x:c>
      <x:c r="M163" s="43" t="str">
        <x:v>Rattus norvegicus</x:v>
      </x:c>
      <x:c r="N163" s="43" t="str">
        <x:v>albino lab rat</x:v>
      </x:c>
      <x:c r="O163" s="43" t="str">
        <x:v>Sprague-Dawley</x:v>
      </x:c>
      <x:c r="P163" s="43" t="str"/>
      <x:c r="Q163" s="43" t="str">
        <x:v>not reported</x:v>
      </x:c>
      <x:c r="R163" s="43" t="str">
        <x:v>early, mid, late</x:v>
      </x:c>
      <x:c r="S163" s="43" t="str">
        <x:v>all gestation</x:v>
      </x:c>
      <x:c r="T163" s="43" t="str">
        <x:v>21</x:v>
      </x:c>
      <x:c r="U163" s="43" t="str">
        <x:v>Continuous</x:v>
      </x:c>
      <x:c r="V163" s="43" t="str">
        <x:v>24.0</x:v>
      </x:c>
      <x:c r="W163" s="43" t="str">
        <x:v>Expossed to continuous variable frequencies </x:v>
      </x:c>
      <x:c r="X163" s="43" t="str">
        <x:v>Ultrasound</x:v>
      </x:c>
      <x:c r="Y163" s="43" t="str">
        <x:v>Ultrasound</x:v>
      </x:c>
      <x:c r="Z163" s="43" t="str">
        <x:v>50</x:v>
      </x:c>
      <x:c r="AA163" s="43" t="str">
        <x:v>20,000-45,000</x:v>
      </x:c>
      <x:c r="AB163" s="43" t="str">
        <x:v>Ambient sound</x:v>
      </x:c>
      <x:c r="AC163" s="43" t="str"/>
      <x:c r="AD163" s="43" t="str">
        <x:v>"under normal conditions without ultrasound"</x:v>
      </x:c>
      <x:c r="AE163" s="43" t="str">
        <x:v>male</x:v>
      </x:c>
      <x:c r="AF163" s="43" t="str">
        <x:v>90</x:v>
      </x:c>
      <x:c r="AG163" s="43" t="str">
        <x:v>3 months</x:v>
      </x:c>
      <x:c r="AH163" s="43" t="str">
        <x:v>none</x:v>
      </x:c>
      <x:c r="AI163" s="43" t="str"/>
      <x:c r="AJ163" s="43" t="str">
        <x:v>Depression</x:v>
      </x:c>
      <x:c r="AK163" s="43" t="str">
        <x:v>Sucrose Preference Test (SPT)</x:v>
      </x:c>
      <x:c r="AL163" s="43" t="str"/>
      <x:c r="AM163" s="43" t="str">
        <x:v>Sucrose preference index</x:v>
      </x:c>
      <x:c r="AN163" s="43" t="str">
        <x:v>Index</x:v>
      </x:c>
      <x:c r="AO163" s="43" t="str">
        <x:v>%</x:v>
      </x:c>
      <x:c r="AP163" s="43" t="str">
        <x:v>Light phase</x:v>
      </x:c>
      <x:c r="AQ163" s="43" t="str">
        <x:v>raw data</x:v>
      </x:c>
      <x:c r="AR163" s="43" t="str">
        <x:v>abramova_2020_genpath</x:v>
      </x:c>
      <x:c r="AS163" s="43" t="str">
        <x:v>con_m_liq</x:v>
      </x:c>
      <x:c r="AT163" s="43" t="str">
        <x:v>ex_m_liq</x:v>
      </x:c>
      <x:c r="AU163" s="43" t="str">
        <x:v>con_ex_m_liq</x:v>
      </x:c>
      <x:c r="AV163" s="43" t="str">
        <x:v>Independent</x:v>
      </x:c>
      <x:c r="AW163" s="43" t="str">
        <x:v>Yes</x:v>
      </x:c>
      <x:c r="AX163" s="43" t="str">
        <x:v>Negative</x:v>
      </x:c>
      <x:c r="AY163" s="43" t="str"/>
      <x:c r="AZ163" s="43" t="str">
        <x:v>52.7727</x:v>
      </x:c>
      <x:c r="BA163" s="43" t="str">
        <x:v>34.0695</x:v>
      </x:c>
      <x:c r="BB163" s="43" t="str">
        <x:v>8</x:v>
      </x:c>
      <x:c r="BC163" s="43" t="str">
        <x:v>18.658</x:v>
      </x:c>
      <x:c r="BD163" s="43" t="str"/>
      <x:c r="BE163" s="43" t="str">
        <x:v>58.4183</x:v>
      </x:c>
      <x:c r="BF163" s="43" t="str">
        <x:v>28.935591</x:v>
      </x:c>
      <x:c r="BG163" s="43" t="str">
        <x:v>19</x:v>
      </x:c>
      <x:c r="BH163" s="43" t="str">
        <x:v>13.4021</x:v>
      </x:c>
      <x:c r="BI163" s="43" t="str"/>
      <x:c r="BJ163" s="43" t="str">
        <x:v>Extracted all from raw data</x:v>
      </x:c>
      <x:c r="BK163" s="43" t="str">
        <x:v>Data  provided by Abramova on request</x:v>
      </x:c>
      <x:c r="BL163" s="43" t="str"/>
      <x:c r="BM163" s="43" t="str"/>
      <x:c r="BN163" s="43" t="str"/>
      <x:c r="BO163" s="43" t="str"/>
      <x:c r="BP163" s="43" t="str"/>
      <x:c r="BQ163" s="43" t="str"/>
      <x:c r="BR163" s="43" t="str">
        <x:v>yes</x:v>
      </x:c>
      <x:c r="BS163" s="43" t="str">
        <x:v>adjust comments text</x:v>
      </x:c>
      <x:c r="BT163" s="43" t="str"/>
      <x:c r="BU163" s="43" t="str"/>
      <x:c r="BV163" s="43" t="str"/>
      <x:c r="BW163" s="43" t="str">
        <x:v>12.045387</x:v>
      </x:c>
      <x:c r="BX163" s="43" t="str">
        <x:v>SD / sqrt(n), using descriptive statistics calculated from author raw data</x:v>
      </x:c>
      <x:c r="BY163" s="43" t="str">
        <x:v>included_studies/abramova_2020_genpath/abramova2020_descriptives.xlsx, tidy_all</x:v>
      </x:c>
      <x:c r="BZ163" s="43" t="str"/>
      <x:c r="CA163" s="43" t="str">
        <x:v>6.63828</x:v>
      </x:c>
      <x:c r="CB163" s="43" t="str">
        <x:v>SD / sqrt(n), using descriptive statistics calculated from author raw data</x:v>
      </x:c>
      <x:c r="CC163" s="43" t="str">
        <x:v>included_studies/abramova_2020_genpath/abramova2020_descriptives.xlsx, tidy_all</x:v>
      </x:c>
      <x:c r="CD163" s="43" t="str">
        <x:v>Corrected transcription</x:v>
      </x:c>
      <x:c r="CE163" s="43" t="str">
        <x:v>5 – Abramova 2020 derived SEs</x:v>
      </x:c>
      <x:c r="CF163" s="43" t="str">
        <x:v>Use the SD in the matching author-data descriptive row before deriving SE. | The analysis SE is recalculated as SD/sqrt(n); no author-reported statistic is overwritten.</x:v>
      </x:c>
    </x:row>
    <x:row r="164">
      <x:c r="A164" s="43" t="str">
        <x:v>164</x:v>
      </x:c>
      <x:c r="B164" s="43" t="str">
        <x:v>abramova_2020_genpath</x:v>
      </x:c>
      <x:c r="C164" s="43" t="str">
        <x:v>ex024</x:v>
      </x:c>
      <x:c r="D164" s="43" t="str">
        <x:v>con020</x:v>
      </x:c>
      <x:c r="E164" s="43" t="str">
        <x:v>out077</x:v>
      </x:c>
      <x:c r="F164" s="43" t="str">
        <x:v>es163</x:v>
      </x:c>
      <x:c r="G164" s="43" t="str">
        <x:v>No</x:v>
      </x:c>
      <x:c r="H164" s="43" t="str">
        <x:v>They had one level of exposure, and two experimental groups, female and males, and one control per group</x:v>
      </x:c>
      <x:c r="I164" s="43" t="str">
        <x:v>Social and Cognitive Impairments in Rat Offspring after Ultrasound-Induced Prenatal Stress</x:v>
      </x:c>
      <x:c r="J164" s="43" t="str">
        <x:v>10.1007/s10517-020-04790-0</x:v>
      </x:c>
      <x:c r="K164" s="43" t="str">
        <x:v>General Pathology and Pathophysiology</x:v>
      </x:c>
      <x:c r="L164" s="43" t="str">
        <x:v>Only one assay </x:v>
      </x:c>
      <x:c r="M164" s="43" t="str">
        <x:v>Rattus norvegicus</x:v>
      </x:c>
      <x:c r="N164" s="43" t="str">
        <x:v>albino lab rat</x:v>
      </x:c>
      <x:c r="O164" s="43" t="str">
        <x:v>Sprague-Dawley</x:v>
      </x:c>
      <x:c r="P164" s="43" t="str"/>
      <x:c r="Q164" s="43" t="str">
        <x:v>not reported</x:v>
      </x:c>
      <x:c r="R164" s="43" t="str">
        <x:v>early, mid, late</x:v>
      </x:c>
      <x:c r="S164" s="43" t="str">
        <x:v>all gestation</x:v>
      </x:c>
      <x:c r="T164" s="43" t="str">
        <x:v>21</x:v>
      </x:c>
      <x:c r="U164" s="43" t="str">
        <x:v>Continuous</x:v>
      </x:c>
      <x:c r="V164" s="43" t="str">
        <x:v>24.0</x:v>
      </x:c>
      <x:c r="W164" s="43" t="str">
        <x:v>Expossed to continuous variable frequencies </x:v>
      </x:c>
      <x:c r="X164" s="43" t="str">
        <x:v>Ultrasound</x:v>
      </x:c>
      <x:c r="Y164" s="43" t="str">
        <x:v>Ultrasound</x:v>
      </x:c>
      <x:c r="Z164" s="43" t="str">
        <x:v>50</x:v>
      </x:c>
      <x:c r="AA164" s="43" t="str">
        <x:v>20,000-45,000</x:v>
      </x:c>
      <x:c r="AB164" s="43" t="str">
        <x:v>Ambient sound</x:v>
      </x:c>
      <x:c r="AC164" s="43" t="str"/>
      <x:c r="AD164" s="43" t="str">
        <x:v>"under normal conditions without ultrasound"</x:v>
      </x:c>
      <x:c r="AE164" s="43" t="str">
        <x:v>female</x:v>
      </x:c>
      <x:c r="AF164" s="43" t="str">
        <x:v>90</x:v>
      </x:c>
      <x:c r="AG164" s="43" t="str">
        <x:v>3 months</x:v>
      </x:c>
      <x:c r="AH164" s="43" t="str">
        <x:v>none</x:v>
      </x:c>
      <x:c r="AI164" s="43" t="str"/>
      <x:c r="AJ164" s="43" t="str">
        <x:v>Depression</x:v>
      </x:c>
      <x:c r="AK164" s="43" t="str">
        <x:v>Sucrose Preference Test (SPT)</x:v>
      </x:c>
      <x:c r="AL164" s="43" t="str"/>
      <x:c r="AM164" s="43" t="str">
        <x:v>Sucrose preference index</x:v>
      </x:c>
      <x:c r="AN164" s="43" t="str">
        <x:v>Index</x:v>
      </x:c>
      <x:c r="AO164" s="43" t="str">
        <x:v>%</x:v>
      </x:c>
      <x:c r="AP164" s="43" t="str">
        <x:v>Light phase</x:v>
      </x:c>
      <x:c r="AQ164" s="43" t="str">
        <x:v>raw data</x:v>
      </x:c>
      <x:c r="AR164" s="43" t="str">
        <x:v>abramova_2020_genpath.xlsx</x:v>
      </x:c>
      <x:c r="AS164" s="43" t="str">
        <x:v>con_f_liq</x:v>
      </x:c>
      <x:c r="AT164" s="43" t="str">
        <x:v>ex_f_liq</x:v>
      </x:c>
      <x:c r="AU164" s="43" t="str">
        <x:v>con_ex_f_liq</x:v>
      </x:c>
      <x:c r="AV164" s="43" t="str">
        <x:v>Independent</x:v>
      </x:c>
      <x:c r="AW164" s="43" t="str">
        <x:v>Yes</x:v>
      </x:c>
      <x:c r="AX164" s="43" t="str">
        <x:v>Negative</x:v>
      </x:c>
      <x:c r="AY164" s="43" t="str"/>
      <x:c r="AZ164" s="43" t="str">
        <x:v>63.8303</x:v>
      </x:c>
      <x:c r="BA164" s="43" t="str">
        <x:v>26.4372</x:v>
      </x:c>
      <x:c r="BB164" s="43" t="str">
        <x:v>17</x:v>
      </x:c>
      <x:c r="BC164" s="43" t="str">
        <x:v>15.4811</x:v>
      </x:c>
      <x:c r="BD164" s="43" t="str"/>
      <x:c r="BE164" s="43" t="str">
        <x:v>49.8194</x:v>
      </x:c>
      <x:c r="BF164" s="43" t="str">
        <x:v>33.9636</x:v>
      </x:c>
      <x:c r="BG164" s="43" t="str">
        <x:v>16</x:v>
      </x:c>
      <x:c r="BH164" s="43" t="str">
        <x:v>12.4549</x:v>
      </x:c>
      <x:c r="BI164" s="43" t="str"/>
      <x:c r="BJ164" s="43" t="str">
        <x:v>Extracted all from raw data</x:v>
      </x:c>
      <x:c r="BK164" s="43" t="str">
        <x:v>Data  provided by Abramova on request</x:v>
      </x:c>
      <x:c r="BL164" s="43" t="str"/>
      <x:c r="BM164" s="43" t="str"/>
      <x:c r="BN164" s="43" t="str"/>
      <x:c r="BO164" s="43" t="str"/>
      <x:c r="BP164" s="43" t="str"/>
      <x:c r="BQ164" s="43" t="str"/>
      <x:c r="BR164" s="43" t="str">
        <x:v>yes</x:v>
      </x:c>
      <x:c r="BS164" s="43" t="str">
        <x:v>adjust comments text</x:v>
      </x:c>
      <x:c r="BT164" s="43" t="str"/>
      <x:c r="BU164" s="43" t="str"/>
      <x:c r="BV164" s="43" t="str"/>
      <x:c r="BW164" s="43" t="str">
        <x:v>6.411963</x:v>
      </x:c>
      <x:c r="BX164" s="43" t="str">
        <x:v>SD / sqrt(n), using descriptive statistics calculated from author raw data</x:v>
      </x:c>
      <x:c r="BY164" s="43" t="str">
        <x:v>included_studies/abramova_2020_genpath/abramova2020_descriptives.xlsx, tidy_all</x:v>
      </x:c>
      <x:c r="BZ164" s="43" t="str"/>
      <x:c r="CA164" s="43" t="str">
        <x:v>8.4909</x:v>
      </x:c>
      <x:c r="CB164" s="43" t="str">
        <x:v>SD / sqrt(n), using descriptive statistics calculated from author raw data</x:v>
      </x:c>
      <x:c r="CC164" s="43" t="str">
        <x:v>included_studies/abramova_2020_genpath/abramova2020_descriptives.xlsx, tidy_all</x:v>
      </x:c>
      <x:c r="CD164" s="43" t="str">
        <x:v>Corrected derived value</x:v>
      </x:c>
      <x:c r="CE164" s="43" t="str">
        <x:v>5 – Abramova 2020 derived SEs</x:v>
      </x:c>
      <x:c r="CF164" s="43" t="str">
        <x:v>The analysis SE is recalculated as SD/sqrt(n); no author-reported statistic is overwritten.</x:v>
      </x:c>
    </x:row>
    <x:row r="165">
      <x:c r="A165" s="43" t="str">
        <x:v>165</x:v>
      </x:c>
      <x:c r="B165" s="43" t="str">
        <x:v>abramova_2023_biopsy</x:v>
      </x:c>
      <x:c r="C165" s="43" t="str">
        <x:v>ex025</x:v>
      </x:c>
      <x:c r="D165" s="43" t="str">
        <x:v>con021</x:v>
      </x:c>
      <x:c r="E165" s="43" t="str">
        <x:v>out078</x:v>
      </x:c>
      <x:c r="F165" s="43" t="str">
        <x:v>es164</x:v>
      </x:c>
      <x:c r="G165" s="43" t="str">
        <x:v>No</x:v>
      </x:c>
      <x:c r="H165" s="43" t="str">
        <x:v>They had one level of exposure, and two experimental groups, female and males, and one control per group</x:v>
      </x:c>
      <x:c r="I165" s="43" t="str">
        <x:v>Blood BDNF and neuropeptide concentrations as potential biomarkers of behavioral impairments in rats with prenatal ultrasound stress experience</x:v>
      </x:c>
      <x:c r="J165" s="43" t="str"/>
      <x:c r="K165" s="43" t="str">
        <x:v>Российский психиатрический журнал</x:v>
      </x:c>
      <x:c r="L165" s="43" t="str"/>
      <x:c r="M165" s="43" t="str">
        <x:v>Rattus norvegicus</x:v>
      </x:c>
      <x:c r="N165" s="43" t="str">
        <x:v>albino lab rat</x:v>
      </x:c>
      <x:c r="O165" s="43" t="str">
        <x:v>Wistar rat</x:v>
      </x:c>
      <x:c r="P165" s="43" t="str">
        <x:v>16 weeks</x:v>
      </x:c>
      <x:c r="Q165" s="43" t="str">
        <x:v>3 months</x:v>
      </x:c>
      <x:c r="R165" s="43" t="str">
        <x:v>Early, mid, late</x:v>
      </x:c>
      <x:c r="S165" s="43" t="str">
        <x:v>all gestation</x:v>
      </x:c>
      <x:c r="T165" s="43" t="str">
        <x:v>21</x:v>
      </x:c>
      <x:c r="U165" s="43" t="str">
        <x:v>Continuous</x:v>
      </x:c>
      <x:c r="V165" s="43" t="str">
        <x:v>24.0</x:v>
      </x:c>
      <x:c r="W165" s="43" t="str">
        <x:v>Expossed to continuous variable frequencies </x:v>
      </x:c>
      <x:c r="X165" s="43" t="str">
        <x:v>Ultrasound</x:v>
      </x:c>
      <x:c r="Y165" s="43" t="str">
        <x:v>Ultrasound</x:v>
      </x:c>
      <x:c r="Z165" s="43" t="str">
        <x:v>50</x:v>
      </x:c>
      <x:c r="AA165" s="43" t="str">
        <x:v>20,000-45,000</x:v>
      </x:c>
      <x:c r="AB165" s="43" t="str">
        <x:v>Ambient sound</x:v>
      </x:c>
      <x:c r="AC165" s="43" t="str"/>
      <x:c r="AD165" s="43" t="str">
        <x:v>"all females with their pups were kept in individual cages under standard conditions without experimental intervention"</x:v>
      </x:c>
      <x:c r="AE165" s="43" t="str">
        <x:v>male</x:v>
      </x:c>
      <x:c r="AF165" s="43" t="str">
        <x:v>74</x:v>
      </x:c>
      <x:c r="AG165" s="43" t="str"/>
      <x:c r="AH165" s="43" t="str">
        <x:v>none</x:v>
      </x:c>
      <x:c r="AI165" s="43" t="str"/>
      <x:c r="AJ165" s="43" t="str">
        <x:v>Anxiety</x:v>
      </x:c>
      <x:c r="AK165" s="43" t="str">
        <x:v>Open Field Test (OFT)</x:v>
      </x:c>
      <x:c r="AL165" s="43" t="str"/>
      <x:c r="AM165" s="43" t="str">
        <x:v>Sections crossed</x:v>
      </x:c>
      <x:c r="AN165" s="43" t="str">
        <x:v>Count</x:v>
      </x:c>
      <x:c r="AO165" s="43" t="str">
        <x:v>Count</x:v>
      </x:c>
      <x:c r="AP165" s="43" t="str">
        <x:v>Light phase</x:v>
      </x:c>
      <x:c r="AQ165" s="43" t="str">
        <x:v>paper Table 1</x:v>
      </x:c>
      <x:c r="AR165" s="43" t="str">
        <x:v>included_studies/abramova_2023_biopsy/abramova_2023_biopsy_data_calculations.xlsx</x:v>
      </x:c>
      <x:c r="AS165" s="43" t="str">
        <x:v>KON_m_</x:v>
      </x:c>
      <x:c r="AT165" s="43" t="str">
        <x:v>PS_m_</x:v>
      </x:c>
      <x:c r="AU165" s="43" t="str">
        <x:v>KON_PS_m_</x:v>
      </x:c>
      <x:c r="AV165" s="43" t="str">
        <x:v>Independent</x:v>
      </x:c>
      <x:c r="AW165" s="43" t="str">
        <x:v>Yes</x:v>
      </x:c>
      <x:c r="AX165" s="43" t="str">
        <x:v>Negative</x:v>
      </x:c>
      <x:c r="AY165" s="43" t="str"/>
      <x:c r="AZ165" s="43" t="str">
        <x:v>51.7</x:v>
      </x:c>
      <x:c r="BA165" s="43" t="str">
        <x:v>8.1</x:v>
      </x:c>
      <x:c r="BB165" s="43" t="str">
        <x:v>9</x:v>
      </x:c>
      <x:c r="BC165" s="43" t="str">
        <x:v>2.7</x:v>
      </x:c>
      <x:c r="BD165" s="43" t="str"/>
      <x:c r="BE165" s="43" t="str">
        <x:v>22.3</x:v>
      </x:c>
      <x:c r="BF165" s="43" t="str">
        <x:v>10.4355</x:v>
      </x:c>
      <x:c r="BG165" s="43" t="str">
        <x:v>10</x:v>
      </x:c>
      <x:c r="BH165" s="43" t="str">
        <x:v>3.3</x:v>
      </x:c>
      <x:c r="BI165" s="43" t="str"/>
      <x:c r="BJ165" s="43" t="str">
        <x:v>Mean±SEM</x:v>
      </x:c>
      <x:c r="BK165" s="43" t="str"/>
      <x:c r="BL165" s="43" t="str"/>
      <x:c r="BM165" s="43" t="str"/>
      <x:c r="BN165" s="43" t="str"/>
      <x:c r="BO165" s="43" t="str"/>
      <x:c r="BP165" s="43" t="str"/>
      <x:c r="BQ165" s="43" t="str"/>
      <x:c r="BR165" s="43" t="str">
        <x:v>yes</x:v>
      </x:c>
      <x:c r="BS165" s="43" t="str"/>
      <x:c r="BT165" s="43" t="str"/>
      <x:c r="BU165" s="43" t="str"/>
      <x:c r="BV165" s="43" t="str">
        <x:v>2.7</x:v>
      </x:c>
      <x:c r="BW165" s="43" t="str">
        <x:v>2.7</x:v>
      </x:c>
      <x:c r="BX165" s="43" t="str">
        <x:v>Reported SEM; used unchanged for analysis</x:v>
      </x:c>
      <x:c r="BY165" s="43" t="str">
        <x:v>included_studies/abramova_2023_biopsy/abramova_2023_biopsy_data_calculations.xlsx, Table1_Extract, source row 2</x:v>
      </x:c>
      <x:c r="BZ165" s="43" t="str">
        <x:v>3.3</x:v>
      </x:c>
      <x:c r="CA165" s="43" t="str">
        <x:v>3.3</x:v>
      </x:c>
      <x:c r="CB165" s="43" t="str">
        <x:v>Reported SEM; used unchanged for analysis</x:v>
      </x:c>
      <x:c r="CC165" s="43" t="str">
        <x:v>included_studies/abramova_2023_biopsy/abramova_2023_biopsy_data_calculations.xlsx, Table1_Extract, source row 2</x:v>
      </x:c>
      <x:c r="CD165" s="43" t="str">
        <x:v>Corrected transcription</x:v>
      </x:c>
      <x:c r="CE165" s="43" t="str">
        <x:v>7 – Abramova 2023 identifiers and units</x:v>
      </x:c>
      <x:c r="CF165" s="43" t="str">
        <x:v>Use the stable path to the saved extraction/calculation workbook.</x:v>
      </x:c>
    </x:row>
    <x:row r="166">
      <x:c r="A166" s="43" t="str">
        <x:v>166</x:v>
      </x:c>
      <x:c r="B166" s="43" t="str">
        <x:v>abramova_2023_biopsy</x:v>
      </x:c>
      <x:c r="C166" s="43" t="str">
        <x:v>ex026</x:v>
      </x:c>
      <x:c r="D166" s="43" t="str">
        <x:v>con022</x:v>
      </x:c>
      <x:c r="E166" s="43" t="str">
        <x:v>out078</x:v>
      </x:c>
      <x:c r="F166" s="43" t="str">
        <x:v>es165</x:v>
      </x:c>
      <x:c r="G166" s="43" t="str">
        <x:v>No</x:v>
      </x:c>
      <x:c r="H166" s="43" t="str">
        <x:v>They had one level of exposure, and two experimental groups, female and males, and one control per group</x:v>
      </x:c>
      <x:c r="I166" s="43" t="str">
        <x:v>Blood BDNF and neuropeptide concentrations as potential biomarkers of behavioral impairments in rats with prenatal ultrasound stress experience</x:v>
      </x:c>
      <x:c r="J166" s="43" t="str"/>
      <x:c r="K166" s="43" t="str">
        <x:v>Российский психиатрический журнал</x:v>
      </x:c>
      <x:c r="L166" s="43" t="str"/>
      <x:c r="M166" s="43" t="str">
        <x:v>Rattus norvegicus</x:v>
      </x:c>
      <x:c r="N166" s="43" t="str">
        <x:v>albino lab rat</x:v>
      </x:c>
      <x:c r="O166" s="43" t="str">
        <x:v>Wistar rat</x:v>
      </x:c>
      <x:c r="P166" s="43" t="str">
        <x:v>16 weeks</x:v>
      </x:c>
      <x:c r="Q166" s="43" t="str">
        <x:v>3 months</x:v>
      </x:c>
      <x:c r="R166" s="43" t="str">
        <x:v>Early, mid, late</x:v>
      </x:c>
      <x:c r="S166" s="43" t="str">
        <x:v>all gestation</x:v>
      </x:c>
      <x:c r="T166" s="43" t="str">
        <x:v>21</x:v>
      </x:c>
      <x:c r="U166" s="43" t="str">
        <x:v>Continuous</x:v>
      </x:c>
      <x:c r="V166" s="43" t="str">
        <x:v>24.0</x:v>
      </x:c>
      <x:c r="W166" s="43" t="str">
        <x:v>Expossed to continuous variable frequencies </x:v>
      </x:c>
      <x:c r="X166" s="43" t="str">
        <x:v>Ultrasound</x:v>
      </x:c>
      <x:c r="Y166" s="43" t="str">
        <x:v>Ultrasound</x:v>
      </x:c>
      <x:c r="Z166" s="43" t="str">
        <x:v>50</x:v>
      </x:c>
      <x:c r="AA166" s="43" t="str">
        <x:v>20,000-45,000</x:v>
      </x:c>
      <x:c r="AB166" s="43" t="str">
        <x:v>Ambient sound</x:v>
      </x:c>
      <x:c r="AC166" s="43" t="str"/>
      <x:c r="AD166" s="43" t="str">
        <x:v>"all females with their pups were kept in individual cages under standard conditions without experimental intervention"</x:v>
      </x:c>
      <x:c r="AE166" s="43" t="str">
        <x:v>female</x:v>
      </x:c>
      <x:c r="AF166" s="43" t="str">
        <x:v>74</x:v>
      </x:c>
      <x:c r="AG166" s="43" t="str"/>
      <x:c r="AH166" s="43" t="str">
        <x:v>none</x:v>
      </x:c>
      <x:c r="AI166" s="43" t="str"/>
      <x:c r="AJ166" s="43" t="str">
        <x:v>Anxiety</x:v>
      </x:c>
      <x:c r="AK166" s="43" t="str">
        <x:v>Open Field Test (OFT)</x:v>
      </x:c>
      <x:c r="AL166" s="43" t="str"/>
      <x:c r="AM166" s="43" t="str">
        <x:v>Sections crossed</x:v>
      </x:c>
      <x:c r="AN166" s="43" t="str">
        <x:v>Count</x:v>
      </x:c>
      <x:c r="AO166" s="43" t="str">
        <x:v>Count</x:v>
      </x:c>
      <x:c r="AP166" s="43" t="str">
        <x:v>Light phase</x:v>
      </x:c>
      <x:c r="AQ166" s="43" t="str">
        <x:v>paper Table 1</x:v>
      </x:c>
      <x:c r="AR166" s="43" t="str">
        <x:v>included_studies/abramova_2023_biopsy/abramova_2023_biopsy_data_calculations.xlsx</x:v>
      </x:c>
      <x:c r="AS166" s="43" t="str">
        <x:v>KON_f_</x:v>
      </x:c>
      <x:c r="AT166" s="43" t="str">
        <x:v>PS_f_</x:v>
      </x:c>
      <x:c r="AU166" s="43" t="str">
        <x:v>KON_PS_f_</x:v>
      </x:c>
      <x:c r="AV166" s="43" t="str">
        <x:v>Independent</x:v>
      </x:c>
      <x:c r="AW166" s="43" t="str">
        <x:v>Yes</x:v>
      </x:c>
      <x:c r="AX166" s="43" t="str">
        <x:v>Negative</x:v>
      </x:c>
      <x:c r="AY166" s="43" t="str"/>
      <x:c r="AZ166" s="43" t="str">
        <x:v>53.2</x:v>
      </x:c>
      <x:c r="BA166" s="43" t="str">
        <x:v>11.068</x:v>
      </x:c>
      <x:c r="BB166" s="43" t="str">
        <x:v>10</x:v>
      </x:c>
      <x:c r="BC166" s="43" t="str">
        <x:v>3.5</x:v>
      </x:c>
      <x:c r="BD166" s="43" t="str"/>
      <x:c r="BE166" s="43" t="str">
        <x:v>31.1</x:v>
      </x:c>
      <x:c r="BF166" s="43" t="str">
        <x:v>14.425</x:v>
      </x:c>
      <x:c r="BG166" s="43" t="str">
        <x:v>8</x:v>
      </x:c>
      <x:c r="BH166" s="43" t="str">
        <x:v>5.1</x:v>
      </x:c>
      <x:c r="BI166" s="43" t="str"/>
      <x:c r="BJ166" s="43" t="str">
        <x:v>Mean±SEM</x:v>
      </x:c>
      <x:c r="BK166" s="43" t="str"/>
      <x:c r="BL166" s="43" t="str"/>
      <x:c r="BM166" s="43" t="str"/>
      <x:c r="BN166" s="43" t="str"/>
      <x:c r="BO166" s="43" t="str"/>
      <x:c r="BP166" s="43" t="str"/>
      <x:c r="BQ166" s="43" t="str"/>
      <x:c r="BR166" s="43" t="str">
        <x:v>yes</x:v>
      </x:c>
      <x:c r="BS166" s="43" t="str"/>
      <x:c r="BT166" s="43" t="str"/>
      <x:c r="BU166" s="43" t="str"/>
      <x:c r="BV166" s="43" t="str">
        <x:v>3.5</x:v>
      </x:c>
      <x:c r="BW166" s="43" t="str">
        <x:v>3.5</x:v>
      </x:c>
      <x:c r="BX166" s="43" t="str">
        <x:v>Reported SEM; used unchanged for analysis</x:v>
      </x:c>
      <x:c r="BY166" s="43" t="str">
        <x:v>included_studies/abramova_2023_biopsy/abramova_2023_biopsy_data_calculations.xlsx, Table1_Extract, source row 3</x:v>
      </x:c>
      <x:c r="BZ166" s="43" t="str">
        <x:v>5.1</x:v>
      </x:c>
      <x:c r="CA166" s="43" t="str">
        <x:v>5.1</x:v>
      </x:c>
      <x:c r="CB166" s="43" t="str">
        <x:v>Reported SEM; used unchanged for analysis</x:v>
      </x:c>
      <x:c r="CC166" s="43" t="str">
        <x:v>included_studies/abramova_2023_biopsy/abramova_2023_biopsy_data_calculations.xlsx, Table1_Extract, source row 3</x:v>
      </x:c>
      <x:c r="CD166" s="43" t="str">
        <x:v>Corrected transcription</x:v>
      </x:c>
      <x:c r="CE166" s="43" t="str">
        <x:v>7 – Abramova 2023 identifiers and units</x:v>
      </x:c>
      <x:c r="CF166" s="43" t="str">
        <x:v>Use the stable path to the saved extraction/calculation workbook.</x:v>
      </x:c>
    </x:row>
    <x:row r="167">
      <x:c r="A167" s="43" t="str">
        <x:v>167</x:v>
      </x:c>
      <x:c r="B167" s="43" t="str">
        <x:v>abramova_2023_biopsy</x:v>
      </x:c>
      <x:c r="C167" s="43" t="str">
        <x:v>ex025</x:v>
      </x:c>
      <x:c r="D167" s="43" t="str">
        <x:v>con021</x:v>
      </x:c>
      <x:c r="E167" s="43" t="str">
        <x:v>out079</x:v>
      </x:c>
      <x:c r="F167" s="43" t="str">
        <x:v>es166</x:v>
      </x:c>
      <x:c r="G167" s="43" t="str">
        <x:v>No</x:v>
      </x:c>
      <x:c r="H167" s="43" t="str">
        <x:v>They had one level of exposure, and two experimental groups, female and males, and one control per group</x:v>
      </x:c>
      <x:c r="I167" s="43" t="str">
        <x:v>Blood BDNF and neuropeptide concentrations as potential biomarkers of behavioral impairments in rats with prenatal ultrasound stress experience</x:v>
      </x:c>
      <x:c r="J167" s="43" t="str"/>
      <x:c r="K167" s="43" t="str">
        <x:v>Российский психиатрический журнал</x:v>
      </x:c>
      <x:c r="L167" s="43" t="str"/>
      <x:c r="M167" s="43" t="str">
        <x:v>Rattus norvegicus</x:v>
      </x:c>
      <x:c r="N167" s="43" t="str">
        <x:v>albino lab rat</x:v>
      </x:c>
      <x:c r="O167" s="43" t="str">
        <x:v>Wistar rat</x:v>
      </x:c>
      <x:c r="P167" s="43" t="str">
        <x:v>16 weeks</x:v>
      </x:c>
      <x:c r="Q167" s="43" t="str">
        <x:v>3 months</x:v>
      </x:c>
      <x:c r="R167" s="43" t="str">
        <x:v>Early, mid, late</x:v>
      </x:c>
      <x:c r="S167" s="43" t="str">
        <x:v>all gestation</x:v>
      </x:c>
      <x:c r="T167" s="43" t="str">
        <x:v>21</x:v>
      </x:c>
      <x:c r="U167" s="43" t="str">
        <x:v>Continuous</x:v>
      </x:c>
      <x:c r="V167" s="43" t="str">
        <x:v>24.0</x:v>
      </x:c>
      <x:c r="W167" s="43" t="str">
        <x:v>Expossed to continuous variable frequencies </x:v>
      </x:c>
      <x:c r="X167" s="43" t="str">
        <x:v>Ultrasound</x:v>
      </x:c>
      <x:c r="Y167" s="43" t="str">
        <x:v>Ultrasound</x:v>
      </x:c>
      <x:c r="Z167" s="43" t="str">
        <x:v>50</x:v>
      </x:c>
      <x:c r="AA167" s="43" t="str">
        <x:v>20,000-45,000</x:v>
      </x:c>
      <x:c r="AB167" s="43" t="str">
        <x:v>Ambient sound</x:v>
      </x:c>
      <x:c r="AC167" s="43" t="str"/>
      <x:c r="AD167" s="43" t="str">
        <x:v>"all females with their pups were kept in individual cages under standard conditions without experimental intervention"</x:v>
      </x:c>
      <x:c r="AE167" s="43" t="str">
        <x:v>male</x:v>
      </x:c>
      <x:c r="AF167" s="43" t="str">
        <x:v>74</x:v>
      </x:c>
      <x:c r="AG167" s="43" t="str"/>
      <x:c r="AH167" s="43" t="str">
        <x:v>none</x:v>
      </x:c>
      <x:c r="AI167" s="43" t="str"/>
      <x:c r="AJ167" s="43" t="str">
        <x:v>Anxiety</x:v>
      </x:c>
      <x:c r="AK167" s="43" t="str">
        <x:v>Open Field Test (OFT)</x:v>
      </x:c>
      <x:c r="AL167" s="43" t="str"/>
      <x:c r="AM167" s="43" t="str">
        <x:v>Rearing frequency</x:v>
      </x:c>
      <x:c r="AN167" s="43" t="str">
        <x:v>Count</x:v>
      </x:c>
      <x:c r="AO167" s="43" t="str">
        <x:v>Count</x:v>
      </x:c>
      <x:c r="AP167" s="43" t="str">
        <x:v>Light phase</x:v>
      </x:c>
      <x:c r="AQ167" s="43" t="str">
        <x:v>paper Table 1</x:v>
      </x:c>
      <x:c r="AR167" s="43" t="str">
        <x:v>included_studies/abramova_2023_biopsy/abramova_2023_biopsy_data_calculations.xlsx</x:v>
      </x:c>
      <x:c r="AS167" s="43" t="str">
        <x:v>KON_m_</x:v>
      </x:c>
      <x:c r="AT167" s="43" t="str">
        <x:v>PS_m_</x:v>
      </x:c>
      <x:c r="AU167" s="43" t="str">
        <x:v>KON_PS_m_</x:v>
      </x:c>
      <x:c r="AV167" s="43" t="str">
        <x:v>Independent</x:v>
      </x:c>
      <x:c r="AW167" s="43" t="str">
        <x:v>Yes</x:v>
      </x:c>
      <x:c r="AX167" s="43" t="str">
        <x:v>Negative</x:v>
      </x:c>
      <x:c r="AY167" s="43" t="str"/>
      <x:c r="AZ167" s="43" t="str">
        <x:v>23.4</x:v>
      </x:c>
      <x:c r="BA167" s="43" t="str">
        <x:v>5.1</x:v>
      </x:c>
      <x:c r="BB167" s="43" t="str">
        <x:v>9</x:v>
      </x:c>
      <x:c r="BC167" s="43" t="str">
        <x:v>1.7</x:v>
      </x:c>
      <x:c r="BD167" s="43" t="str"/>
      <x:c r="BE167" s="43" t="str">
        <x:v>8.4</x:v>
      </x:c>
      <x:c r="BF167" s="43" t="str">
        <x:v>3.7947</x:v>
      </x:c>
      <x:c r="BG167" s="43" t="str">
        <x:v>10</x:v>
      </x:c>
      <x:c r="BH167" s="43" t="str">
        <x:v>1.2</x:v>
      </x:c>
      <x:c r="BI167" s="43" t="str"/>
      <x:c r="BJ167" s="43" t="str">
        <x:v>Mean±SEM</x:v>
      </x:c>
      <x:c r="BK167" s="43" t="str"/>
      <x:c r="BL167" s="43" t="str"/>
      <x:c r="BM167" s="43" t="str"/>
      <x:c r="BN167" s="43" t="str"/>
      <x:c r="BO167" s="43" t="str"/>
      <x:c r="BP167" s="43" t="str"/>
      <x:c r="BQ167" s="43" t="str"/>
      <x:c r="BR167" s="43" t="str">
        <x:v>yes</x:v>
      </x:c>
      <x:c r="BS167" s="43" t="str"/>
      <x:c r="BT167" s="43" t="str"/>
      <x:c r="BU167" s="43" t="str"/>
      <x:c r="BV167" s="43" t="str">
        <x:v>1.7</x:v>
      </x:c>
      <x:c r="BW167" s="43" t="str">
        <x:v>1.7</x:v>
      </x:c>
      <x:c r="BX167" s="43" t="str">
        <x:v>Reported SEM; used unchanged for analysis</x:v>
      </x:c>
      <x:c r="BY167" s="43" t="str">
        <x:v>included_studies/abramova_2023_biopsy/abramova_2023_biopsy_data_calculations.xlsx, Table1_Extract, source row 4</x:v>
      </x:c>
      <x:c r="BZ167" s="43" t="str">
        <x:v>1.2</x:v>
      </x:c>
      <x:c r="CA167" s="43" t="str">
        <x:v>1.2</x:v>
      </x:c>
      <x:c r="CB167" s="43" t="str">
        <x:v>Reported SEM; used unchanged for analysis</x:v>
      </x:c>
      <x:c r="CC167" s="43" t="str">
        <x:v>included_studies/abramova_2023_biopsy/abramova_2023_biopsy_data_calculations.xlsx, Table1_Extract, source row 4</x:v>
      </x:c>
      <x:c r="CD167" s="43" t="str">
        <x:v>Corrected transcription</x:v>
      </x:c>
      <x:c r="CE167" s="43" t="str">
        <x:v>7 – Abramova 2023 identifiers and units</x:v>
      </x:c>
      <x:c r="CF167" s="43" t="str">
        <x:v>Use the stable path to the saved extraction/calculation workbook.</x:v>
      </x:c>
    </x:row>
    <x:row r="168">
      <x:c r="A168" s="43" t="str">
        <x:v>168</x:v>
      </x:c>
      <x:c r="B168" s="43" t="str">
        <x:v>abramova_2023_biopsy</x:v>
      </x:c>
      <x:c r="C168" s="43" t="str">
        <x:v>ex026</x:v>
      </x:c>
      <x:c r="D168" s="43" t="str">
        <x:v>con022</x:v>
      </x:c>
      <x:c r="E168" s="43" t="str">
        <x:v>out079</x:v>
      </x:c>
      <x:c r="F168" s="43" t="str">
        <x:v>es167</x:v>
      </x:c>
      <x:c r="G168" s="43" t="str">
        <x:v>No</x:v>
      </x:c>
      <x:c r="H168" s="43" t="str">
        <x:v>They had one level of exposure, and two experimental groups, female and males, and one control per group</x:v>
      </x:c>
      <x:c r="I168" s="43" t="str">
        <x:v>Blood BDNF and neuropeptide concentrations as potential biomarkers of behavioral impairments in rats with prenatal ultrasound stress experience</x:v>
      </x:c>
      <x:c r="J168" s="43" t="str"/>
      <x:c r="K168" s="43" t="str">
        <x:v>Российский психиатрический журнал</x:v>
      </x:c>
      <x:c r="L168" s="43" t="str"/>
      <x:c r="M168" s="43" t="str">
        <x:v>Rattus norvegicus</x:v>
      </x:c>
      <x:c r="N168" s="43" t="str">
        <x:v>albino lab rat</x:v>
      </x:c>
      <x:c r="O168" s="43" t="str">
        <x:v>Wistar rat</x:v>
      </x:c>
      <x:c r="P168" s="43" t="str">
        <x:v>16 weeks</x:v>
      </x:c>
      <x:c r="Q168" s="43" t="str">
        <x:v>3 months</x:v>
      </x:c>
      <x:c r="R168" s="43" t="str">
        <x:v>Early, mid, late</x:v>
      </x:c>
      <x:c r="S168" s="43" t="str">
        <x:v>all gestation</x:v>
      </x:c>
      <x:c r="T168" s="43" t="str">
        <x:v>21</x:v>
      </x:c>
      <x:c r="U168" s="43" t="str">
        <x:v>Continuous</x:v>
      </x:c>
      <x:c r="V168" s="43" t="str">
        <x:v>24.0</x:v>
      </x:c>
      <x:c r="W168" s="43" t="str">
        <x:v>Expossed to continuous variable frequencies </x:v>
      </x:c>
      <x:c r="X168" s="43" t="str">
        <x:v>Ultrasound</x:v>
      </x:c>
      <x:c r="Y168" s="43" t="str">
        <x:v>Ultrasound</x:v>
      </x:c>
      <x:c r="Z168" s="43" t="str">
        <x:v>50</x:v>
      </x:c>
      <x:c r="AA168" s="43" t="str">
        <x:v>20,000-45,000</x:v>
      </x:c>
      <x:c r="AB168" s="43" t="str">
        <x:v>Ambient sound</x:v>
      </x:c>
      <x:c r="AC168" s="43" t="str"/>
      <x:c r="AD168" s="43" t="str">
        <x:v>"all females with their pups were kept in individual cages under standard conditions without experimental intervention"</x:v>
      </x:c>
      <x:c r="AE168" s="43" t="str">
        <x:v>female</x:v>
      </x:c>
      <x:c r="AF168" s="43" t="str">
        <x:v>74</x:v>
      </x:c>
      <x:c r="AG168" s="43" t="str"/>
      <x:c r="AH168" s="43" t="str">
        <x:v>none</x:v>
      </x:c>
      <x:c r="AI168" s="43" t="str"/>
      <x:c r="AJ168" s="43" t="str">
        <x:v>Anxiety</x:v>
      </x:c>
      <x:c r="AK168" s="43" t="str">
        <x:v>Open Field Test (OFT)</x:v>
      </x:c>
      <x:c r="AL168" s="43" t="str"/>
      <x:c r="AM168" s="43" t="str">
        <x:v>Rearing frequency</x:v>
      </x:c>
      <x:c r="AN168" s="43" t="str">
        <x:v>Count</x:v>
      </x:c>
      <x:c r="AO168" s="43" t="str">
        <x:v>Count</x:v>
      </x:c>
      <x:c r="AP168" s="43" t="str">
        <x:v>Light phase</x:v>
      </x:c>
      <x:c r="AQ168" s="43" t="str">
        <x:v>paper Table 1</x:v>
      </x:c>
      <x:c r="AR168" s="43" t="str">
        <x:v>included_studies/abramova_2023_biopsy/abramova_2023_biopsy_data_calculations.xlsx</x:v>
      </x:c>
      <x:c r="AS168" s="43" t="str">
        <x:v>KON_f_</x:v>
      </x:c>
      <x:c r="AT168" s="43" t="str">
        <x:v>PS_f_</x:v>
      </x:c>
      <x:c r="AU168" s="43" t="str">
        <x:v>KON_PS_f_</x:v>
      </x:c>
      <x:c r="AV168" s="43" t="str">
        <x:v>Independent</x:v>
      </x:c>
      <x:c r="AW168" s="43" t="str">
        <x:v>Yes</x:v>
      </x:c>
      <x:c r="AX168" s="43" t="str">
        <x:v>Negative</x:v>
      </x:c>
      <x:c r="AY168" s="43" t="str"/>
      <x:c r="AZ168" s="43" t="str">
        <x:v>23.4</x:v>
      </x:c>
      <x:c r="BA168" s="43" t="str">
        <x:v>7.9057</x:v>
      </x:c>
      <x:c r="BB168" s="43" t="str">
        <x:v>10</x:v>
      </x:c>
      <x:c r="BC168" s="43" t="str">
        <x:v>2.5</x:v>
      </x:c>
      <x:c r="BD168" s="43" t="str"/>
      <x:c r="BE168" s="43" t="str">
        <x:v>14.1</x:v>
      </x:c>
      <x:c r="BF168" s="43" t="str">
        <x:v>4.8083</x:v>
      </x:c>
      <x:c r="BG168" s="43" t="str">
        <x:v>8</x:v>
      </x:c>
      <x:c r="BH168" s="43" t="str">
        <x:v>1.7</x:v>
      </x:c>
      <x:c r="BI168" s="43" t="str"/>
      <x:c r="BJ168" s="43" t="str">
        <x:v>Mean±SEM</x:v>
      </x:c>
      <x:c r="BK168" s="43" t="str"/>
      <x:c r="BL168" s="43" t="str"/>
      <x:c r="BM168" s="43" t="str"/>
      <x:c r="BN168" s="43" t="str"/>
      <x:c r="BO168" s="43" t="str"/>
      <x:c r="BP168" s="43" t="str"/>
      <x:c r="BQ168" s="43" t="str"/>
      <x:c r="BR168" s="43" t="str">
        <x:v>yes</x:v>
      </x:c>
      <x:c r="BS168" s="43" t="str"/>
      <x:c r="BT168" s="43" t="str"/>
      <x:c r="BU168" s="43" t="str"/>
      <x:c r="BV168" s="43" t="str">
        <x:v>2.5</x:v>
      </x:c>
      <x:c r="BW168" s="43" t="str">
        <x:v>2.5</x:v>
      </x:c>
      <x:c r="BX168" s="43" t="str">
        <x:v>Reported SEM; used unchanged for analysis</x:v>
      </x:c>
      <x:c r="BY168" s="43" t="str">
        <x:v>included_studies/abramova_2023_biopsy/abramova_2023_biopsy_data_calculations.xlsx, Table1_Extract, source row 5</x:v>
      </x:c>
      <x:c r="BZ168" s="43" t="str">
        <x:v>1.7</x:v>
      </x:c>
      <x:c r="CA168" s="43" t="str">
        <x:v>1.7</x:v>
      </x:c>
      <x:c r="CB168" s="43" t="str">
        <x:v>Reported SEM; used unchanged for analysis</x:v>
      </x:c>
      <x:c r="CC168" s="43" t="str">
        <x:v>included_studies/abramova_2023_biopsy/abramova_2023_biopsy_data_calculations.xlsx, Table1_Extract, source row 5</x:v>
      </x:c>
      <x:c r="CD168" s="43" t="str">
        <x:v>Corrected transcription</x:v>
      </x:c>
      <x:c r="CE168" s="43" t="str">
        <x:v>7 – Abramova 2023 identifiers and units</x:v>
      </x:c>
      <x:c r="CF168" s="43" t="str">
        <x:v>Use the stable path to the saved extraction/calculation workbook.</x:v>
      </x:c>
    </x:row>
    <x:row r="169">
      <x:c r="A169" s="43" t="str">
        <x:v>169</x:v>
      </x:c>
      <x:c r="B169" s="43" t="str">
        <x:v>abramova_2023_biopsy</x:v>
      </x:c>
      <x:c r="C169" s="43" t="str">
        <x:v>ex025</x:v>
      </x:c>
      <x:c r="D169" s="43" t="str">
        <x:v>con021</x:v>
      </x:c>
      <x:c r="E169" s="43" t="str">
        <x:v>out080</x:v>
      </x:c>
      <x:c r="F169" s="43" t="str">
        <x:v>es168</x:v>
      </x:c>
      <x:c r="G169" s="43" t="str">
        <x:v>No</x:v>
      </x:c>
      <x:c r="H169" s="43" t="str">
        <x:v>They had one level of exposure, and two experimental groups, female and males, and one control per group</x:v>
      </x:c>
      <x:c r="I169" s="43" t="str">
        <x:v>Blood BDNF and neuropeptide concentrations as potential biomarkers of behavioral impairments in rats with prenatal ultrasound stress experience</x:v>
      </x:c>
      <x:c r="J169" s="43" t="str"/>
      <x:c r="K169" s="43" t="str">
        <x:v>Российский психиатрический журнал</x:v>
      </x:c>
      <x:c r="L169" s="43" t="str"/>
      <x:c r="M169" s="43" t="str">
        <x:v>Rattus norvegicus</x:v>
      </x:c>
      <x:c r="N169" s="43" t="str">
        <x:v>albino lab rat</x:v>
      </x:c>
      <x:c r="O169" s="43" t="str">
        <x:v>Wistar rat</x:v>
      </x:c>
      <x:c r="P169" s="43" t="str">
        <x:v>16 weeks</x:v>
      </x:c>
      <x:c r="Q169" s="43" t="str">
        <x:v>3 months</x:v>
      </x:c>
      <x:c r="R169" s="43" t="str">
        <x:v>Early, mid, late</x:v>
      </x:c>
      <x:c r="S169" s="43" t="str">
        <x:v>all gestation</x:v>
      </x:c>
      <x:c r="T169" s="43" t="str">
        <x:v>21</x:v>
      </x:c>
      <x:c r="U169" s="43" t="str">
        <x:v>Continuous</x:v>
      </x:c>
      <x:c r="V169" s="43" t="str">
        <x:v>24.0</x:v>
      </x:c>
      <x:c r="W169" s="43" t="str">
        <x:v>Expossed to continuous variable frequencies </x:v>
      </x:c>
      <x:c r="X169" s="43" t="str">
        <x:v>Ultrasound</x:v>
      </x:c>
      <x:c r="Y169" s="43" t="str">
        <x:v>Ultrasound</x:v>
      </x:c>
      <x:c r="Z169" s="43" t="str">
        <x:v>50</x:v>
      </x:c>
      <x:c r="AA169" s="43" t="str">
        <x:v>20,000-45,000</x:v>
      </x:c>
      <x:c r="AB169" s="43" t="str">
        <x:v>Ambient sound</x:v>
      </x:c>
      <x:c r="AC169" s="43" t="str"/>
      <x:c r="AD169" s="43" t="str">
        <x:v>"all females with their pups were kept in individual cages under standard conditions without experimental intervention"</x:v>
      </x:c>
      <x:c r="AE169" s="43" t="str">
        <x:v>male</x:v>
      </x:c>
      <x:c r="AF169" s="43" t="str">
        <x:v>74</x:v>
      </x:c>
      <x:c r="AG169" s="43" t="str"/>
      <x:c r="AH169" s="43" t="str">
        <x:v>none</x:v>
      </x:c>
      <x:c r="AI169" s="43" t="str"/>
      <x:c r="AJ169" s="43" t="str">
        <x:v>Anxiety</x:v>
      </x:c>
      <x:c r="AK169" s="43" t="str">
        <x:v>Open Field Test (OFT)</x:v>
      </x:c>
      <x:c r="AL169" s="43" t="str"/>
      <x:c r="AM169" s="43" t="str">
        <x:v>Center entries (crossing)</x:v>
      </x:c>
      <x:c r="AN169" s="43" t="str">
        <x:v>Count</x:v>
      </x:c>
      <x:c r="AO169" s="43" t="str">
        <x:v>Count</x:v>
      </x:c>
      <x:c r="AP169" s="43" t="str">
        <x:v>Light phase</x:v>
      </x:c>
      <x:c r="AQ169" s="43" t="str">
        <x:v>paper Table 1</x:v>
      </x:c>
      <x:c r="AR169" s="43" t="str">
        <x:v>included_studies/abramova_2023_biopsy/abramova_2023_biopsy_data_calculations.xlsx</x:v>
      </x:c>
      <x:c r="AS169" s="43" t="str">
        <x:v>KON_m_</x:v>
      </x:c>
      <x:c r="AT169" s="43" t="str">
        <x:v>PS_m_</x:v>
      </x:c>
      <x:c r="AU169" s="43" t="str">
        <x:v>KON_PS_m_</x:v>
      </x:c>
      <x:c r="AV169" s="43" t="str">
        <x:v>Independent</x:v>
      </x:c>
      <x:c r="AW169" s="43" t="str">
        <x:v>Yes</x:v>
      </x:c>
      <x:c r="AX169" s="43" t="str">
        <x:v>Negative</x:v>
      </x:c>
      <x:c r="AY169" s="43" t="str"/>
      <x:c r="AZ169" s="43" t="str"/>
      <x:c r="BA169" s="43" t="str"/>
      <x:c r="BB169" s="43" t="str">
        <x:v>9</x:v>
      </x:c>
      <x:c r="BC169" s="43" t="str"/>
      <x:c r="BD169" s="43" t="str"/>
      <x:c r="BE169" s="43" t="str"/>
      <x:c r="BF169" s="43" t="str"/>
      <x:c r="BG169" s="43" t="str">
        <x:v>10</x:v>
      </x:c>
      <x:c r="BH169" s="43" t="str"/>
      <x:c r="BI169" s="43" t="str"/>
      <x:c r="BJ169" s="43" t="str">
        <x:v>estimated from Median(Q1;Q3)</x:v>
      </x:c>
      <x:c r="BK169" s="43" t="str"/>
      <x:c r="BL169" s="43" t="str">
        <x:v>2.0</x:v>
      </x:c>
      <x:c r="BM169" s="43" t="str">
        <x:v>1.0</x:v>
      </x:c>
      <x:c r="BN169" s="43" t="str">
        <x:v>3.0</x:v>
      </x:c>
      <x:c r="BO169" s="43" t="str">
        <x:v>0.5</x:v>
      </x:c>
      <x:c r="BP169" s="43" t="str">
        <x:v>0.0</x:v>
      </x:c>
      <x:c r="BQ169" s="43" t="str">
        <x:v>1.0</x:v>
      </x:c>
      <x:c r="BR169" s="43" t="str">
        <x:v>yes</x:v>
      </x:c>
      <x:c r="BS169" s="43" t="str">
        <x:v>adjust comments text, add Median(Q1, Q2) values</x:v>
      </x:c>
      <x:c r="BT169" s="43" t="str"/>
      <x:c r="BU169" s="43" t="str"/>
      <x:c r="BV169" s="43" t="str"/>
      <x:c r="BW169" s="43" t="str"/>
      <x:c r="BX169" s="43" t="str">
        <x:v>Not calculated here: median (Q1; Q3) reported; estimation is deferred to reproducible R data wrangling</x:v>
      </x:c>
      <x:c r="BY169" s="43" t="str">
        <x:v>included_studies/abramova_2023_biopsy/abramova_2023_biopsy_data_calculations.xlsx, Table1_Extract, source row 6</x:v>
      </x:c>
      <x:c r="BZ169" s="43" t="str"/>
      <x:c r="CA169" s="43" t="str"/>
      <x:c r="CB169" s="43" t="str">
        <x:v>Not calculated here: median (Q1; Q3) reported; estimation is deferred to reproducible R data wrangling</x:v>
      </x:c>
      <x:c r="CC169" s="43" t="str">
        <x:v>included_studies/abramova_2023_biopsy/abramova_2023_biopsy_data_calculations.xlsx, Table1_Extract, source row 6</x:v>
      </x:c>
      <x:c r="CD169" s="43" t="str">
        <x:v>Analysis decision required</x:v>
      </x:c>
      <x:c r="CE169" s="43" t="str">
        <x:v>7 – Abramova 2023 identifiers and units</x:v>
      </x:c>
      <x:c r="CF169" s="43" t="str">
        <x:v>Use the stable path to the saved extraction/calculation workbook. | Choose and implement the central-tendency/dispersion conversion in the R data-wrangling workflow.</x:v>
      </x:c>
    </x:row>
    <x:row r="170">
      <x:c r="A170" s="43" t="str">
        <x:v>170</x:v>
      </x:c>
      <x:c r="B170" s="43" t="str">
        <x:v>abramova_2023_biopsy</x:v>
      </x:c>
      <x:c r="C170" s="43" t="str">
        <x:v>ex026</x:v>
      </x:c>
      <x:c r="D170" s="43" t="str">
        <x:v>con022</x:v>
      </x:c>
      <x:c r="E170" s="43" t="str">
        <x:v>out080</x:v>
      </x:c>
      <x:c r="F170" s="43" t="str">
        <x:v>es169</x:v>
      </x:c>
      <x:c r="G170" s="43" t="str">
        <x:v>No</x:v>
      </x:c>
      <x:c r="H170" s="43" t="str">
        <x:v>They had one level of exposure, and two experimental groups, female and males, and one control per group</x:v>
      </x:c>
      <x:c r="I170" s="43" t="str">
        <x:v>Blood BDNF and neuropeptide concentrations as potential biomarkers of behavioral impairments in rats with prenatal ultrasound stress experience</x:v>
      </x:c>
      <x:c r="J170" s="43" t="str"/>
      <x:c r="K170" s="43" t="str">
        <x:v>Российский психиатрический журнал</x:v>
      </x:c>
      <x:c r="L170" s="43" t="str"/>
      <x:c r="M170" s="43" t="str">
        <x:v>Rattus norvegicus</x:v>
      </x:c>
      <x:c r="N170" s="43" t="str">
        <x:v>albino lab rat</x:v>
      </x:c>
      <x:c r="O170" s="43" t="str">
        <x:v>Wistar rat</x:v>
      </x:c>
      <x:c r="P170" s="43" t="str">
        <x:v>16 weeks</x:v>
      </x:c>
      <x:c r="Q170" s="43" t="str">
        <x:v>3 months</x:v>
      </x:c>
      <x:c r="R170" s="43" t="str">
        <x:v>Early, mid, late</x:v>
      </x:c>
      <x:c r="S170" s="43" t="str">
        <x:v>all gestation</x:v>
      </x:c>
      <x:c r="T170" s="43" t="str">
        <x:v>21</x:v>
      </x:c>
      <x:c r="U170" s="43" t="str">
        <x:v>Continuous</x:v>
      </x:c>
      <x:c r="V170" s="43" t="str">
        <x:v>24.0</x:v>
      </x:c>
      <x:c r="W170" s="43" t="str">
        <x:v>Expossed to continuous variable frequencies </x:v>
      </x:c>
      <x:c r="X170" s="43" t="str">
        <x:v>Ultrasound</x:v>
      </x:c>
      <x:c r="Y170" s="43" t="str">
        <x:v>Ultrasound</x:v>
      </x:c>
      <x:c r="Z170" s="43" t="str">
        <x:v>50</x:v>
      </x:c>
      <x:c r="AA170" s="43" t="str">
        <x:v>20,000-45,000</x:v>
      </x:c>
      <x:c r="AB170" s="43" t="str">
        <x:v>Ambient sound</x:v>
      </x:c>
      <x:c r="AC170" s="43" t="str"/>
      <x:c r="AD170" s="43" t="str">
        <x:v>"all females with their pups were kept in individual cages under standard conditions without experimental intervention"</x:v>
      </x:c>
      <x:c r="AE170" s="43" t="str">
        <x:v>female</x:v>
      </x:c>
      <x:c r="AF170" s="43" t="str">
        <x:v>74</x:v>
      </x:c>
      <x:c r="AG170" s="43" t="str"/>
      <x:c r="AH170" s="43" t="str">
        <x:v>none</x:v>
      </x:c>
      <x:c r="AI170" s="43" t="str"/>
      <x:c r="AJ170" s="43" t="str">
        <x:v>Anxiety</x:v>
      </x:c>
      <x:c r="AK170" s="43" t="str">
        <x:v>Open Field Test (OFT)</x:v>
      </x:c>
      <x:c r="AL170" s="43" t="str"/>
      <x:c r="AM170" s="43" t="str">
        <x:v>Center entries (crossing)</x:v>
      </x:c>
      <x:c r="AN170" s="43" t="str">
        <x:v>Count</x:v>
      </x:c>
      <x:c r="AO170" s="43" t="str">
        <x:v>Count</x:v>
      </x:c>
      <x:c r="AP170" s="43" t="str">
        <x:v>Light phase</x:v>
      </x:c>
      <x:c r="AQ170" s="43" t="str">
        <x:v>paper Table 1</x:v>
      </x:c>
      <x:c r="AR170" s="43" t="str">
        <x:v>included_studies/abramova_2023_biopsy/abramova_2023_biopsy_data_calculations.xlsx</x:v>
      </x:c>
      <x:c r="AS170" s="43" t="str">
        <x:v>KON_f_</x:v>
      </x:c>
      <x:c r="AT170" s="43" t="str">
        <x:v>PS_f_</x:v>
      </x:c>
      <x:c r="AU170" s="43" t="str">
        <x:v>KON_PS_f_</x:v>
      </x:c>
      <x:c r="AV170" s="43" t="str">
        <x:v>Independent</x:v>
      </x:c>
      <x:c r="AW170" s="43" t="str">
        <x:v>Yes</x:v>
      </x:c>
      <x:c r="AX170" s="43" t="str">
        <x:v>Negative</x:v>
      </x:c>
      <x:c r="AY170" s="43" t="str"/>
      <x:c r="AZ170" s="43" t="str"/>
      <x:c r="BA170" s="43" t="str"/>
      <x:c r="BB170" s="43" t="str">
        <x:v>10</x:v>
      </x:c>
      <x:c r="BC170" s="43" t="str"/>
      <x:c r="BD170" s="43" t="str"/>
      <x:c r="BE170" s="43" t="str"/>
      <x:c r="BF170" s="43" t="str"/>
      <x:c r="BG170" s="43" t="str">
        <x:v>8</x:v>
      </x:c>
      <x:c r="BH170" s="43" t="str"/>
      <x:c r="BI170" s="43" t="str"/>
      <x:c r="BJ170" s="43" t="str">
        <x:v>estimated from Median(Q1;Q3)</x:v>
      </x:c>
      <x:c r="BK170" s="43" t="str"/>
      <x:c r="BL170" s="43" t="str">
        <x:v>2.0</x:v>
      </x:c>
      <x:c r="BM170" s="43" t="str">
        <x:v>1.2</x:v>
      </x:c>
      <x:c r="BN170" s="43" t="str">
        <x:v>3.0</x:v>
      </x:c>
      <x:c r="BO170" s="43" t="str">
        <x:v>0.0</x:v>
      </x:c>
      <x:c r="BP170" s="43" t="str">
        <x:v>0.0</x:v>
      </x:c>
      <x:c r="BQ170" s="43" t="str">
        <x:v>0.5</x:v>
      </x:c>
      <x:c r="BR170" s="43" t="str">
        <x:v>yes</x:v>
      </x:c>
      <x:c r="BS170" s="43" t="str">
        <x:v>adjust comments text, add Median(Q1, Q2) values</x:v>
      </x:c>
      <x:c r="BT170" s="43" t="str"/>
      <x:c r="BU170" s="43" t="str"/>
      <x:c r="BV170" s="43" t="str"/>
      <x:c r="BW170" s="43" t="str"/>
      <x:c r="BX170" s="43" t="str">
        <x:v>Not calculated here: median (Q1; Q3) reported; estimation is deferred to reproducible R data wrangling</x:v>
      </x:c>
      <x:c r="BY170" s="43" t="str">
        <x:v>included_studies/abramova_2023_biopsy/abramova_2023_biopsy_data_calculations.xlsx, Table1_Extract, source row 7</x:v>
      </x:c>
      <x:c r="BZ170" s="43" t="str"/>
      <x:c r="CA170" s="43" t="str"/>
      <x:c r="CB170" s="43" t="str">
        <x:v>Not calculated here: median (Q1; Q3) reported; estimation is deferred to reproducible R data wrangling</x:v>
      </x:c>
      <x:c r="CC170" s="43" t="str">
        <x:v>included_studies/abramova_2023_biopsy/abramova_2023_biopsy_data_calculations.xlsx, Table1_Extract, source row 7</x:v>
      </x:c>
      <x:c r="CD170" s="43" t="str">
        <x:v>Analysis decision required</x:v>
      </x:c>
      <x:c r="CE170" s="43" t="str">
        <x:v>7 – Abramova 2023 identifiers and units</x:v>
      </x:c>
      <x:c r="CF17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71">
      <x:c r="A171" s="43" t="str">
        <x:v>171</x:v>
      </x:c>
      <x:c r="B171" s="43" t="str">
        <x:v>abramova_2023_biopsy</x:v>
      </x:c>
      <x:c r="C171" s="43" t="str">
        <x:v>ex025</x:v>
      </x:c>
      <x:c r="D171" s="43" t="str">
        <x:v>con021</x:v>
      </x:c>
      <x:c r="E171" s="43" t="str">
        <x:v>out081</x:v>
      </x:c>
      <x:c r="F171" s="43" t="str">
        <x:v>es170</x:v>
      </x:c>
      <x:c r="G171" s="43" t="str">
        <x:v>No</x:v>
      </x:c>
      <x:c r="H171" s="43" t="str">
        <x:v>They had one level of exposure, and two experimental groups, female and males, and one control per group</x:v>
      </x:c>
      <x:c r="I171" s="43" t="str">
        <x:v>Blood BDNF and neuropeptide concentrations as potential biomarkers of behavioral impairments in rats with prenatal ultrasound stress experience</x:v>
      </x:c>
      <x:c r="J171" s="43" t="str"/>
      <x:c r="K171" s="43" t="str">
        <x:v>Российский психиатрический журнал</x:v>
      </x:c>
      <x:c r="L171" s="43" t="str"/>
      <x:c r="M171" s="43" t="str">
        <x:v>Rattus norvegicus</x:v>
      </x:c>
      <x:c r="N171" s="43" t="str">
        <x:v>albino lab rat</x:v>
      </x:c>
      <x:c r="O171" s="43" t="str">
        <x:v>Wistar rat</x:v>
      </x:c>
      <x:c r="P171" s="43" t="str">
        <x:v>16 weeks</x:v>
      </x:c>
      <x:c r="Q171" s="43" t="str">
        <x:v>3 months</x:v>
      </x:c>
      <x:c r="R171" s="43" t="str">
        <x:v>Early, mid, late</x:v>
      </x:c>
      <x:c r="S171" s="43" t="str">
        <x:v>all gestation</x:v>
      </x:c>
      <x:c r="T171" s="43" t="str">
        <x:v>21</x:v>
      </x:c>
      <x:c r="U171" s="43" t="str">
        <x:v>Continuous</x:v>
      </x:c>
      <x:c r="V171" s="43" t="str">
        <x:v>24.0</x:v>
      </x:c>
      <x:c r="W171" s="43" t="str">
        <x:v>Expossed to continuous variable frequencies </x:v>
      </x:c>
      <x:c r="X171" s="43" t="str">
        <x:v>Ultrasound</x:v>
      </x:c>
      <x:c r="Y171" s="43" t="str">
        <x:v>Ultrasound</x:v>
      </x:c>
      <x:c r="Z171" s="43" t="str">
        <x:v>50</x:v>
      </x:c>
      <x:c r="AA171" s="43" t="str">
        <x:v>20,000-45,000</x:v>
      </x:c>
      <x:c r="AB171" s="43" t="str">
        <x:v>Ambient sound</x:v>
      </x:c>
      <x:c r="AC171" s="43" t="str"/>
      <x:c r="AD171" s="43" t="str">
        <x:v>"all females with their pups were kept in individual cages under standard conditions without experimental intervention"</x:v>
      </x:c>
      <x:c r="AE171" s="43" t="str">
        <x:v>male</x:v>
      </x:c>
      <x:c r="AF171" s="43" t="str">
        <x:v>74</x:v>
      </x:c>
      <x:c r="AG171" s="43" t="str"/>
      <x:c r="AH171" s="43" t="str">
        <x:v>none</x:v>
      </x:c>
      <x:c r="AI171" s="43" t="str"/>
      <x:c r="AJ171" s="43" t="str">
        <x:v>Anxiety</x:v>
      </x:c>
      <x:c r="AK171" s="43" t="str">
        <x:v>Open Field Test (OFT)</x:v>
      </x:c>
      <x:c r="AL171" s="43" t="str"/>
      <x:c r="AM171" s="43" t="str">
        <x:v>Total freezing time</x:v>
      </x:c>
      <x:c r="AN171" s="43" t="str">
        <x:v>Time</x:v>
      </x:c>
      <x:c r="AO171" s="43" t="str">
        <x:v>s</x:v>
      </x:c>
      <x:c r="AP171" s="43" t="str">
        <x:v>Light phase</x:v>
      </x:c>
      <x:c r="AQ171" s="43" t="str">
        <x:v>paper Table 1</x:v>
      </x:c>
      <x:c r="AR171" s="43" t="str">
        <x:v>included_studies/abramova_2023_biopsy/abramova_2023_biopsy_data_calculations.xlsx</x:v>
      </x:c>
      <x:c r="AS171" s="43" t="str">
        <x:v>KON_m_</x:v>
      </x:c>
      <x:c r="AT171" s="43" t="str">
        <x:v>PS_m_</x:v>
      </x:c>
      <x:c r="AU171" s="43" t="str">
        <x:v>KON_PS_m_</x:v>
      </x:c>
      <x:c r="AV171" s="43" t="str">
        <x:v>Independent</x:v>
      </x:c>
      <x:c r="AW171" s="43" t="str">
        <x:v>No</x:v>
      </x:c>
      <x:c r="AX171" s="43" t="str">
        <x:v>Positive</x:v>
      </x:c>
      <x:c r="AY171" s="43" t="str"/>
      <x:c r="AZ171" s="43" t="str">
        <x:v>23.7</x:v>
      </x:c>
      <x:c r="BA171" s="43" t="str">
        <x:v>14.7</x:v>
      </x:c>
      <x:c r="BB171" s="43" t="str">
        <x:v>9</x:v>
      </x:c>
      <x:c r="BC171" s="43" t="str">
        <x:v>4.9</x:v>
      </x:c>
      <x:c r="BD171" s="43" t="str"/>
      <x:c r="BE171" s="43" t="str">
        <x:v>80.1</x:v>
      </x:c>
      <x:c r="BF171" s="43" t="str">
        <x:v>61.3482</x:v>
      </x:c>
      <x:c r="BG171" s="43" t="str">
        <x:v>10</x:v>
      </x:c>
      <x:c r="BH171" s="43" t="str">
        <x:v>19.4</x:v>
      </x:c>
      <x:c r="BI171" s="43" t="str"/>
      <x:c r="BJ171" s="43" t="str">
        <x:v>Mean±SEM</x:v>
      </x:c>
      <x:c r="BK171" s="43" t="str"/>
      <x:c r="BL171" s="43" t="str"/>
      <x:c r="BM171" s="43" t="str"/>
      <x:c r="BN171" s="43" t="str"/>
      <x:c r="BO171" s="43" t="str"/>
      <x:c r="BP171" s="43" t="str"/>
      <x:c r="BQ171" s="43" t="str"/>
      <x:c r="BR171" s="43" t="str">
        <x:v>yes</x:v>
      </x:c>
      <x:c r="BS171" s="43" t="str"/>
      <x:c r="BT171" s="43" t="str"/>
      <x:c r="BU171" s="43" t="str"/>
      <x:c r="BV171" s="43" t="str">
        <x:v>4.9</x:v>
      </x:c>
      <x:c r="BW171" s="43" t="str">
        <x:v>4.9</x:v>
      </x:c>
      <x:c r="BX171" s="43" t="str">
        <x:v>Reported SEM; used unchanged for analysis</x:v>
      </x:c>
      <x:c r="BY171" s="43" t="str">
        <x:v>included_studies/abramova_2023_biopsy/abramova_2023_biopsy_data_calculations.xlsx, Table1_Extract, source row 8</x:v>
      </x:c>
      <x:c r="BZ171" s="43" t="str">
        <x:v>19.4</x:v>
      </x:c>
      <x:c r="CA171" s="43" t="str">
        <x:v>19.4</x:v>
      </x:c>
      <x:c r="CB171" s="43" t="str">
        <x:v>Reported SEM; used unchanged for analysis</x:v>
      </x:c>
      <x:c r="CC171" s="43" t="str">
        <x:v>included_studies/abramova_2023_biopsy/abramova_2023_biopsy_data_calculations.xlsx, Table1_Extract, source row 8</x:v>
      </x:c>
      <x:c r="CD171" s="43" t="str">
        <x:v>Corrected transcription</x:v>
      </x:c>
      <x:c r="CE171" s="43" t="str">
        <x:v>7 – Abramova 2023 identifiers and units</x:v>
      </x:c>
      <x:c r="CF17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72">
      <x:c r="A172" s="43" t="str">
        <x:v>172</x:v>
      </x:c>
      <x:c r="B172" s="43" t="str">
        <x:v>abramova_2023_biopsy</x:v>
      </x:c>
      <x:c r="C172" s="43" t="str">
        <x:v>ex026</x:v>
      </x:c>
      <x:c r="D172" s="43" t="str">
        <x:v>con022</x:v>
      </x:c>
      <x:c r="E172" s="43" t="str">
        <x:v>out081</x:v>
      </x:c>
      <x:c r="F172" s="43" t="str">
        <x:v>es171</x:v>
      </x:c>
      <x:c r="G172" s="43" t="str">
        <x:v>No</x:v>
      </x:c>
      <x:c r="H172" s="43" t="str">
        <x:v>They had one level of exposure, and two experimental groups, female and males, and one control per group</x:v>
      </x:c>
      <x:c r="I172" s="43" t="str">
        <x:v>Blood BDNF and neuropeptide concentrations as potential biomarkers of behavioral impairments in rats with prenatal ultrasound stress experience</x:v>
      </x:c>
      <x:c r="J172" s="43" t="str"/>
      <x:c r="K172" s="43" t="str">
        <x:v>Российский психиатрический журнал</x:v>
      </x:c>
      <x:c r="L172" s="43" t="str"/>
      <x:c r="M172" s="43" t="str">
        <x:v>Rattus norvegicus</x:v>
      </x:c>
      <x:c r="N172" s="43" t="str">
        <x:v>albino lab rat</x:v>
      </x:c>
      <x:c r="O172" s="43" t="str">
        <x:v>Wistar rat</x:v>
      </x:c>
      <x:c r="P172" s="43" t="str">
        <x:v>16 weeks</x:v>
      </x:c>
      <x:c r="Q172" s="43" t="str">
        <x:v>3 months</x:v>
      </x:c>
      <x:c r="R172" s="43" t="str">
        <x:v>Early, mid, late</x:v>
      </x:c>
      <x:c r="S172" s="43" t="str">
        <x:v>all gestation</x:v>
      </x:c>
      <x:c r="T172" s="43" t="str">
        <x:v>21</x:v>
      </x:c>
      <x:c r="U172" s="43" t="str">
        <x:v>Continuous</x:v>
      </x:c>
      <x:c r="V172" s="43" t="str">
        <x:v>24.0</x:v>
      </x:c>
      <x:c r="W172" s="43" t="str">
        <x:v>Expossed to continuous variable frequencies </x:v>
      </x:c>
      <x:c r="X172" s="43" t="str">
        <x:v>Ultrasound</x:v>
      </x:c>
      <x:c r="Y172" s="43" t="str">
        <x:v>Ultrasound</x:v>
      </x:c>
      <x:c r="Z172" s="43" t="str">
        <x:v>50</x:v>
      </x:c>
      <x:c r="AA172" s="43" t="str">
        <x:v>20,000-45,000</x:v>
      </x:c>
      <x:c r="AB172" s="43" t="str">
        <x:v>Ambient sound</x:v>
      </x:c>
      <x:c r="AC172" s="43" t="str"/>
      <x:c r="AD172" s="43" t="str">
        <x:v>"all females with their pups were kept in individual cages under standard conditions without experimental intervention"</x:v>
      </x:c>
      <x:c r="AE172" s="43" t="str">
        <x:v>female</x:v>
      </x:c>
      <x:c r="AF172" s="43" t="str">
        <x:v>74</x:v>
      </x:c>
      <x:c r="AG172" s="43" t="str"/>
      <x:c r="AH172" s="43" t="str">
        <x:v>none</x:v>
      </x:c>
      <x:c r="AI172" s="43" t="str"/>
      <x:c r="AJ172" s="43" t="str">
        <x:v>Anxiety</x:v>
      </x:c>
      <x:c r="AK172" s="43" t="str">
        <x:v>Open Field Test (OFT)</x:v>
      </x:c>
      <x:c r="AL172" s="43" t="str"/>
      <x:c r="AM172" s="43" t="str">
        <x:v>Total freezing time</x:v>
      </x:c>
      <x:c r="AN172" s="43" t="str">
        <x:v>Time</x:v>
      </x:c>
      <x:c r="AO172" s="43" t="str">
        <x:v>s</x:v>
      </x:c>
      <x:c r="AP172" s="43" t="str">
        <x:v>Light phase</x:v>
      </x:c>
      <x:c r="AQ172" s="43" t="str">
        <x:v>paper Table 1</x:v>
      </x:c>
      <x:c r="AR172" s="43" t="str">
        <x:v>included_studies/abramova_2023_biopsy/abramova_2023_biopsy_data_calculations.xlsx</x:v>
      </x:c>
      <x:c r="AS172" s="43" t="str">
        <x:v>KON_f_</x:v>
      </x:c>
      <x:c r="AT172" s="43" t="str">
        <x:v>PS_f_</x:v>
      </x:c>
      <x:c r="AU172" s="43" t="str">
        <x:v>KON_PS_f_</x:v>
      </x:c>
      <x:c r="AV172" s="43" t="str">
        <x:v>Independent</x:v>
      </x:c>
      <x:c r="AW172" s="43" t="str">
        <x:v>No</x:v>
      </x:c>
      <x:c r="AX172" s="43" t="str">
        <x:v>Positive</x:v>
      </x:c>
      <x:c r="AY172" s="43" t="str"/>
      <x:c r="AZ172" s="43" t="str">
        <x:v>18.3</x:v>
      </x:c>
      <x:c r="BA172" s="43" t="str">
        <x:v>9.4868</x:v>
      </x:c>
      <x:c r="BB172" s="43" t="str">
        <x:v>10</x:v>
      </x:c>
      <x:c r="BC172" s="43" t="str">
        <x:v>3.0</x:v>
      </x:c>
      <x:c r="BD172" s="43" t="str"/>
      <x:c r="BE172" s="43" t="str">
        <x:v>75.3</x:v>
      </x:c>
      <x:c r="BF172" s="43" t="str">
        <x:v>56.8514</x:v>
      </x:c>
      <x:c r="BG172" s="43" t="str">
        <x:v>8</x:v>
      </x:c>
      <x:c r="BH172" s="43" t="str">
        <x:v>20.1</x:v>
      </x:c>
      <x:c r="BI172" s="43" t="str"/>
      <x:c r="BJ172" s="43" t="str">
        <x:v>Mean±SEM</x:v>
      </x:c>
      <x:c r="BK172" s="43" t="str"/>
      <x:c r="BL172" s="43" t="str"/>
      <x:c r="BM172" s="43" t="str"/>
      <x:c r="BN172" s="43" t="str"/>
      <x:c r="BO172" s="43" t="str"/>
      <x:c r="BP172" s="43" t="str"/>
      <x:c r="BQ172" s="43" t="str"/>
      <x:c r="BR172" s="43" t="str">
        <x:v>yes</x:v>
      </x:c>
      <x:c r="BS172" s="43" t="str"/>
      <x:c r="BT172" s="43" t="str"/>
      <x:c r="BU172" s="43" t="str"/>
      <x:c r="BV172" s="43" t="str">
        <x:v>3.0</x:v>
      </x:c>
      <x:c r="BW172" s="43" t="str">
        <x:v>3.0</x:v>
      </x:c>
      <x:c r="BX172" s="43" t="str">
        <x:v>Reported SEM; used unchanged for analysis</x:v>
      </x:c>
      <x:c r="BY172" s="43" t="str">
        <x:v>included_studies/abramova_2023_biopsy/abramova_2023_biopsy_data_calculations.xlsx, Table1_Extract, source row 9</x:v>
      </x:c>
      <x:c r="BZ172" s="43" t="str">
        <x:v>20.1</x:v>
      </x:c>
      <x:c r="CA172" s="43" t="str">
        <x:v>20.1</x:v>
      </x:c>
      <x:c r="CB172" s="43" t="str">
        <x:v>Reported SEM; used unchanged for analysis</x:v>
      </x:c>
      <x:c r="CC172" s="43" t="str">
        <x:v>included_studies/abramova_2023_biopsy/abramova_2023_biopsy_data_calculations.xlsx, Table1_Extract, source row 9</x:v>
      </x:c>
      <x:c r="CD172" s="43" t="str">
        <x:v>Corrected transcription</x:v>
      </x:c>
      <x:c r="CE172" s="43" t="str">
        <x:v>7 – Abramova 2023 identifiers and units</x:v>
      </x:c>
      <x:c r="CF17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73">
      <x:c r="A173" s="43" t="str">
        <x:v>173</x:v>
      </x:c>
      <x:c r="B173" s="43" t="str">
        <x:v>abramova_2023_biopsy</x:v>
      </x:c>
      <x:c r="C173" s="43" t="str">
        <x:v>ex025</x:v>
      </x:c>
      <x:c r="D173" s="43" t="str">
        <x:v>con021</x:v>
      </x:c>
      <x:c r="E173" s="43" t="str">
        <x:v>out082</x:v>
      </x:c>
      <x:c r="F173" s="43" t="str">
        <x:v>es172</x:v>
      </x:c>
      <x:c r="G173" s="43" t="str">
        <x:v>No</x:v>
      </x:c>
      <x:c r="H173" s="43" t="str">
        <x:v>They had one level of exposure, and two experimental groups, female and males, and one control per group</x:v>
      </x:c>
      <x:c r="I173" s="43" t="str">
        <x:v>Blood BDNF and neuropeptide concentrations as potential biomarkers of behavioral impairments in rats with prenatal ultrasound stress experience</x:v>
      </x:c>
      <x:c r="J173" s="43" t="str"/>
      <x:c r="K173" s="43" t="str">
        <x:v>Российский психиатрический журнал</x:v>
      </x:c>
      <x:c r="L173" s="43" t="str"/>
      <x:c r="M173" s="43" t="str">
        <x:v>Rattus norvegicus</x:v>
      </x:c>
      <x:c r="N173" s="43" t="str">
        <x:v>albino lab rat</x:v>
      </x:c>
      <x:c r="O173" s="43" t="str">
        <x:v>Wistar rat</x:v>
      </x:c>
      <x:c r="P173" s="43" t="str">
        <x:v>16 weeks</x:v>
      </x:c>
      <x:c r="Q173" s="43" t="str">
        <x:v>3 months</x:v>
      </x:c>
      <x:c r="R173" s="43" t="str">
        <x:v>Early, mid, late</x:v>
      </x:c>
      <x:c r="S173" s="43" t="str">
        <x:v>all gestation</x:v>
      </x:c>
      <x:c r="T173" s="43" t="str">
        <x:v>21</x:v>
      </x:c>
      <x:c r="U173" s="43" t="str">
        <x:v>Continuous</x:v>
      </x:c>
      <x:c r="V173" s="43" t="str">
        <x:v>24.0</x:v>
      </x:c>
      <x:c r="W173" s="43" t="str">
        <x:v>Expossed to continuous variable frequencies </x:v>
      </x:c>
      <x:c r="X173" s="43" t="str">
        <x:v>Ultrasound</x:v>
      </x:c>
      <x:c r="Y173" s="43" t="str">
        <x:v>Ultrasound</x:v>
      </x:c>
      <x:c r="Z173" s="43" t="str">
        <x:v>50</x:v>
      </x:c>
      <x:c r="AA173" s="43" t="str">
        <x:v>20,000-45,000</x:v>
      </x:c>
      <x:c r="AB173" s="43" t="str">
        <x:v>Ambient sound</x:v>
      </x:c>
      <x:c r="AC173" s="43" t="str"/>
      <x:c r="AD173" s="43" t="str">
        <x:v>"all females with their pups were kept in individual cages under standard conditions without experimental intervention"</x:v>
      </x:c>
      <x:c r="AE173" s="43" t="str">
        <x:v>male</x:v>
      </x:c>
      <x:c r="AF173" s="43" t="str">
        <x:v>74</x:v>
      </x:c>
      <x:c r="AG173" s="43" t="str"/>
      <x:c r="AH173" s="43" t="str">
        <x:v>none</x:v>
      </x:c>
      <x:c r="AI173" s="43" t="str"/>
      <x:c r="AJ173" s="43" t="str">
        <x:v>Anxiety</x:v>
      </x:c>
      <x:c r="AK173" s="43" t="str">
        <x:v>Open Field Test (OFT)</x:v>
      </x:c>
      <x:c r="AL173" s="43" t="str"/>
      <x:c r="AM173" s="43" t="str">
        <x:v>Total grooming time</x:v>
      </x:c>
      <x:c r="AN173" s="43" t="str">
        <x:v>Time</x:v>
      </x:c>
      <x:c r="AO173" s="43" t="str">
        <x:v>s</x:v>
      </x:c>
      <x:c r="AP173" s="43" t="str">
        <x:v>Light phase</x:v>
      </x:c>
      <x:c r="AQ173" s="43" t="str">
        <x:v>paper Table 1</x:v>
      </x:c>
      <x:c r="AR173" s="43" t="str">
        <x:v>included_studies/abramova_2023_biopsy/abramova_2023_biopsy_data_calculations.xlsx</x:v>
      </x:c>
      <x:c r="AS173" s="43" t="str">
        <x:v>KON_m_</x:v>
      </x:c>
      <x:c r="AT173" s="43" t="str">
        <x:v>PS_m_</x:v>
      </x:c>
      <x:c r="AU173" s="43" t="str">
        <x:v>KON_PS_m_</x:v>
      </x:c>
      <x:c r="AV173" s="43" t="str">
        <x:v>Independent</x:v>
      </x:c>
      <x:c r="AW173" s="43" t="str">
        <x:v>No</x:v>
      </x:c>
      <x:c r="AX173" s="43" t="str">
        <x:v>Positive</x:v>
      </x:c>
      <x:c r="AY173" s="43" t="str"/>
      <x:c r="AZ173" s="43" t="str"/>
      <x:c r="BA173" s="43" t="str"/>
      <x:c r="BB173" s="43" t="str">
        <x:v>9</x:v>
      </x:c>
      <x:c r="BC173" s="43" t="str"/>
      <x:c r="BD173" s="43" t="str"/>
      <x:c r="BE173" s="43" t="str"/>
      <x:c r="BF173" s="43" t="str"/>
      <x:c r="BG173" s="43" t="str">
        <x:v>10</x:v>
      </x:c>
      <x:c r="BH173" s="43" t="str"/>
      <x:c r="BI173" s="43" t="str"/>
      <x:c r="BJ173" s="43" t="str">
        <x:v>estimated from Median(Q1;Q3)</x:v>
      </x:c>
      <x:c r="BK173" s="43" t="str"/>
      <x:c r="BL173" s="43" t="str">
        <x:v>16.3</x:v>
      </x:c>
      <x:c r="BM173" s="43" t="str">
        <x:v>11.3</x:v>
      </x:c>
      <x:c r="BN173" s="43" t="str">
        <x:v>22.7</x:v>
      </x:c>
      <x:c r="BO173" s="43" t="str">
        <x:v>28.9</x:v>
      </x:c>
      <x:c r="BP173" s="43" t="str">
        <x:v>25.3</x:v>
      </x:c>
      <x:c r="BQ173" s="43" t="str">
        <x:v>61.9</x:v>
      </x:c>
      <x:c r="BR173" s="43" t="str">
        <x:v>yes</x:v>
      </x:c>
      <x:c r="BS173" s="43" t="str">
        <x:v>adjust comments text, add Median(Q1, Q2) values</x:v>
      </x:c>
      <x:c r="BT173" s="43" t="str"/>
      <x:c r="BU173" s="43" t="str"/>
      <x:c r="BV173" s="43" t="str"/>
      <x:c r="BW173" s="43" t="str"/>
      <x:c r="BX173" s="43" t="str">
        <x:v>Not calculated here: median (Q1; Q3) reported; estimation is deferred to reproducible R data wrangling</x:v>
      </x:c>
      <x:c r="BY173" s="43" t="str">
        <x:v>included_studies/abramova_2023_biopsy/abramova_2023_biopsy_data_calculations.xlsx, Table1_Extract, source row 10</x:v>
      </x:c>
      <x:c r="BZ173" s="43" t="str"/>
      <x:c r="CA173" s="43" t="str"/>
      <x:c r="CB173" s="43" t="str">
        <x:v>Not calculated here: median (Q1; Q3) reported; estimation is deferred to reproducible R data wrangling</x:v>
      </x:c>
      <x:c r="CC173" s="43" t="str">
        <x:v>included_studies/abramova_2023_biopsy/abramova_2023_biopsy_data_calculations.xlsx, Table1_Extract, source row 10</x:v>
      </x:c>
      <x:c r="CD173" s="43" t="str">
        <x:v>Analysis decision required</x:v>
      </x:c>
      <x:c r="CE173" s="43" t="str">
        <x:v>7 – Abramova 2023 identifiers and units</x:v>
      </x:c>
      <x:c r="CF17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74">
      <x:c r="A174" s="43" t="str">
        <x:v>174</x:v>
      </x:c>
      <x:c r="B174" s="43" t="str">
        <x:v>abramova_2023_biopsy</x:v>
      </x:c>
      <x:c r="C174" s="43" t="str">
        <x:v>ex026</x:v>
      </x:c>
      <x:c r="D174" s="43" t="str">
        <x:v>con022</x:v>
      </x:c>
      <x:c r="E174" s="43" t="str">
        <x:v>out082</x:v>
      </x:c>
      <x:c r="F174" s="43" t="str">
        <x:v>es173</x:v>
      </x:c>
      <x:c r="G174" s="43" t="str">
        <x:v>No</x:v>
      </x:c>
      <x:c r="H174" s="43" t="str">
        <x:v>They had one level of exposure, and two experimental groups, female and males, and one control per group</x:v>
      </x:c>
      <x:c r="I174" s="43" t="str">
        <x:v>Blood BDNF and neuropeptide concentrations as potential biomarkers of behavioral impairments in rats with prenatal ultrasound stress experience</x:v>
      </x:c>
      <x:c r="J174" s="43" t="str"/>
      <x:c r="K174" s="43" t="str">
        <x:v>Российский психиатрический журнал</x:v>
      </x:c>
      <x:c r="L174" s="43" t="str"/>
      <x:c r="M174" s="43" t="str">
        <x:v>Rattus norvegicus</x:v>
      </x:c>
      <x:c r="N174" s="43" t="str">
        <x:v>albino lab rat</x:v>
      </x:c>
      <x:c r="O174" s="43" t="str">
        <x:v>Wistar rat</x:v>
      </x:c>
      <x:c r="P174" s="43" t="str">
        <x:v>16 weeks</x:v>
      </x:c>
      <x:c r="Q174" s="43" t="str">
        <x:v>3 months</x:v>
      </x:c>
      <x:c r="R174" s="43" t="str">
        <x:v>Early, mid, late</x:v>
      </x:c>
      <x:c r="S174" s="43" t="str">
        <x:v>all gestation</x:v>
      </x:c>
      <x:c r="T174" s="43" t="str">
        <x:v>21</x:v>
      </x:c>
      <x:c r="U174" s="43" t="str">
        <x:v>Continuous</x:v>
      </x:c>
      <x:c r="V174" s="43" t="str">
        <x:v>24.0</x:v>
      </x:c>
      <x:c r="W174" s="43" t="str">
        <x:v>Expossed to continuous variable frequencies </x:v>
      </x:c>
      <x:c r="X174" s="43" t="str">
        <x:v>Ultrasound</x:v>
      </x:c>
      <x:c r="Y174" s="43" t="str">
        <x:v>Ultrasound</x:v>
      </x:c>
      <x:c r="Z174" s="43" t="str">
        <x:v>50</x:v>
      </x:c>
      <x:c r="AA174" s="43" t="str">
        <x:v>20,000-45,000</x:v>
      </x:c>
      <x:c r="AB174" s="43" t="str">
        <x:v>Ambient sound</x:v>
      </x:c>
      <x:c r="AC174" s="43" t="str"/>
      <x:c r="AD174" s="43" t="str">
        <x:v>"all females with their pups were kept in individual cages under standard conditions without experimental intervention"</x:v>
      </x:c>
      <x:c r="AE174" s="43" t="str">
        <x:v>female</x:v>
      </x:c>
      <x:c r="AF174" s="43" t="str">
        <x:v>74</x:v>
      </x:c>
      <x:c r="AG174" s="43" t="str"/>
      <x:c r="AH174" s="43" t="str">
        <x:v>none</x:v>
      </x:c>
      <x:c r="AI174" s="43" t="str"/>
      <x:c r="AJ174" s="43" t="str">
        <x:v>Anxiety</x:v>
      </x:c>
      <x:c r="AK174" s="43" t="str">
        <x:v>Open Field Test (OFT)</x:v>
      </x:c>
      <x:c r="AL174" s="43" t="str"/>
      <x:c r="AM174" s="43" t="str">
        <x:v>Total grooming time</x:v>
      </x:c>
      <x:c r="AN174" s="43" t="str">
        <x:v>Time</x:v>
      </x:c>
      <x:c r="AO174" s="43" t="str">
        <x:v>s</x:v>
      </x:c>
      <x:c r="AP174" s="43" t="str">
        <x:v>Light phase</x:v>
      </x:c>
      <x:c r="AQ174" s="43" t="str">
        <x:v>paper Table 1</x:v>
      </x:c>
      <x:c r="AR174" s="43" t="str">
        <x:v>included_studies/abramova_2023_biopsy/abramova_2023_biopsy_data_calculations.xlsx</x:v>
      </x:c>
      <x:c r="AS174" s="43" t="str">
        <x:v>KON_f_</x:v>
      </x:c>
      <x:c r="AT174" s="43" t="str">
        <x:v>PS_f_</x:v>
      </x:c>
      <x:c r="AU174" s="43" t="str">
        <x:v>KON_PS_f_</x:v>
      </x:c>
      <x:c r="AV174" s="43" t="str">
        <x:v>Independent</x:v>
      </x:c>
      <x:c r="AW174" s="43" t="str">
        <x:v>No</x:v>
      </x:c>
      <x:c r="AX174" s="43" t="str">
        <x:v>Positive</x:v>
      </x:c>
      <x:c r="AY174" s="43" t="str"/>
      <x:c r="AZ174" s="43" t="str"/>
      <x:c r="BA174" s="43" t="str"/>
      <x:c r="BB174" s="43" t="str">
        <x:v>10</x:v>
      </x:c>
      <x:c r="BC174" s="43" t="str"/>
      <x:c r="BD174" s="43" t="str"/>
      <x:c r="BE174" s="43" t="str"/>
      <x:c r="BF174" s="43" t="str"/>
      <x:c r="BG174" s="43" t="str">
        <x:v>8</x:v>
      </x:c>
      <x:c r="BH174" s="43" t="str"/>
      <x:c r="BI174" s="43" t="str"/>
      <x:c r="BJ174" s="43" t="str">
        <x:v>estimated from Median(Q1;Q3)</x:v>
      </x:c>
      <x:c r="BK174" s="43" t="str"/>
      <x:c r="BL174" s="43" t="str">
        <x:v>24.7</x:v>
      </x:c>
      <x:c r="BM174" s="43" t="str">
        <x:v>23.3</x:v>
      </x:c>
      <x:c r="BN174" s="43" t="str">
        <x:v>30.2</x:v>
      </x:c>
      <x:c r="BO174" s="43" t="str">
        <x:v>24.3</x:v>
      </x:c>
      <x:c r="BP174" s="43" t="str">
        <x:v>14.4</x:v>
      </x:c>
      <x:c r="BQ174" s="43" t="str">
        <x:v>36.1</x:v>
      </x:c>
      <x:c r="BR174" s="43" t="str">
        <x:v>yes</x:v>
      </x:c>
      <x:c r="BS174" s="43" t="str">
        <x:v>adjust comments text, add Median(Q1, Q2) values</x:v>
      </x:c>
      <x:c r="BT174" s="43" t="str"/>
      <x:c r="BU174" s="43" t="str"/>
      <x:c r="BV174" s="43" t="str"/>
      <x:c r="BW174" s="43" t="str"/>
      <x:c r="BX174" s="43" t="str">
        <x:v>Not calculated here: median (Q1; Q3) reported; estimation is deferred to reproducible R data wrangling</x:v>
      </x:c>
      <x:c r="BY174" s="43" t="str">
        <x:v>included_studies/abramova_2023_biopsy/abramova_2023_biopsy_data_calculations.xlsx, Table1_Extract, source row 11</x:v>
      </x:c>
      <x:c r="BZ174" s="43" t="str"/>
      <x:c r="CA174" s="43" t="str"/>
      <x:c r="CB174" s="43" t="str">
        <x:v>Not calculated here: median (Q1; Q3) reported; estimation is deferred to reproducible R data wrangling</x:v>
      </x:c>
      <x:c r="CC174" s="43" t="str">
        <x:v>included_studies/abramova_2023_biopsy/abramova_2023_biopsy_data_calculations.xlsx, Table1_Extract, source row 11</x:v>
      </x:c>
      <x:c r="CD174" s="43" t="str">
        <x:v>Analysis decision required</x:v>
      </x:c>
      <x:c r="CE174" s="43" t="str">
        <x:v>7 – Abramova 2023 identifiers and units</x:v>
      </x:c>
      <x:c r="CF17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75">
      <x:c r="A175" s="43" t="str">
        <x:v>175</x:v>
      </x:c>
      <x:c r="B175" s="43" t="str">
        <x:v>abramova_2023_biopsy</x:v>
      </x:c>
      <x:c r="C175" s="43" t="str">
        <x:v>ex025</x:v>
      </x:c>
      <x:c r="D175" s="43" t="str">
        <x:v>con021</x:v>
      </x:c>
      <x:c r="E175" s="43" t="str">
        <x:v>out083</x:v>
      </x:c>
      <x:c r="F175" s="43" t="str">
        <x:v>es174</x:v>
      </x:c>
      <x:c r="G175" s="43" t="str">
        <x:v>No</x:v>
      </x:c>
      <x:c r="H175" s="43" t="str">
        <x:v>They had one level of exposure, and two experimental groups, female and males, and one control per group</x:v>
      </x:c>
      <x:c r="I175" s="43" t="str">
        <x:v>Blood BDNF and neuropeptide concentrations as potential biomarkers of behavioral impairments in rats with prenatal ultrasound stress experience</x:v>
      </x:c>
      <x:c r="J175" s="43" t="str"/>
      <x:c r="K175" s="43" t="str">
        <x:v>Российский психиатрический журнал</x:v>
      </x:c>
      <x:c r="L175" s="43" t="str"/>
      <x:c r="M175" s="43" t="str">
        <x:v>Rattus norvegicus</x:v>
      </x:c>
      <x:c r="N175" s="43" t="str">
        <x:v>albino lab rat</x:v>
      </x:c>
      <x:c r="O175" s="43" t="str">
        <x:v>Wistar rat</x:v>
      </x:c>
      <x:c r="P175" s="43" t="str">
        <x:v>16 weeks</x:v>
      </x:c>
      <x:c r="Q175" s="43" t="str">
        <x:v>3 months</x:v>
      </x:c>
      <x:c r="R175" s="43" t="str">
        <x:v>Early, mid, late</x:v>
      </x:c>
      <x:c r="S175" s="43" t="str">
        <x:v>all gestation</x:v>
      </x:c>
      <x:c r="T175" s="43" t="str">
        <x:v>21</x:v>
      </x:c>
      <x:c r="U175" s="43" t="str">
        <x:v>Continuous</x:v>
      </x:c>
      <x:c r="V175" s="43" t="str">
        <x:v>24.0</x:v>
      </x:c>
      <x:c r="W175" s="43" t="str">
        <x:v>Expossed to continuous variable frequencies </x:v>
      </x:c>
      <x:c r="X175" s="43" t="str">
        <x:v>Ultrasound</x:v>
      </x:c>
      <x:c r="Y175" s="43" t="str">
        <x:v>Ultrasound</x:v>
      </x:c>
      <x:c r="Z175" s="43" t="str">
        <x:v>50</x:v>
      </x:c>
      <x:c r="AA175" s="43" t="str">
        <x:v>20,000-45,000</x:v>
      </x:c>
      <x:c r="AB175" s="43" t="str">
        <x:v>Ambient sound</x:v>
      </x:c>
      <x:c r="AC175" s="43" t="str"/>
      <x:c r="AD175" s="43" t="str">
        <x:v>"all females with their pups were kept in individual cages under standard conditions without experimental intervention"</x:v>
      </x:c>
      <x:c r="AE175" s="43" t="str">
        <x:v>male</x:v>
      </x:c>
      <x:c r="AF175" s="43" t="str">
        <x:v>74</x:v>
      </x:c>
      <x:c r="AG175" s="43" t="str"/>
      <x:c r="AH175" s="43" t="str">
        <x:v>none</x:v>
      </x:c>
      <x:c r="AI175" s="43" t="str"/>
      <x:c r="AJ175" s="43" t="str">
        <x:v>Anxiety</x:v>
      </x:c>
      <x:c r="AK175" s="43" t="str">
        <x:v>Open Field Test (OFT)</x:v>
      </x:c>
      <x:c r="AL175" s="43" t="str"/>
      <x:c r="AM175" s="43" t="str">
        <x:v>Grooming frequency</x:v>
      </x:c>
      <x:c r="AN175" s="43" t="str">
        <x:v>Count</x:v>
      </x:c>
      <x:c r="AO175" s="43" t="str">
        <x:v>Count</x:v>
      </x:c>
      <x:c r="AP175" s="43" t="str">
        <x:v>Light phase</x:v>
      </x:c>
      <x:c r="AQ175" s="43" t="str">
        <x:v>paper Table 1</x:v>
      </x:c>
      <x:c r="AR175" s="43" t="str">
        <x:v>included_studies/abramova_2023_biopsy/abramova_2023_biopsy_data_calculations.xlsx</x:v>
      </x:c>
      <x:c r="AS175" s="43" t="str">
        <x:v>KON_m_</x:v>
      </x:c>
      <x:c r="AT175" s="43" t="str">
        <x:v>PS_m_</x:v>
      </x:c>
      <x:c r="AU175" s="43" t="str">
        <x:v>KON_PS_m_</x:v>
      </x:c>
      <x:c r="AV175" s="43" t="str">
        <x:v>Independent</x:v>
      </x:c>
      <x:c r="AW175" s="43" t="str">
        <x:v>No</x:v>
      </x:c>
      <x:c r="AX175" s="43" t="str">
        <x:v>Positive</x:v>
      </x:c>
      <x:c r="AY175" s="43" t="str"/>
      <x:c r="AZ175" s="43" t="str">
        <x:v>3.3</x:v>
      </x:c>
      <x:c r="BA175" s="43" t="str">
        <x:v>1.8</x:v>
      </x:c>
      <x:c r="BB175" s="43" t="str">
        <x:v>9</x:v>
      </x:c>
      <x:c r="BC175" s="43" t="str">
        <x:v>0.6</x:v>
      </x:c>
      <x:c r="BD175" s="43" t="str"/>
      <x:c r="BE175" s="43" t="str">
        <x:v>3.3</x:v>
      </x:c>
      <x:c r="BF175" s="43" t="str">
        <x:v>1.5811</x:v>
      </x:c>
      <x:c r="BG175" s="43" t="str">
        <x:v>10</x:v>
      </x:c>
      <x:c r="BH175" s="43" t="str">
        <x:v>0.5</x:v>
      </x:c>
      <x:c r="BI175" s="43" t="str"/>
      <x:c r="BJ175" s="43" t="str">
        <x:v>Mean±SEM</x:v>
      </x:c>
      <x:c r="BK175" s="43" t="str"/>
      <x:c r="BL175" s="43" t="str"/>
      <x:c r="BM175" s="43" t="str"/>
      <x:c r="BN175" s="43" t="str"/>
      <x:c r="BO175" s="43" t="str"/>
      <x:c r="BP175" s="43" t="str"/>
      <x:c r="BQ175" s="43" t="str"/>
      <x:c r="BR175" s="43" t="str">
        <x:v>yes</x:v>
      </x:c>
      <x:c r="BS175" s="43" t="str"/>
      <x:c r="BT175" s="43" t="str"/>
      <x:c r="BU175" s="43" t="str"/>
      <x:c r="BV175" s="43" t="str">
        <x:v>0.6</x:v>
      </x:c>
      <x:c r="BW175" s="43" t="str">
        <x:v>0.6</x:v>
      </x:c>
      <x:c r="BX175" s="43" t="str">
        <x:v>Reported SEM; used unchanged for analysis</x:v>
      </x:c>
      <x:c r="BY175" s="43" t="str">
        <x:v>included_studies/abramova_2023_biopsy/abramova_2023_biopsy_data_calculations.xlsx, Table1_Extract, source row 12</x:v>
      </x:c>
      <x:c r="BZ175" s="43" t="str">
        <x:v>0.5</x:v>
      </x:c>
      <x:c r="CA175" s="43" t="str">
        <x:v>0.5</x:v>
      </x:c>
      <x:c r="CB175" s="43" t="str">
        <x:v>Reported SEM; used unchanged for analysis</x:v>
      </x:c>
      <x:c r="CC175" s="43" t="str">
        <x:v>included_studies/abramova_2023_biopsy/abramova_2023_biopsy_data_calculations.xlsx, Table1_Extract, source row 12</x:v>
      </x:c>
      <x:c r="CD175" s="43" t="str">
        <x:v>Corrected transcription</x:v>
      </x:c>
      <x:c r="CE175" s="43" t="str">
        <x:v>7 – Abramova 2023 identifiers and units</x:v>
      </x:c>
      <x:c r="CF17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76">
      <x:c r="A176" s="43" t="str">
        <x:v>176</x:v>
      </x:c>
      <x:c r="B176" s="43" t="str">
        <x:v>abramova_2023_biopsy</x:v>
      </x:c>
      <x:c r="C176" s="43" t="str">
        <x:v>ex026</x:v>
      </x:c>
      <x:c r="D176" s="43" t="str">
        <x:v>con022</x:v>
      </x:c>
      <x:c r="E176" s="43" t="str">
        <x:v>out083</x:v>
      </x:c>
      <x:c r="F176" s="43" t="str">
        <x:v>es175</x:v>
      </x:c>
      <x:c r="G176" s="43" t="str">
        <x:v>No</x:v>
      </x:c>
      <x:c r="H176" s="43" t="str">
        <x:v>They had one level of exposure, and two experimental groups, female and males, and one control per group</x:v>
      </x:c>
      <x:c r="I176" s="43" t="str">
        <x:v>Blood BDNF and neuropeptide concentrations as potential biomarkers of behavioral impairments in rats with prenatal ultrasound stress experience</x:v>
      </x:c>
      <x:c r="J176" s="43" t="str"/>
      <x:c r="K176" s="43" t="str">
        <x:v>Российский психиатрический журнал</x:v>
      </x:c>
      <x:c r="L176" s="43" t="str"/>
      <x:c r="M176" s="43" t="str">
        <x:v>Rattus norvegicus</x:v>
      </x:c>
      <x:c r="N176" s="43" t="str">
        <x:v>albino lab rat</x:v>
      </x:c>
      <x:c r="O176" s="43" t="str">
        <x:v>Wistar rat</x:v>
      </x:c>
      <x:c r="P176" s="43" t="str">
        <x:v>16 weeks</x:v>
      </x:c>
      <x:c r="Q176" s="43" t="str">
        <x:v>3 months</x:v>
      </x:c>
      <x:c r="R176" s="43" t="str">
        <x:v>Early, mid, late</x:v>
      </x:c>
      <x:c r="S176" s="43" t="str">
        <x:v>all gestation</x:v>
      </x:c>
      <x:c r="T176" s="43" t="str">
        <x:v>21</x:v>
      </x:c>
      <x:c r="U176" s="43" t="str">
        <x:v>Continuous</x:v>
      </x:c>
      <x:c r="V176" s="43" t="str">
        <x:v>24.0</x:v>
      </x:c>
      <x:c r="W176" s="43" t="str">
        <x:v>Expossed to continuous variable frequencies </x:v>
      </x:c>
      <x:c r="X176" s="43" t="str">
        <x:v>Ultrasound</x:v>
      </x:c>
      <x:c r="Y176" s="43" t="str">
        <x:v>Ultrasound</x:v>
      </x:c>
      <x:c r="Z176" s="43" t="str">
        <x:v>50</x:v>
      </x:c>
      <x:c r="AA176" s="43" t="str">
        <x:v>20,000-45,000</x:v>
      </x:c>
      <x:c r="AB176" s="43" t="str">
        <x:v>Ambient sound</x:v>
      </x:c>
      <x:c r="AC176" s="43" t="str"/>
      <x:c r="AD176" s="43" t="str">
        <x:v>"all females with their pups were kept in individual cages under standard conditions without experimental intervention"</x:v>
      </x:c>
      <x:c r="AE176" s="43" t="str">
        <x:v>female</x:v>
      </x:c>
      <x:c r="AF176" s="43" t="str">
        <x:v>74</x:v>
      </x:c>
      <x:c r="AG176" s="43" t="str"/>
      <x:c r="AH176" s="43" t="str">
        <x:v>none</x:v>
      </x:c>
      <x:c r="AI176" s="43" t="str"/>
      <x:c r="AJ176" s="43" t="str">
        <x:v>Anxiety</x:v>
      </x:c>
      <x:c r="AK176" s="43" t="str">
        <x:v>Open Field Test (OFT)</x:v>
      </x:c>
      <x:c r="AL176" s="43" t="str"/>
      <x:c r="AM176" s="43" t="str">
        <x:v>Grooming frequency</x:v>
      </x:c>
      <x:c r="AN176" s="43" t="str">
        <x:v>Count</x:v>
      </x:c>
      <x:c r="AO176" s="43" t="str">
        <x:v>Count</x:v>
      </x:c>
      <x:c r="AP176" s="43" t="str">
        <x:v>Light phase</x:v>
      </x:c>
      <x:c r="AQ176" s="43" t="str">
        <x:v>paper Table 1</x:v>
      </x:c>
      <x:c r="AR176" s="43" t="str">
        <x:v>included_studies/abramova_2023_biopsy/abramova_2023_biopsy_data_calculations.xlsx</x:v>
      </x:c>
      <x:c r="AS176" s="43" t="str">
        <x:v>KON_f_</x:v>
      </x:c>
      <x:c r="AT176" s="43" t="str">
        <x:v>PS_f_</x:v>
      </x:c>
      <x:c r="AU176" s="43" t="str">
        <x:v>KON_PS_f_</x:v>
      </x:c>
      <x:c r="AV176" s="43" t="str">
        <x:v>Independent</x:v>
      </x:c>
      <x:c r="AW176" s="43" t="str">
        <x:v>No</x:v>
      </x:c>
      <x:c r="AX176" s="43" t="str">
        <x:v>Positive</x:v>
      </x:c>
      <x:c r="AY176" s="43" t="str"/>
      <x:c r="AZ176" s="43" t="str">
        <x:v>4.8</x:v>
      </x:c>
      <x:c r="BA176" s="43" t="str">
        <x:v>1.8974</x:v>
      </x:c>
      <x:c r="BB176" s="43" t="str">
        <x:v>10</x:v>
      </x:c>
      <x:c r="BC176" s="43" t="str">
        <x:v>0.6</x:v>
      </x:c>
      <x:c r="BD176" s="43" t="str"/>
      <x:c r="BE176" s="43" t="str">
        <x:v>2.9</x:v>
      </x:c>
      <x:c r="BF176" s="43" t="str">
        <x:v>1.6971</x:v>
      </x:c>
      <x:c r="BG176" s="43" t="str">
        <x:v>8</x:v>
      </x:c>
      <x:c r="BH176" s="43" t="str">
        <x:v>0.6</x:v>
      </x:c>
      <x:c r="BI176" s="43" t="str"/>
      <x:c r="BJ176" s="43" t="str">
        <x:v>Mean±SEM</x:v>
      </x:c>
      <x:c r="BK176" s="43" t="str"/>
      <x:c r="BL176" s="43" t="str"/>
      <x:c r="BM176" s="43" t="str"/>
      <x:c r="BN176" s="43" t="str"/>
      <x:c r="BO176" s="43" t="str"/>
      <x:c r="BP176" s="43" t="str"/>
      <x:c r="BQ176" s="43" t="str"/>
      <x:c r="BR176" s="43" t="str">
        <x:v>yes</x:v>
      </x:c>
      <x:c r="BS176" s="43" t="str"/>
      <x:c r="BT176" s="43" t="str"/>
      <x:c r="BU176" s="43" t="str"/>
      <x:c r="BV176" s="43" t="str">
        <x:v>0.6</x:v>
      </x:c>
      <x:c r="BW176" s="43" t="str">
        <x:v>0.6</x:v>
      </x:c>
      <x:c r="BX176" s="43" t="str">
        <x:v>Reported SEM; used unchanged for analysis</x:v>
      </x:c>
      <x:c r="BY176" s="43" t="str">
        <x:v>included_studies/abramova_2023_biopsy/abramova_2023_biopsy_data_calculations.xlsx, Table1_Extract, source row 13</x:v>
      </x:c>
      <x:c r="BZ176" s="43" t="str">
        <x:v>0.6</x:v>
      </x:c>
      <x:c r="CA176" s="43" t="str">
        <x:v>0.6</x:v>
      </x:c>
      <x:c r="CB176" s="43" t="str">
        <x:v>Reported SEM; used unchanged for analysis</x:v>
      </x:c>
      <x:c r="CC176" s="43" t="str">
        <x:v>included_studies/abramova_2023_biopsy/abramova_2023_biopsy_data_calculations.xlsx, Table1_Extract, source row 13</x:v>
      </x:c>
      <x:c r="CD176" s="43" t="str">
        <x:v>Corrected transcription</x:v>
      </x:c>
      <x:c r="CE176" s="43" t="str">
        <x:v>7 – Abramova 2023 identifiers and units</x:v>
      </x:c>
      <x:c r="CF17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77">
      <x:c r="A177" s="43" t="str">
        <x:v>177</x:v>
      </x:c>
      <x:c r="B177" s="43" t="str">
        <x:v>abramova_2023_biopsy</x:v>
      </x:c>
      <x:c r="C177" s="43" t="str">
        <x:v>ex025</x:v>
      </x:c>
      <x:c r="D177" s="43" t="str">
        <x:v>con021</x:v>
      </x:c>
      <x:c r="E177" s="43" t="str">
        <x:v>out084</x:v>
      </x:c>
      <x:c r="F177" s="43" t="str">
        <x:v>es176</x:v>
      </x:c>
      <x:c r="G177" s="43" t="str">
        <x:v>No</x:v>
      </x:c>
      <x:c r="H177" s="43" t="str">
        <x:v>They had one level of exposure, and two experimental groups, female and males, and one control per group</x:v>
      </x:c>
      <x:c r="I177" s="43" t="str">
        <x:v>Blood BDNF and neuropeptide concentrations as potential biomarkers of behavioral impairments in rats with prenatal ultrasound stress experience</x:v>
      </x:c>
      <x:c r="J177" s="43" t="str"/>
      <x:c r="K177" s="43" t="str">
        <x:v>Российский психиатрический журнал</x:v>
      </x:c>
      <x:c r="L177" s="43" t="str"/>
      <x:c r="M177" s="43" t="str">
        <x:v>Rattus norvegicus</x:v>
      </x:c>
      <x:c r="N177" s="43" t="str">
        <x:v>albino lab rat</x:v>
      </x:c>
      <x:c r="O177" s="43" t="str">
        <x:v>Wistar rat</x:v>
      </x:c>
      <x:c r="P177" s="43" t="str">
        <x:v>16 weeks</x:v>
      </x:c>
      <x:c r="Q177" s="43" t="str">
        <x:v>3 months</x:v>
      </x:c>
      <x:c r="R177" s="43" t="str">
        <x:v>Early, mid, late</x:v>
      </x:c>
      <x:c r="S177" s="43" t="str">
        <x:v>all gestation</x:v>
      </x:c>
      <x:c r="T177" s="43" t="str">
        <x:v>21</x:v>
      </x:c>
      <x:c r="U177" s="43" t="str">
        <x:v>Continuous</x:v>
      </x:c>
      <x:c r="V177" s="43" t="str">
        <x:v>24.0</x:v>
      </x:c>
      <x:c r="W177" s="43" t="str">
        <x:v>Expossed to continuous variable frequencies </x:v>
      </x:c>
      <x:c r="X177" s="43" t="str">
        <x:v>Ultrasound</x:v>
      </x:c>
      <x:c r="Y177" s="43" t="str">
        <x:v>Ultrasound</x:v>
      </x:c>
      <x:c r="Z177" s="43" t="str">
        <x:v>50</x:v>
      </x:c>
      <x:c r="AA177" s="43" t="str">
        <x:v>20,000-45,000</x:v>
      </x:c>
      <x:c r="AB177" s="43" t="str">
        <x:v>Ambient sound</x:v>
      </x:c>
      <x:c r="AC177" s="43" t="str"/>
      <x:c r="AD177" s="43" t="str">
        <x:v>"all females with their pups were kept in individual cages under standard conditions without experimental intervention"</x:v>
      </x:c>
      <x:c r="AE177" s="43" t="str">
        <x:v>male</x:v>
      </x:c>
      <x:c r="AF177" s="43" t="str">
        <x:v>74</x:v>
      </x:c>
      <x:c r="AG177" s="43" t="str"/>
      <x:c r="AH177" s="43" t="str">
        <x:v>none</x:v>
      </x:c>
      <x:c r="AI177" s="43" t="str"/>
      <x:c r="AJ177" s="43" t="str">
        <x:v>Anxiety</x:v>
      </x:c>
      <x:c r="AK177" s="43" t="str">
        <x:v>Open Field Test (OFT)</x:v>
      </x:c>
      <x:c r="AL177" s="43" t="str"/>
      <x:c r="AM177" s="43" t="str">
        <x:v>Mean grooming duration</x:v>
      </x:c>
      <x:c r="AN177" s="43" t="str">
        <x:v>Time</x:v>
      </x:c>
      <x:c r="AO177" s="43" t="str">
        <x:v>s</x:v>
      </x:c>
      <x:c r="AP177" s="43" t="str">
        <x:v>Light phase</x:v>
      </x:c>
      <x:c r="AQ177" s="43" t="str">
        <x:v>paper Table 1</x:v>
      </x:c>
      <x:c r="AR177" s="43" t="str">
        <x:v>included_studies/abramova_2023_biopsy/abramova_2023_biopsy_data_calculations.xlsx</x:v>
      </x:c>
      <x:c r="AS177" s="43" t="str">
        <x:v>KON_m_</x:v>
      </x:c>
      <x:c r="AT177" s="43" t="str">
        <x:v>PS_m_</x:v>
      </x:c>
      <x:c r="AU177" s="43" t="str">
        <x:v>KON_PS_m_</x:v>
      </x:c>
      <x:c r="AV177" s="43" t="str">
        <x:v>Independent</x:v>
      </x:c>
      <x:c r="AW177" s="43" t="str">
        <x:v>No</x:v>
      </x:c>
      <x:c r="AX177" s="43" t="str">
        <x:v>Positive</x:v>
      </x:c>
      <x:c r="AY177" s="43" t="str"/>
      <x:c r="AZ177" s="43" t="str"/>
      <x:c r="BA177" s="43" t="str"/>
      <x:c r="BB177" s="43" t="str">
        <x:v>9</x:v>
      </x:c>
      <x:c r="BC177" s="43" t="str"/>
      <x:c r="BD177" s="43" t="str"/>
      <x:c r="BE177" s="43" t="str"/>
      <x:c r="BF177" s="43" t="str"/>
      <x:c r="BG177" s="43" t="str">
        <x:v>10</x:v>
      </x:c>
      <x:c r="BH177" s="43" t="str"/>
      <x:c r="BI177" s="43" t="str"/>
      <x:c r="BJ177" s="43" t="str">
        <x:v>estimated from Median(Q1;Q3)</x:v>
      </x:c>
      <x:c r="BK177" s="43" t="str"/>
      <x:c r="BL177" s="43" t="str">
        <x:v>4.6</x:v>
      </x:c>
      <x:c r="BM177" s="43" t="str">
        <x:v>3.8</x:v>
      </x:c>
      <x:c r="BN177" s="43" t="str">
        <x:v>5.4</x:v>
      </x:c>
      <x:c r="BO177" s="43" t="str">
        <x:v>0.6</x:v>
      </x:c>
      <x:c r="BP177" s="43" t="str">
        <x:v>0.0</x:v>
      </x:c>
      <x:c r="BQ177" s="43" t="str">
        <x:v>1.3</x:v>
      </x:c>
      <x:c r="BR177" s="43" t="str">
        <x:v>yes</x:v>
      </x:c>
      <x:c r="BS177" s="43" t="str">
        <x:v>adjust comments text, add Median(Q1, Q2) values</x:v>
      </x:c>
      <x:c r="BT177" s="43" t="str"/>
      <x:c r="BU177" s="43" t="str"/>
      <x:c r="BV177" s="43" t="str"/>
      <x:c r="BW177" s="43" t="str"/>
      <x:c r="BX177" s="43" t="str">
        <x:v>Not calculated here: median (Q1; Q3) reported; estimation is deferred to reproducible R data wrangling</x:v>
      </x:c>
      <x:c r="BY177" s="43" t="str">
        <x:v>included_studies/abramova_2023_biopsy/abramova_2023_biopsy_data_calculations.xlsx, Table1_Extract, source row 14</x:v>
      </x:c>
      <x:c r="BZ177" s="43" t="str"/>
      <x:c r="CA177" s="43" t="str"/>
      <x:c r="CB177" s="43" t="str">
        <x:v>Not calculated here: median (Q1; Q3) reported; estimation is deferred to reproducible R data wrangling</x:v>
      </x:c>
      <x:c r="CC177" s="43" t="str">
        <x:v>included_studies/abramova_2023_biopsy/abramova_2023_biopsy_data_calculations.xlsx, Table1_Extract, source row 14</x:v>
      </x:c>
      <x:c r="CD177" s="43" t="str">
        <x:v>Analysis decision required</x:v>
      </x:c>
      <x:c r="CE177" s="43" t="str">
        <x:v>7 – Abramova 2023 identifiers and units</x:v>
      </x:c>
      <x:c r="CF17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row>
    <x:row r="178">
      <x:c r="A178" s="43" t="str">
        <x:v>178</x:v>
      </x:c>
      <x:c r="B178" s="43" t="str">
        <x:v>abramova_2023_biopsy</x:v>
      </x:c>
      <x:c r="C178" s="43" t="str">
        <x:v>ex026</x:v>
      </x:c>
      <x:c r="D178" s="43" t="str">
        <x:v>con022</x:v>
      </x:c>
      <x:c r="E178" s="43" t="str">
        <x:v>out084</x:v>
      </x:c>
      <x:c r="F178" s="43" t="str">
        <x:v>es177</x:v>
      </x:c>
      <x:c r="G178" s="43" t="str">
        <x:v>No</x:v>
      </x:c>
      <x:c r="H178" s="43" t="str">
        <x:v>They had one level of exposure, and two experimental groups, female and males, and one control per group</x:v>
      </x:c>
      <x:c r="I178" s="43" t="str">
        <x:v>Blood BDNF and neuropeptide concentrations as potential biomarkers of behavioral impairments in rats with prenatal ultrasound stress experience</x:v>
      </x:c>
      <x:c r="J178" s="43" t="str"/>
      <x:c r="K178" s="43" t="str">
        <x:v>Российский психиатрический журнал</x:v>
      </x:c>
      <x:c r="L178" s="43" t="str"/>
      <x:c r="M178" s="43" t="str">
        <x:v>Rattus norvegicus</x:v>
      </x:c>
      <x:c r="N178" s="43" t="str">
        <x:v>albino lab rat</x:v>
      </x:c>
      <x:c r="O178" s="43" t="str">
        <x:v>Wistar rat</x:v>
      </x:c>
      <x:c r="P178" s="43" t="str">
        <x:v>16 weeks</x:v>
      </x:c>
      <x:c r="Q178" s="43" t="str">
        <x:v>3 months</x:v>
      </x:c>
      <x:c r="R178" s="43" t="str">
        <x:v>Early, mid, late</x:v>
      </x:c>
      <x:c r="S178" s="43" t="str">
        <x:v>all gestation</x:v>
      </x:c>
      <x:c r="T178" s="43" t="str">
        <x:v>21</x:v>
      </x:c>
      <x:c r="U178" s="43" t="str">
        <x:v>Continuous</x:v>
      </x:c>
      <x:c r="V178" s="43" t="str">
        <x:v>24.0</x:v>
      </x:c>
      <x:c r="W178" s="43" t="str">
        <x:v>Expossed to continuous variable frequencies </x:v>
      </x:c>
      <x:c r="X178" s="43" t="str">
        <x:v>Ultrasound</x:v>
      </x:c>
      <x:c r="Y178" s="43" t="str">
        <x:v>Ultrasound</x:v>
      </x:c>
      <x:c r="Z178" s="43" t="str">
        <x:v>50</x:v>
      </x:c>
      <x:c r="AA178" s="43" t="str">
        <x:v>20,000-45,000</x:v>
      </x:c>
      <x:c r="AB178" s="43" t="str">
        <x:v>Ambient sound</x:v>
      </x:c>
      <x:c r="AC178" s="43" t="str"/>
      <x:c r="AD178" s="43" t="str">
        <x:v>"all females with their pups were kept in individual cages under standard conditions without experimental intervention"</x:v>
      </x:c>
      <x:c r="AE178" s="43" t="str">
        <x:v>female</x:v>
      </x:c>
      <x:c r="AF178" s="43" t="str">
        <x:v>74</x:v>
      </x:c>
      <x:c r="AG178" s="43" t="str"/>
      <x:c r="AH178" s="43" t="str">
        <x:v>none</x:v>
      </x:c>
      <x:c r="AI178" s="43" t="str"/>
      <x:c r="AJ178" s="43" t="str">
        <x:v>Anxiety</x:v>
      </x:c>
      <x:c r="AK178" s="43" t="str">
        <x:v>Open Field Test (OFT)</x:v>
      </x:c>
      <x:c r="AL178" s="43" t="str"/>
      <x:c r="AM178" s="43" t="str">
        <x:v>Mean grooming duration</x:v>
      </x:c>
      <x:c r="AN178" s="43" t="str">
        <x:v>Time</x:v>
      </x:c>
      <x:c r="AO178" s="43" t="str">
        <x:v>s</x:v>
      </x:c>
      <x:c r="AP178" s="43" t="str">
        <x:v>Light phase</x:v>
      </x:c>
      <x:c r="AQ178" s="43" t="str">
        <x:v>paper Table 1</x:v>
      </x:c>
      <x:c r="AR178" s="43" t="str">
        <x:v>included_studies/abramova_2023_biopsy/abramova_2023_biopsy_data_calculations.xlsx</x:v>
      </x:c>
      <x:c r="AS178" s="43" t="str">
        <x:v>KON_f_</x:v>
      </x:c>
      <x:c r="AT178" s="43" t="str">
        <x:v>PS_f_</x:v>
      </x:c>
      <x:c r="AU178" s="43" t="str">
        <x:v>KON_PS_f_</x:v>
      </x:c>
      <x:c r="AV178" s="43" t="str">
        <x:v>Independent</x:v>
      </x:c>
      <x:c r="AW178" s="43" t="str">
        <x:v>No</x:v>
      </x:c>
      <x:c r="AX178" s="43" t="str">
        <x:v>Positive</x:v>
      </x:c>
      <x:c r="AY178" s="43" t="str"/>
      <x:c r="AZ178" s="43" t="str"/>
      <x:c r="BA178" s="43" t="str"/>
      <x:c r="BB178" s="43" t="str">
        <x:v>10</x:v>
      </x:c>
      <x:c r="BC178" s="43" t="str"/>
      <x:c r="BD178" s="43" t="str"/>
      <x:c r="BE178" s="43" t="str"/>
      <x:c r="BF178" s="43" t="str"/>
      <x:c r="BG178" s="43" t="str">
        <x:v>8</x:v>
      </x:c>
      <x:c r="BH178" s="43" t="str"/>
      <x:c r="BI178" s="43" t="str"/>
      <x:c r="BJ178" s="43" t="str">
        <x:v>estimated from Median(Q1;Q3)</x:v>
      </x:c>
      <x:c r="BK178" s="43" t="str"/>
      <x:c r="BL178" s="43" t="str">
        <x:v>6.5</x:v>
      </x:c>
      <x:c r="BM178" s="43" t="str">
        <x:v>4.0</x:v>
      </x:c>
      <x:c r="BN178" s="43" t="str">
        <x:v>8.1</x:v>
      </x:c>
      <x:c r="BO178" s="43" t="str">
        <x:v>0.0</x:v>
      </x:c>
      <x:c r="BP178" s="43" t="str">
        <x:v>0.0</x:v>
      </x:c>
      <x:c r="BQ178" s="43" t="str">
        <x:v>0.3</x:v>
      </x:c>
      <x:c r="BR178" s="43" t="str">
        <x:v>yes</x:v>
      </x:c>
      <x:c r="BS178" s="43" t="str">
        <x:v>adjust comments text, add Median(Q1, Q2) values</x:v>
      </x:c>
      <x:c r="BT178" s="43" t="str"/>
      <x:c r="BU178" s="43" t="str"/>
      <x:c r="BV178" s="43" t="str"/>
      <x:c r="BW178" s="43" t="str"/>
      <x:c r="BX178" s="43" t="str">
        <x:v>Not calculated here: median (Q1; Q3) reported; estimation is deferred to reproducible R data wrangling</x:v>
      </x:c>
      <x:c r="BY178" s="43" t="str">
        <x:v>included_studies/abramova_2023_biopsy/abramova_2023_biopsy_data_calculations.xlsx, Table1_Extract, source row 15</x:v>
      </x:c>
      <x:c r="BZ178" s="43" t="str"/>
      <x:c r="CA178" s="43" t="str"/>
      <x:c r="CB178" s="43" t="str">
        <x:v>Not calculated here: median (Q1; Q3) reported; estimation is deferred to reproducible R data wrangling</x:v>
      </x:c>
      <x:c r="CC178" s="43" t="str">
        <x:v>included_studies/abramova_2023_biopsy/abramova_2023_biopsy_data_calculations.xlsx, Table1_Extract, source row 15</x:v>
      </x:c>
      <x:c r="CD178" s="43" t="str">
        <x:v>Analysis decision required</x:v>
      </x:c>
      <x:c r="CE178" s="43" t="str">
        <x:v>7 – Abramova 2023 identifiers and units</x:v>
      </x:c>
      <x:c r="CF17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 | Choose and implement the central-tendency/dispersion conversion in the R data-wrangling workflow.</x:v>
      </x:c>
    </x:row>
    <x:row r="179">
      <x:c r="A179" s="43" t="str">
        <x:v>179</x:v>
      </x:c>
      <x:c r="B179" s="43" t="str">
        <x:v>abramova_2023_biopsy</x:v>
      </x:c>
      <x:c r="C179" s="43" t="str">
        <x:v>ex025</x:v>
      </x:c>
      <x:c r="D179" s="43" t="str">
        <x:v>con021</x:v>
      </x:c>
      <x:c r="E179" s="43" t="str">
        <x:v>out085</x:v>
      </x:c>
      <x:c r="F179" s="43" t="str">
        <x:v>es178</x:v>
      </x:c>
      <x:c r="G179" s="43" t="str">
        <x:v>No</x:v>
      </x:c>
      <x:c r="H179" s="43" t="str">
        <x:v>They had one level of exposure, and two experimental groups, female and males, and one control per group</x:v>
      </x:c>
      <x:c r="I179" s="43" t="str">
        <x:v>Blood BDNF and neuropeptide concentrations as potential biomarkers of behavioral impairments in rats with prenatal ultrasound stress experience</x:v>
      </x:c>
      <x:c r="J179" s="43" t="str"/>
      <x:c r="K179" s="43" t="str">
        <x:v>Российский психиатрический журнал</x:v>
      </x:c>
      <x:c r="L179" s="43" t="str"/>
      <x:c r="M179" s="43" t="str">
        <x:v>Rattus norvegicus</x:v>
      </x:c>
      <x:c r="N179" s="43" t="str">
        <x:v>albino lab rat</x:v>
      </x:c>
      <x:c r="O179" s="43" t="str">
        <x:v>Wistar rat</x:v>
      </x:c>
      <x:c r="P179" s="43" t="str">
        <x:v>16 weeks</x:v>
      </x:c>
      <x:c r="Q179" s="43" t="str">
        <x:v>3 months</x:v>
      </x:c>
      <x:c r="R179" s="43" t="str">
        <x:v>Early, mid, late</x:v>
      </x:c>
      <x:c r="S179" s="43" t="str">
        <x:v>all gestation</x:v>
      </x:c>
      <x:c r="T179" s="43" t="str">
        <x:v>21</x:v>
      </x:c>
      <x:c r="U179" s="43" t="str">
        <x:v>Continuous</x:v>
      </x:c>
      <x:c r="V179" s="43" t="str">
        <x:v>24.0</x:v>
      </x:c>
      <x:c r="W179" s="43" t="str">
        <x:v>Expossed to continuous variable frequencies </x:v>
      </x:c>
      <x:c r="X179" s="43" t="str">
        <x:v>Ultrasound</x:v>
      </x:c>
      <x:c r="Y179" s="43" t="str">
        <x:v>Ultrasound</x:v>
      </x:c>
      <x:c r="Z179" s="43" t="str">
        <x:v>50</x:v>
      </x:c>
      <x:c r="AA179" s="43" t="str">
        <x:v>20,000-45,000</x:v>
      </x:c>
      <x:c r="AB179" s="43" t="str">
        <x:v>Ambient sound</x:v>
      </x:c>
      <x:c r="AC179" s="43" t="str"/>
      <x:c r="AD179" s="43" t="str">
        <x:v>"all females with their pups were kept in individual cages under standard conditions without experimental intervention"</x:v>
      </x:c>
      <x:c r="AE179" s="43" t="str">
        <x:v>male</x:v>
      </x:c>
      <x:c r="AF179" s="43" t="str">
        <x:v>70</x:v>
      </x:c>
      <x:c r="AG179" s="43" t="str"/>
      <x:c r="AH179" s="43" t="str">
        <x:v>none</x:v>
      </x:c>
      <x:c r="AI179" s="43" t="str"/>
      <x:c r="AJ179" s="43" t="str">
        <x:v>Anxiety</x:v>
      </x:c>
      <x:c r="AK179" s="43" t="str">
        <x:v>Elevated Plus Maze (EPM)</x:v>
      </x:c>
      <x:c r="AL179" s="43" t="str"/>
      <x:c r="AM179" s="43" t="str">
        <x:v>Total time in dark</x:v>
      </x:c>
      <x:c r="AN179" s="43" t="str">
        <x:v>Time</x:v>
      </x:c>
      <x:c r="AO179" s="43" t="str">
        <x:v>s</x:v>
      </x:c>
      <x:c r="AP179" s="43" t="str">
        <x:v>Light phase</x:v>
      </x:c>
      <x:c r="AQ179" s="43" t="str">
        <x:v>paper Table 1</x:v>
      </x:c>
      <x:c r="AR179" s="43" t="str">
        <x:v>included_studies/abramova_2023_biopsy/abramova_2023_biopsy_data_calculations.xlsx</x:v>
      </x:c>
      <x:c r="AS179" s="43" t="str">
        <x:v>KON_m_</x:v>
      </x:c>
      <x:c r="AT179" s="43" t="str">
        <x:v>PS_m_</x:v>
      </x:c>
      <x:c r="AU179" s="43" t="str">
        <x:v>KON_PS_m_</x:v>
      </x:c>
      <x:c r="AV179" s="43" t="str">
        <x:v>Independent</x:v>
      </x:c>
      <x:c r="AW179" s="43" t="str">
        <x:v>No</x:v>
      </x:c>
      <x:c r="AX179" s="43" t="str">
        <x:v>Positive</x:v>
      </x:c>
      <x:c r="AY179" s="43" t="str"/>
      <x:c r="AZ179" s="43" t="str">
        <x:v>264.0</x:v>
      </x:c>
      <x:c r="BA179" s="43" t="str">
        <x:v>21.0</x:v>
      </x:c>
      <x:c r="BB179" s="43" t="str">
        <x:v>9</x:v>
      </x:c>
      <x:c r="BC179" s="43" t="str">
        <x:v>7.0</x:v>
      </x:c>
      <x:c r="BD179" s="43" t="str"/>
      <x:c r="BE179" s="43" t="str">
        <x:v>251.0</x:v>
      </x:c>
      <x:c r="BF179" s="43" t="str">
        <x:v>41.1096</x:v>
      </x:c>
      <x:c r="BG179" s="43" t="str">
        <x:v>10</x:v>
      </x:c>
      <x:c r="BH179" s="43" t="str">
        <x:v>13.0</x:v>
      </x:c>
      <x:c r="BI179" s="43" t="str"/>
      <x:c r="BJ179" s="43" t="str">
        <x:v>Mean±SEM</x:v>
      </x:c>
      <x:c r="BK179" s="43" t="str"/>
      <x:c r="BL179" s="43" t="str"/>
      <x:c r="BM179" s="43" t="str"/>
      <x:c r="BN179" s="43" t="str"/>
      <x:c r="BO179" s="43" t="str"/>
      <x:c r="BP179" s="43" t="str"/>
      <x:c r="BQ179" s="43" t="str"/>
      <x:c r="BR179" s="43" t="str">
        <x:v>yes</x:v>
      </x:c>
      <x:c r="BS179" s="43" t="str"/>
      <x:c r="BT179" s="43" t="str"/>
      <x:c r="BU179" s="43" t="str"/>
      <x:c r="BV179" s="43" t="str">
        <x:v>7.0</x:v>
      </x:c>
      <x:c r="BW179" s="43" t="str">
        <x:v>7.0</x:v>
      </x:c>
      <x:c r="BX179" s="43" t="str">
        <x:v>Reported SEM; used unchanged for analysis</x:v>
      </x:c>
      <x:c r="BY179" s="43" t="str">
        <x:v>included_studies/abramova_2023_biopsy/abramova_2023_biopsy_data_calculations.xlsx, Table1_Extract, source row 16</x:v>
      </x:c>
      <x:c r="BZ179" s="43" t="str">
        <x:v>13.0</x:v>
      </x:c>
      <x:c r="CA179" s="43" t="str">
        <x:v>13.0</x:v>
      </x:c>
      <x:c r="CB179" s="43" t="str">
        <x:v>Reported SEM; used unchanged for analysis</x:v>
      </x:c>
      <x:c r="CC179" s="43" t="str">
        <x:v>included_studies/abramova_2023_biopsy/abramova_2023_biopsy_data_calculations.xlsx, Table1_Extract, source row 16</x:v>
      </x:c>
      <x:c r="CD179" s="43" t="str">
        <x:v>Corrected transcription</x:v>
      </x:c>
      <x:c r="CE179" s="43" t="str">
        <x:v>7 – Abramova 2023 identifiers and units</x:v>
      </x:c>
      <x:c r="CF17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0">
      <x:c r="A180" s="43" t="str">
        <x:v>180</x:v>
      </x:c>
      <x:c r="B180" s="43" t="str">
        <x:v>abramova_2023_biopsy</x:v>
      </x:c>
      <x:c r="C180" s="43" t="str">
        <x:v>ex026</x:v>
      </x:c>
      <x:c r="D180" s="43" t="str">
        <x:v>con022</x:v>
      </x:c>
      <x:c r="E180" s="43" t="str">
        <x:v>out085</x:v>
      </x:c>
      <x:c r="F180" s="43" t="str">
        <x:v>es179</x:v>
      </x:c>
      <x:c r="G180" s="43" t="str">
        <x:v>No</x:v>
      </x:c>
      <x:c r="H180" s="43" t="str">
        <x:v>They had one level of exposure, and two experimental groups, female and males, and one control per group</x:v>
      </x:c>
      <x:c r="I180" s="43" t="str">
        <x:v>Blood BDNF and neuropeptide concentrations as potential biomarkers of behavioral impairments in rats with prenatal ultrasound stress experience</x:v>
      </x:c>
      <x:c r="J180" s="43" t="str"/>
      <x:c r="K180" s="43" t="str">
        <x:v>Российский психиатрический журнал</x:v>
      </x:c>
      <x:c r="L180" s="43" t="str"/>
      <x:c r="M180" s="43" t="str">
        <x:v>Rattus norvegicus</x:v>
      </x:c>
      <x:c r="N180" s="43" t="str">
        <x:v>albino lab rat</x:v>
      </x:c>
      <x:c r="O180" s="43" t="str">
        <x:v>Wistar rat</x:v>
      </x:c>
      <x:c r="P180" s="43" t="str">
        <x:v>16 weeks</x:v>
      </x:c>
      <x:c r="Q180" s="43" t="str">
        <x:v>3 months</x:v>
      </x:c>
      <x:c r="R180" s="43" t="str">
        <x:v>Early, mid, late</x:v>
      </x:c>
      <x:c r="S180" s="43" t="str">
        <x:v>all gestation</x:v>
      </x:c>
      <x:c r="T180" s="43" t="str">
        <x:v>21</x:v>
      </x:c>
      <x:c r="U180" s="43" t="str">
        <x:v>Continuous</x:v>
      </x:c>
      <x:c r="V180" s="43" t="str">
        <x:v>24.0</x:v>
      </x:c>
      <x:c r="W180" s="43" t="str">
        <x:v>Expossed to continuous variable frequencies </x:v>
      </x:c>
      <x:c r="X180" s="43" t="str">
        <x:v>Ultrasound</x:v>
      </x:c>
      <x:c r="Y180" s="43" t="str">
        <x:v>Ultrasound</x:v>
      </x:c>
      <x:c r="Z180" s="43" t="str">
        <x:v>50</x:v>
      </x:c>
      <x:c r="AA180" s="43" t="str">
        <x:v>20,000-45,000</x:v>
      </x:c>
      <x:c r="AB180" s="43" t="str">
        <x:v>Ambient sound</x:v>
      </x:c>
      <x:c r="AC180" s="43" t="str"/>
      <x:c r="AD180" s="43" t="str">
        <x:v>"all females with their pups were kept in individual cages under standard conditions without experimental intervention"</x:v>
      </x:c>
      <x:c r="AE180" s="43" t="str">
        <x:v>female</x:v>
      </x:c>
      <x:c r="AF180" s="43" t="str">
        <x:v>70</x:v>
      </x:c>
      <x:c r="AG180" s="43" t="str"/>
      <x:c r="AH180" s="43" t="str">
        <x:v>none</x:v>
      </x:c>
      <x:c r="AI180" s="43" t="str"/>
      <x:c r="AJ180" s="43" t="str">
        <x:v>Anxiety</x:v>
      </x:c>
      <x:c r="AK180" s="43" t="str">
        <x:v>Elevated Plus Maze (EPM)</x:v>
      </x:c>
      <x:c r="AL180" s="43" t="str"/>
      <x:c r="AM180" s="43" t="str">
        <x:v>Total time in dark</x:v>
      </x:c>
      <x:c r="AN180" s="43" t="str">
        <x:v>Time</x:v>
      </x:c>
      <x:c r="AO180" s="43" t="str">
        <x:v>s</x:v>
      </x:c>
      <x:c r="AP180" s="43" t="str">
        <x:v>Light phase</x:v>
      </x:c>
      <x:c r="AQ180" s="43" t="str">
        <x:v>paper Table 1</x:v>
      </x:c>
      <x:c r="AR180" s="43" t="str">
        <x:v>included_studies/abramova_2023_biopsy/abramova_2023_biopsy_data_calculations.xlsx</x:v>
      </x:c>
      <x:c r="AS180" s="43" t="str">
        <x:v>KON_f_</x:v>
      </x:c>
      <x:c r="AT180" s="43" t="str">
        <x:v>PS_f_</x:v>
      </x:c>
      <x:c r="AU180" s="43" t="str">
        <x:v>KON_PS_f_</x:v>
      </x:c>
      <x:c r="AV180" s="43" t="str">
        <x:v>Independent</x:v>
      </x:c>
      <x:c r="AW180" s="43" t="str">
        <x:v>No</x:v>
      </x:c>
      <x:c r="AX180" s="43" t="str">
        <x:v>Positive</x:v>
      </x:c>
      <x:c r="AY180" s="43" t="str"/>
      <x:c r="AZ180" s="43" t="str">
        <x:v>269.0</x:v>
      </x:c>
      <x:c r="BA180" s="43" t="str">
        <x:v>15.8114</x:v>
      </x:c>
      <x:c r="BB180" s="43" t="str">
        <x:v>10</x:v>
      </x:c>
      <x:c r="BC180" s="43" t="str">
        <x:v>5.0</x:v>
      </x:c>
      <x:c r="BD180" s="43" t="str"/>
      <x:c r="BE180" s="43" t="str">
        <x:v>266.0</x:v>
      </x:c>
      <x:c r="BF180" s="43" t="str">
        <x:v>31.1127</x:v>
      </x:c>
      <x:c r="BG180" s="43" t="str">
        <x:v>8</x:v>
      </x:c>
      <x:c r="BH180" s="43" t="str">
        <x:v>11.0</x:v>
      </x:c>
      <x:c r="BI180" s="43" t="str"/>
      <x:c r="BJ180" s="43" t="str">
        <x:v>Mean±SEM</x:v>
      </x:c>
      <x:c r="BK180" s="43" t="str"/>
      <x:c r="BL180" s="43" t="str"/>
      <x:c r="BM180" s="43" t="str"/>
      <x:c r="BN180" s="43" t="str"/>
      <x:c r="BO180" s="43" t="str"/>
      <x:c r="BP180" s="43" t="str"/>
      <x:c r="BQ180" s="43" t="str"/>
      <x:c r="BR180" s="43" t="str">
        <x:v>yes</x:v>
      </x:c>
      <x:c r="BS180" s="43" t="str"/>
      <x:c r="BT180" s="43" t="str"/>
      <x:c r="BU180" s="43" t="str"/>
      <x:c r="BV180" s="43" t="str">
        <x:v>5.0</x:v>
      </x:c>
      <x:c r="BW180" s="43" t="str">
        <x:v>5.0</x:v>
      </x:c>
      <x:c r="BX180" s="43" t="str">
        <x:v>Reported SEM; used unchanged for analysis</x:v>
      </x:c>
      <x:c r="BY180" s="43" t="str">
        <x:v>included_studies/abramova_2023_biopsy/abramova_2023_biopsy_data_calculations.xlsx, Table1_Extract, source row 17</x:v>
      </x:c>
      <x:c r="BZ180" s="43" t="str">
        <x:v>11.0</x:v>
      </x:c>
      <x:c r="CA180" s="43" t="str">
        <x:v>11.0</x:v>
      </x:c>
      <x:c r="CB180" s="43" t="str">
        <x:v>Reported SEM; used unchanged for analysis</x:v>
      </x:c>
      <x:c r="CC180" s="43" t="str">
        <x:v>included_studies/abramova_2023_biopsy/abramova_2023_biopsy_data_calculations.xlsx, Table1_Extract, source row 17</x:v>
      </x:c>
      <x:c r="CD180" s="43" t="str">
        <x:v>Corrected transcription</x:v>
      </x:c>
      <x:c r="CE180" s="43" t="str">
        <x:v>7 – Abramova 2023 identifiers and units</x:v>
      </x:c>
      <x:c r="CF18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1">
      <x:c r="A181" s="43" t="str">
        <x:v>181</x:v>
      </x:c>
      <x:c r="B181" s="43" t="str">
        <x:v>abramova_2023_biopsy</x:v>
      </x:c>
      <x:c r="C181" s="43" t="str">
        <x:v>ex025</x:v>
      </x:c>
      <x:c r="D181" s="43" t="str">
        <x:v>con021</x:v>
      </x:c>
      <x:c r="E181" s="43" t="str">
        <x:v>out086</x:v>
      </x:c>
      <x:c r="F181" s="43" t="str">
        <x:v>es180</x:v>
      </x:c>
      <x:c r="G181" s="43" t="str">
        <x:v>No</x:v>
      </x:c>
      <x:c r="H181" s="43" t="str">
        <x:v>They had one level of exposure, and two experimental groups, female and males, and one control per group</x:v>
      </x:c>
      <x:c r="I181" s="43" t="str">
        <x:v>Blood BDNF and neuropeptide concentrations as potential biomarkers of behavioral impairments in rats with prenatal ultrasound stress experience</x:v>
      </x:c>
      <x:c r="J181" s="43" t="str"/>
      <x:c r="K181" s="43" t="str">
        <x:v>Российский психиатрический журнал</x:v>
      </x:c>
      <x:c r="L181" s="43" t="str"/>
      <x:c r="M181" s="43" t="str">
        <x:v>Rattus norvegicus</x:v>
      </x:c>
      <x:c r="N181" s="43" t="str">
        <x:v>albino lab rat</x:v>
      </x:c>
      <x:c r="O181" s="43" t="str">
        <x:v>Wistar rat</x:v>
      </x:c>
      <x:c r="P181" s="43" t="str">
        <x:v>16 weeks</x:v>
      </x:c>
      <x:c r="Q181" s="43" t="str">
        <x:v>3 months</x:v>
      </x:c>
      <x:c r="R181" s="43" t="str">
        <x:v>Early, mid, late</x:v>
      </x:c>
      <x:c r="S181" s="43" t="str">
        <x:v>all gestation</x:v>
      </x:c>
      <x:c r="T181" s="43" t="str">
        <x:v>21</x:v>
      </x:c>
      <x:c r="U181" s="43" t="str">
        <x:v>Continuous</x:v>
      </x:c>
      <x:c r="V181" s="43" t="str">
        <x:v>24.0</x:v>
      </x:c>
      <x:c r="W181" s="43" t="str">
        <x:v>Expossed to continuous variable frequencies </x:v>
      </x:c>
      <x:c r="X181" s="43" t="str">
        <x:v>Ultrasound</x:v>
      </x:c>
      <x:c r="Y181" s="43" t="str">
        <x:v>Ultrasound</x:v>
      </x:c>
      <x:c r="Z181" s="43" t="str">
        <x:v>50</x:v>
      </x:c>
      <x:c r="AA181" s="43" t="str">
        <x:v>20,000-45,000</x:v>
      </x:c>
      <x:c r="AB181" s="43" t="str">
        <x:v>Ambient sound</x:v>
      </x:c>
      <x:c r="AC181" s="43" t="str"/>
      <x:c r="AD181" s="43" t="str">
        <x:v>"all females with their pups were kept in individual cages under standard conditions without experimental intervention"</x:v>
      </x:c>
      <x:c r="AE181" s="43" t="str">
        <x:v>male</x:v>
      </x:c>
      <x:c r="AF181" s="43" t="str">
        <x:v>70</x:v>
      </x:c>
      <x:c r="AG181" s="43" t="str"/>
      <x:c r="AH181" s="43" t="str">
        <x:v>none</x:v>
      </x:c>
      <x:c r="AI181" s="43" t="str"/>
      <x:c r="AJ181" s="43" t="str">
        <x:v>Anxiety</x:v>
      </x:c>
      <x:c r="AK181" s="43" t="str">
        <x:v>Elevated Plus Maze (EPM)</x:v>
      </x:c>
      <x:c r="AL181" s="43" t="str"/>
      <x:c r="AM181" s="43" t="str">
        <x:v>Total time in light</x:v>
      </x:c>
      <x:c r="AN181" s="43" t="str">
        <x:v>Time</x:v>
      </x:c>
      <x:c r="AO181" s="43" t="str">
        <x:v>s</x:v>
      </x:c>
      <x:c r="AP181" s="43" t="str">
        <x:v>Light phase</x:v>
      </x:c>
      <x:c r="AQ181" s="43" t="str">
        <x:v>paper Table 1</x:v>
      </x:c>
      <x:c r="AR181" s="43" t="str">
        <x:v>included_studies/abramova_2023_biopsy/abramova_2023_biopsy_data_calculations.xlsx</x:v>
      </x:c>
      <x:c r="AS181" s="43" t="str">
        <x:v>KON_m_</x:v>
      </x:c>
      <x:c r="AT181" s="43" t="str">
        <x:v>PS_m_</x:v>
      </x:c>
      <x:c r="AU181" s="43" t="str">
        <x:v>KON_PS_m_</x:v>
      </x:c>
      <x:c r="AV181" s="43" t="str">
        <x:v>Independent</x:v>
      </x:c>
      <x:c r="AW181" s="43" t="str">
        <x:v>Yes</x:v>
      </x:c>
      <x:c r="AX181" s="43" t="str">
        <x:v>Negative</x:v>
      </x:c>
      <x:c r="AY181" s="43" t="str"/>
      <x:c r="AZ181" s="43" t="str"/>
      <x:c r="BA181" s="43" t="str"/>
      <x:c r="BB181" s="43" t="str">
        <x:v>9</x:v>
      </x:c>
      <x:c r="BC181" s="43" t="str"/>
      <x:c r="BD181" s="43" t="str"/>
      <x:c r="BE181" s="43" t="str"/>
      <x:c r="BF181" s="43" t="str"/>
      <x:c r="BG181" s="43" t="str">
        <x:v>10</x:v>
      </x:c>
      <x:c r="BH181" s="43" t="str"/>
      <x:c r="BI181" s="43" t="str"/>
      <x:c r="BJ181" s="43" t="str">
        <x:v>estimated from Median(Q1;Q3)</x:v>
      </x:c>
      <x:c r="BK181" s="43" t="str"/>
      <x:c r="BL181" s="43" t="str">
        <x:v>27.1</x:v>
      </x:c>
      <x:c r="BM181" s="43" t="str">
        <x:v>19.4</x:v>
      </x:c>
      <x:c r="BN181" s="43" t="str">
        <x:v>51.5</x:v>
      </x:c>
      <x:c r="BO181" s="43" t="str">
        <x:v>41.9</x:v>
      </x:c>
      <x:c r="BP181" s="43" t="str">
        <x:v>2.2</x:v>
      </x:c>
      <x:c r="BQ181" s="43" t="str">
        <x:v>62.0</x:v>
      </x:c>
      <x:c r="BR181" s="43" t="str">
        <x:v>yes</x:v>
      </x:c>
      <x:c r="BS181" s="43" t="str">
        <x:v>adjust comments text, add Median(Q1, Q2) values</x:v>
      </x:c>
      <x:c r="BT181" s="43" t="str"/>
      <x:c r="BU181" s="43" t="str"/>
      <x:c r="BV181" s="43" t="str"/>
      <x:c r="BW181" s="43" t="str"/>
      <x:c r="BX181" s="43" t="str">
        <x:v>Not calculated here: median (Q1; Q3) reported; estimation is deferred to reproducible R data wrangling</x:v>
      </x:c>
      <x:c r="BY181" s="43" t="str">
        <x:v>included_studies/abramova_2023_biopsy/abramova_2023_biopsy_data_calculations.xlsx, Table1_Extract, source row 18</x:v>
      </x:c>
      <x:c r="BZ181" s="43" t="str"/>
      <x:c r="CA181" s="43" t="str"/>
      <x:c r="CB181" s="43" t="str">
        <x:v>Not calculated here: median (Q1; Q3) reported; estimation is deferred to reproducible R data wrangling</x:v>
      </x:c>
      <x:c r="CC181" s="43" t="str">
        <x:v>included_studies/abramova_2023_biopsy/abramova_2023_biopsy_data_calculations.xlsx, Table1_Extract, source row 18</x:v>
      </x:c>
      <x:c r="CD181" s="43" t="str">
        <x:v>Analysis decision required</x:v>
      </x:c>
      <x:c r="CE181" s="43" t="str">
        <x:v>7 – Abramova 2023 identifiers and units</x:v>
      </x:c>
      <x:c r="CF18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82">
      <x:c r="A182" s="43" t="str">
        <x:v>182</x:v>
      </x:c>
      <x:c r="B182" s="43" t="str">
        <x:v>abramova_2023_biopsy</x:v>
      </x:c>
      <x:c r="C182" s="43" t="str">
        <x:v>ex026</x:v>
      </x:c>
      <x:c r="D182" s="43" t="str">
        <x:v>con022</x:v>
      </x:c>
      <x:c r="E182" s="43" t="str">
        <x:v>out086</x:v>
      </x:c>
      <x:c r="F182" s="43" t="str">
        <x:v>es181</x:v>
      </x:c>
      <x:c r="G182" s="43" t="str">
        <x:v>No</x:v>
      </x:c>
      <x:c r="H182" s="43" t="str">
        <x:v>They had one level of exposure, and two experimental groups, female and males, and one control per group</x:v>
      </x:c>
      <x:c r="I182" s="43" t="str">
        <x:v>Blood BDNF and neuropeptide concentrations as potential biomarkers of behavioral impairments in rats with prenatal ultrasound stress experience</x:v>
      </x:c>
      <x:c r="J182" s="43" t="str"/>
      <x:c r="K182" s="43" t="str">
        <x:v>Российский психиатрический журнал</x:v>
      </x:c>
      <x:c r="L182" s="43" t="str"/>
      <x:c r="M182" s="43" t="str">
        <x:v>Rattus norvegicus</x:v>
      </x:c>
      <x:c r="N182" s="43" t="str">
        <x:v>albino lab rat</x:v>
      </x:c>
      <x:c r="O182" s="43" t="str">
        <x:v>Wistar rat</x:v>
      </x:c>
      <x:c r="P182" s="43" t="str">
        <x:v>16 weeks</x:v>
      </x:c>
      <x:c r="Q182" s="43" t="str">
        <x:v>3 months</x:v>
      </x:c>
      <x:c r="R182" s="43" t="str">
        <x:v>Early, mid, late</x:v>
      </x:c>
      <x:c r="S182" s="43" t="str">
        <x:v>all gestation</x:v>
      </x:c>
      <x:c r="T182" s="43" t="str">
        <x:v>21</x:v>
      </x:c>
      <x:c r="U182" s="43" t="str">
        <x:v>Continuous</x:v>
      </x:c>
      <x:c r="V182" s="43" t="str">
        <x:v>24.0</x:v>
      </x:c>
      <x:c r="W182" s="43" t="str">
        <x:v>Expossed to continuous variable frequencies </x:v>
      </x:c>
      <x:c r="X182" s="43" t="str">
        <x:v>Ultrasound</x:v>
      </x:c>
      <x:c r="Y182" s="43" t="str">
        <x:v>Ultrasound</x:v>
      </x:c>
      <x:c r="Z182" s="43" t="str">
        <x:v>50</x:v>
      </x:c>
      <x:c r="AA182" s="43" t="str">
        <x:v>20,000-45,000</x:v>
      </x:c>
      <x:c r="AB182" s="43" t="str">
        <x:v>Ambient sound</x:v>
      </x:c>
      <x:c r="AC182" s="43" t="str"/>
      <x:c r="AD182" s="43" t="str">
        <x:v>"all females with their pups were kept in individual cages under standard conditions without experimental intervention"</x:v>
      </x:c>
      <x:c r="AE182" s="43" t="str">
        <x:v>female</x:v>
      </x:c>
      <x:c r="AF182" s="43" t="str">
        <x:v>70</x:v>
      </x:c>
      <x:c r="AG182" s="43" t="str"/>
      <x:c r="AH182" s="43" t="str">
        <x:v>none</x:v>
      </x:c>
      <x:c r="AI182" s="43" t="str"/>
      <x:c r="AJ182" s="43" t="str">
        <x:v>Anxiety</x:v>
      </x:c>
      <x:c r="AK182" s="43" t="str">
        <x:v>Elevated Plus Maze (EPM)</x:v>
      </x:c>
      <x:c r="AL182" s="43" t="str"/>
      <x:c r="AM182" s="43" t="str">
        <x:v>Total time in light</x:v>
      </x:c>
      <x:c r="AN182" s="43" t="str">
        <x:v>Time</x:v>
      </x:c>
      <x:c r="AO182" s="43" t="str">
        <x:v>s</x:v>
      </x:c>
      <x:c r="AP182" s="43" t="str">
        <x:v>Light phase</x:v>
      </x:c>
      <x:c r="AQ182" s="43" t="str">
        <x:v>paper Table 1</x:v>
      </x:c>
      <x:c r="AR182" s="43" t="str">
        <x:v>included_studies/abramova_2023_biopsy/abramova_2023_biopsy_data_calculations.xlsx</x:v>
      </x:c>
      <x:c r="AS182" s="43" t="str">
        <x:v>KON_f_</x:v>
      </x:c>
      <x:c r="AT182" s="43" t="str">
        <x:v>PS_f_</x:v>
      </x:c>
      <x:c r="AU182" s="43" t="str">
        <x:v>KON_PS_f_</x:v>
      </x:c>
      <x:c r="AV182" s="43" t="str">
        <x:v>Independent</x:v>
      </x:c>
      <x:c r="AW182" s="43" t="str">
        <x:v>Yes</x:v>
      </x:c>
      <x:c r="AX182" s="43" t="str">
        <x:v>Negative</x:v>
      </x:c>
      <x:c r="AY182" s="43" t="str"/>
      <x:c r="AZ182" s="43" t="str"/>
      <x:c r="BA182" s="43" t="str"/>
      <x:c r="BB182" s="43" t="str">
        <x:v>10</x:v>
      </x:c>
      <x:c r="BC182" s="43" t="str"/>
      <x:c r="BD182" s="43" t="str"/>
      <x:c r="BE182" s="43" t="str"/>
      <x:c r="BF182" s="43" t="str"/>
      <x:c r="BG182" s="43" t="str">
        <x:v>8</x:v>
      </x:c>
      <x:c r="BH182" s="43" t="str"/>
      <x:c r="BI182" s="43" t="str"/>
      <x:c r="BJ182" s="43" t="str">
        <x:v>estimated from Median(Q1;Q3)</x:v>
      </x:c>
      <x:c r="BK182" s="43" t="str"/>
      <x:c r="BL182" s="43" t="str">
        <x:v>19.6</x:v>
      </x:c>
      <x:c r="BM182" s="43" t="str">
        <x:v>17.7</x:v>
      </x:c>
      <x:c r="BN182" s="43" t="str">
        <x:v>40.5</x:v>
      </x:c>
      <x:c r="BO182" s="43" t="str">
        <x:v>26.1</x:v>
      </x:c>
      <x:c r="BP182" s="43" t="str">
        <x:v>19.4</x:v>
      </x:c>
      <x:c r="BQ182" s="43" t="str">
        <x:v>51.5</x:v>
      </x:c>
      <x:c r="BR182" s="43" t="str">
        <x:v>yes</x:v>
      </x:c>
      <x:c r="BS182" s="43" t="str">
        <x:v>adjust comments text, add Median(Q1, Q2) values</x:v>
      </x:c>
      <x:c r="BT182" s="43" t="str"/>
      <x:c r="BU182" s="43" t="str"/>
      <x:c r="BV182" s="43" t="str"/>
      <x:c r="BW182" s="43" t="str"/>
      <x:c r="BX182" s="43" t="str">
        <x:v>Not calculated here: median (Q1; Q3) reported; estimation is deferred to reproducible R data wrangling</x:v>
      </x:c>
      <x:c r="BY182" s="43" t="str">
        <x:v>included_studies/abramova_2023_biopsy/abramova_2023_biopsy_data_calculations.xlsx, Table1_Extract, source row 19</x:v>
      </x:c>
      <x:c r="BZ182" s="43" t="str"/>
      <x:c r="CA182" s="43" t="str"/>
      <x:c r="CB182" s="43" t="str">
        <x:v>Not calculated here: median (Q1; Q3) reported; estimation is deferred to reproducible R data wrangling</x:v>
      </x:c>
      <x:c r="CC182" s="43" t="str">
        <x:v>included_studies/abramova_2023_biopsy/abramova_2023_biopsy_data_calculations.xlsx, Table1_Extract, source row 19</x:v>
      </x:c>
      <x:c r="CD182" s="43" t="str">
        <x:v>Analysis decision required</x:v>
      </x:c>
      <x:c r="CE182" s="43" t="str">
        <x:v>7 – Abramova 2023 identifiers and units</x:v>
      </x:c>
      <x:c r="CF18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83">
      <x:c r="A183" s="43" t="str">
        <x:v>183</x:v>
      </x:c>
      <x:c r="B183" s="43" t="str">
        <x:v>abramova_2023_biopsy</x:v>
      </x:c>
      <x:c r="C183" s="43" t="str">
        <x:v>ex025</x:v>
      </x:c>
      <x:c r="D183" s="43" t="str">
        <x:v>con021</x:v>
      </x:c>
      <x:c r="E183" s="43" t="str">
        <x:v>out087</x:v>
      </x:c>
      <x:c r="F183" s="43" t="str">
        <x:v>es182</x:v>
      </x:c>
      <x:c r="G183" s="43" t="str">
        <x:v>No</x:v>
      </x:c>
      <x:c r="H183" s="43" t="str">
        <x:v>They had one level of exposure, and two experimental groups, female and males, and one control per group</x:v>
      </x:c>
      <x:c r="I183" s="43" t="str">
        <x:v>Blood BDNF and neuropeptide concentrations as potential biomarkers of behavioral impairments in rats with prenatal ultrasound stress experience</x:v>
      </x:c>
      <x:c r="J183" s="43" t="str"/>
      <x:c r="K183" s="43" t="str">
        <x:v>Российский психиатрический журнал</x:v>
      </x:c>
      <x:c r="L183" s="43" t="str"/>
      <x:c r="M183" s="43" t="str">
        <x:v>Rattus norvegicus</x:v>
      </x:c>
      <x:c r="N183" s="43" t="str">
        <x:v>albino lab rat</x:v>
      </x:c>
      <x:c r="O183" s="43" t="str">
        <x:v>Wistar rat</x:v>
      </x:c>
      <x:c r="P183" s="43" t="str">
        <x:v>16 weeks</x:v>
      </x:c>
      <x:c r="Q183" s="43" t="str">
        <x:v>3 months</x:v>
      </x:c>
      <x:c r="R183" s="43" t="str">
        <x:v>Early, mid, late</x:v>
      </x:c>
      <x:c r="S183" s="43" t="str">
        <x:v>all gestation</x:v>
      </x:c>
      <x:c r="T183" s="43" t="str">
        <x:v>21</x:v>
      </x:c>
      <x:c r="U183" s="43" t="str">
        <x:v>Continuous</x:v>
      </x:c>
      <x:c r="V183" s="43" t="str">
        <x:v>24.0</x:v>
      </x:c>
      <x:c r="W183" s="43" t="str">
        <x:v>Expossed to continuous variable frequencies </x:v>
      </x:c>
      <x:c r="X183" s="43" t="str">
        <x:v>Ultrasound</x:v>
      </x:c>
      <x:c r="Y183" s="43" t="str">
        <x:v>Ultrasound</x:v>
      </x:c>
      <x:c r="Z183" s="43" t="str">
        <x:v>50</x:v>
      </x:c>
      <x:c r="AA183" s="43" t="str">
        <x:v>20,000-45,000</x:v>
      </x:c>
      <x:c r="AB183" s="43" t="str">
        <x:v>Ambient sound</x:v>
      </x:c>
      <x:c r="AC183" s="43" t="str"/>
      <x:c r="AD183" s="43" t="str">
        <x:v>"all females with their pups were kept in individual cages under standard conditions without experimental intervention"</x:v>
      </x:c>
      <x:c r="AE183" s="43" t="str">
        <x:v>male</x:v>
      </x:c>
      <x:c r="AF183" s="43" t="str">
        <x:v>70</x:v>
      </x:c>
      <x:c r="AG183" s="43" t="str"/>
      <x:c r="AH183" s="43" t="str">
        <x:v>none</x:v>
      </x:c>
      <x:c r="AI183" s="43" t="str"/>
      <x:c r="AJ183" s="43" t="str">
        <x:v>Anxiety</x:v>
      </x:c>
      <x:c r="AK183" s="43" t="str">
        <x:v>Elevated Plus Maze (EPM)</x:v>
      </x:c>
      <x:c r="AL183" s="43" t="str"/>
      <x:c r="AM183" s="43" t="str">
        <x:v>Center entries (crossing)</x:v>
      </x:c>
      <x:c r="AN183" s="43" t="str">
        <x:v>Count</x:v>
      </x:c>
      <x:c r="AO183" s="43" t="str">
        <x:v>Count</x:v>
      </x:c>
      <x:c r="AP183" s="43" t="str">
        <x:v>Light phase</x:v>
      </x:c>
      <x:c r="AQ183" s="43" t="str">
        <x:v>paper Table 1</x:v>
      </x:c>
      <x:c r="AR183" s="43" t="str">
        <x:v>included_studies/abramova_2023_biopsy/abramova_2023_biopsy_data_calculations.xlsx</x:v>
      </x:c>
      <x:c r="AS183" s="43" t="str">
        <x:v>KON_m_</x:v>
      </x:c>
      <x:c r="AT183" s="43" t="str">
        <x:v>PS_m_</x:v>
      </x:c>
      <x:c r="AU183" s="43" t="str">
        <x:v>KON_PS_m_</x:v>
      </x:c>
      <x:c r="AV183" s="43" t="str">
        <x:v>Independent</x:v>
      </x:c>
      <x:c r="AW183" s="43" t="str">
        <x:v>Yes</x:v>
      </x:c>
      <x:c r="AX183" s="43" t="str">
        <x:v>Negative</x:v>
      </x:c>
      <x:c r="AY183" s="43" t="str"/>
      <x:c r="AZ183" s="43" t="str">
        <x:v>6.2</x:v>
      </x:c>
      <x:c r="BA183" s="43" t="str">
        <x:v>3.0</x:v>
      </x:c>
      <x:c r="BB183" s="43" t="str">
        <x:v>9</x:v>
      </x:c>
      <x:c r="BC183" s="43" t="str">
        <x:v>1.0</x:v>
      </x:c>
      <x:c r="BD183" s="43" t="str"/>
      <x:c r="BE183" s="43" t="str">
        <x:v>2.9</x:v>
      </x:c>
      <x:c r="BF183" s="43" t="str">
        <x:v>2.5298</x:v>
      </x:c>
      <x:c r="BG183" s="43" t="str">
        <x:v>10</x:v>
      </x:c>
      <x:c r="BH183" s="43" t="str">
        <x:v>0.8</x:v>
      </x:c>
      <x:c r="BI183" s="43" t="str"/>
      <x:c r="BJ183" s="43" t="str">
        <x:v>Mean±SEM</x:v>
      </x:c>
      <x:c r="BK183" s="43" t="str"/>
      <x:c r="BL183" s="43" t="str"/>
      <x:c r="BM183" s="43" t="str"/>
      <x:c r="BN183" s="43" t="str"/>
      <x:c r="BO183" s="43" t="str"/>
      <x:c r="BP183" s="43" t="str"/>
      <x:c r="BQ183" s="43" t="str"/>
      <x:c r="BR183" s="43" t="str">
        <x:v>yes</x:v>
      </x:c>
      <x:c r="BS183" s="43" t="str"/>
      <x:c r="BT183" s="43" t="str"/>
      <x:c r="BU183" s="43" t="str"/>
      <x:c r="BV183" s="43" t="str">
        <x:v>1.0</x:v>
      </x:c>
      <x:c r="BW183" s="43" t="str">
        <x:v>1.0</x:v>
      </x:c>
      <x:c r="BX183" s="43" t="str">
        <x:v>Reported SEM; used unchanged for analysis</x:v>
      </x:c>
      <x:c r="BY183" s="43" t="str">
        <x:v>included_studies/abramova_2023_biopsy/abramova_2023_biopsy_data_calculations.xlsx, Table1_Extract, source row 20</x:v>
      </x:c>
      <x:c r="BZ183" s="43" t="str">
        <x:v>0.8</x:v>
      </x:c>
      <x:c r="CA183" s="43" t="str">
        <x:v>0.8</x:v>
      </x:c>
      <x:c r="CB183" s="43" t="str">
        <x:v>Reported SEM; used unchanged for analysis</x:v>
      </x:c>
      <x:c r="CC183" s="43" t="str">
        <x:v>included_studies/abramova_2023_biopsy/abramova_2023_biopsy_data_calculations.xlsx, Table1_Extract, source row 20</x:v>
      </x:c>
      <x:c r="CD183" s="43" t="str">
        <x:v>Corrected transcription</x:v>
      </x:c>
      <x:c r="CE183" s="43" t="str">
        <x:v>7 – Abramova 2023 identifiers and units</x:v>
      </x:c>
      <x:c r="CF18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4">
      <x:c r="A184" s="43" t="str">
        <x:v>184</x:v>
      </x:c>
      <x:c r="B184" s="43" t="str">
        <x:v>abramova_2023_biopsy</x:v>
      </x:c>
      <x:c r="C184" s="43" t="str">
        <x:v>ex026</x:v>
      </x:c>
      <x:c r="D184" s="43" t="str">
        <x:v>con022</x:v>
      </x:c>
      <x:c r="E184" s="43" t="str">
        <x:v>out087</x:v>
      </x:c>
      <x:c r="F184" s="43" t="str">
        <x:v>es183</x:v>
      </x:c>
      <x:c r="G184" s="43" t="str">
        <x:v>No</x:v>
      </x:c>
      <x:c r="H184" s="43" t="str">
        <x:v>They had one level of exposure, and two experimental groups, female and males, and one control per group</x:v>
      </x:c>
      <x:c r="I184" s="43" t="str">
        <x:v>Blood BDNF and neuropeptide concentrations as potential biomarkers of behavioral impairments in rats with prenatal ultrasound stress experience</x:v>
      </x:c>
      <x:c r="J184" s="43" t="str"/>
      <x:c r="K184" s="43" t="str">
        <x:v>Российский психиатрический журнал</x:v>
      </x:c>
      <x:c r="L184" s="43" t="str"/>
      <x:c r="M184" s="43" t="str">
        <x:v>Rattus norvegicus</x:v>
      </x:c>
      <x:c r="N184" s="43" t="str">
        <x:v>albino lab rat</x:v>
      </x:c>
      <x:c r="O184" s="43" t="str">
        <x:v>Wistar rat</x:v>
      </x:c>
      <x:c r="P184" s="43" t="str">
        <x:v>16 weeks</x:v>
      </x:c>
      <x:c r="Q184" s="43" t="str">
        <x:v>3 months</x:v>
      </x:c>
      <x:c r="R184" s="43" t="str">
        <x:v>Early, mid, late</x:v>
      </x:c>
      <x:c r="S184" s="43" t="str">
        <x:v>all gestation</x:v>
      </x:c>
      <x:c r="T184" s="43" t="str">
        <x:v>21</x:v>
      </x:c>
      <x:c r="U184" s="43" t="str">
        <x:v>Continuous</x:v>
      </x:c>
      <x:c r="V184" s="43" t="str">
        <x:v>24.0</x:v>
      </x:c>
      <x:c r="W184" s="43" t="str">
        <x:v>Expossed to continuous variable frequencies </x:v>
      </x:c>
      <x:c r="X184" s="43" t="str">
        <x:v>Ultrasound</x:v>
      </x:c>
      <x:c r="Y184" s="43" t="str">
        <x:v>Ultrasound</x:v>
      </x:c>
      <x:c r="Z184" s="43" t="str">
        <x:v>50</x:v>
      </x:c>
      <x:c r="AA184" s="43" t="str">
        <x:v>20,000-45,000</x:v>
      </x:c>
      <x:c r="AB184" s="43" t="str">
        <x:v>Ambient sound</x:v>
      </x:c>
      <x:c r="AC184" s="43" t="str"/>
      <x:c r="AD184" s="43" t="str">
        <x:v>"all females with their pups were kept in individual cages under standard conditions without experimental intervention"</x:v>
      </x:c>
      <x:c r="AE184" s="43" t="str">
        <x:v>female</x:v>
      </x:c>
      <x:c r="AF184" s="43" t="str">
        <x:v>70</x:v>
      </x:c>
      <x:c r="AG184" s="43" t="str"/>
      <x:c r="AH184" s="43" t="str">
        <x:v>none</x:v>
      </x:c>
      <x:c r="AI184" s="43" t="str"/>
      <x:c r="AJ184" s="43" t="str">
        <x:v>Anxiety</x:v>
      </x:c>
      <x:c r="AK184" s="43" t="str">
        <x:v>Elevated Plus Maze (EPM)</x:v>
      </x:c>
      <x:c r="AL184" s="43" t="str"/>
      <x:c r="AM184" s="43" t="str">
        <x:v>Center entries (crossing)</x:v>
      </x:c>
      <x:c r="AN184" s="43" t="str">
        <x:v>Count</x:v>
      </x:c>
      <x:c r="AO184" s="43" t="str">
        <x:v>Count</x:v>
      </x:c>
      <x:c r="AP184" s="43" t="str">
        <x:v>Light phase</x:v>
      </x:c>
      <x:c r="AQ184" s="43" t="str">
        <x:v>paper Table 1</x:v>
      </x:c>
      <x:c r="AR184" s="43" t="str">
        <x:v>included_studies/abramova_2023_biopsy/abramova_2023_biopsy_data_calculations.xlsx</x:v>
      </x:c>
      <x:c r="AS184" s="43" t="str">
        <x:v>KON_f_</x:v>
      </x:c>
      <x:c r="AT184" s="43" t="str">
        <x:v>PS_f_</x:v>
      </x:c>
      <x:c r="AU184" s="43" t="str">
        <x:v>KON_PS_f_</x:v>
      </x:c>
      <x:c r="AV184" s="43" t="str">
        <x:v>Independent</x:v>
      </x:c>
      <x:c r="AW184" s="43" t="str">
        <x:v>Yes</x:v>
      </x:c>
      <x:c r="AX184" s="43" t="str">
        <x:v>Negative</x:v>
      </x:c>
      <x:c r="AY184" s="43" t="str"/>
      <x:c r="AZ184" s="43" t="str">
        <x:v>4.7</x:v>
      </x:c>
      <x:c r="BA184" s="43" t="str">
        <x:v>1.9606</x:v>
      </x:c>
      <x:c r="BB184" s="43" t="str">
        <x:v>10</x:v>
      </x:c>
      <x:c r="BC184" s="43" t="str">
        <x:v>0.62</x:v>
      </x:c>
      <x:c r="BD184" s="43" t="str"/>
      <x:c r="BE184" s="43" t="str">
        <x:v>2.9</x:v>
      </x:c>
      <x:c r="BF184" s="43" t="str">
        <x:v>1.9799</x:v>
      </x:c>
      <x:c r="BG184" s="43" t="str">
        <x:v>8</x:v>
      </x:c>
      <x:c r="BH184" s="43" t="str">
        <x:v>0.7</x:v>
      </x:c>
      <x:c r="BI184" s="43" t="str"/>
      <x:c r="BJ184" s="43" t="str">
        <x:v>Mean±SEM</x:v>
      </x:c>
      <x:c r="BK184" s="43" t="str"/>
      <x:c r="BL184" s="43" t="str"/>
      <x:c r="BM184" s="43" t="str"/>
      <x:c r="BN184" s="43" t="str"/>
      <x:c r="BO184" s="43" t="str"/>
      <x:c r="BP184" s="43" t="str"/>
      <x:c r="BQ184" s="43" t="str"/>
      <x:c r="BR184" s="43" t="str">
        <x:v>yes</x:v>
      </x:c>
      <x:c r="BS184" s="43" t="str"/>
      <x:c r="BT184" s="43" t="str"/>
      <x:c r="BU184" s="43" t="str"/>
      <x:c r="BV184" s="43" t="str">
        <x:v>0.62</x:v>
      </x:c>
      <x:c r="BW184" s="43" t="str">
        <x:v>0.62</x:v>
      </x:c>
      <x:c r="BX184" s="43" t="str">
        <x:v>Reported SEM; used unchanged for analysis</x:v>
      </x:c>
      <x:c r="BY184" s="43" t="str">
        <x:v>included_studies/abramova_2023_biopsy/abramova_2023_biopsy_data_calculations.xlsx, Table1_Extract, source row 21</x:v>
      </x:c>
      <x:c r="BZ184" s="43" t="str">
        <x:v>0.7</x:v>
      </x:c>
      <x:c r="CA184" s="43" t="str">
        <x:v>0.7</x:v>
      </x:c>
      <x:c r="CB184" s="43" t="str">
        <x:v>Reported SEM; used unchanged for analysis</x:v>
      </x:c>
      <x:c r="CC184" s="43" t="str">
        <x:v>included_studies/abramova_2023_biopsy/abramova_2023_biopsy_data_calculations.xlsx, Table1_Extract, source row 21</x:v>
      </x:c>
      <x:c r="CD184" s="43" t="str">
        <x:v>Corrected transcription</x:v>
      </x:c>
      <x:c r="CE184" s="43" t="str">
        <x:v>7 – Abramova 2023 identifiers and units</x:v>
      </x:c>
      <x:c r="CF18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5">
      <x:c r="A185" s="43" t="str">
        <x:v>185</x:v>
      </x:c>
      <x:c r="B185" s="43" t="str">
        <x:v>abramova_2023_biopsy</x:v>
      </x:c>
      <x:c r="C185" s="43" t="str">
        <x:v>ex025</x:v>
      </x:c>
      <x:c r="D185" s="43" t="str">
        <x:v>con021</x:v>
      </x:c>
      <x:c r="E185" s="43" t="str">
        <x:v>out088</x:v>
      </x:c>
      <x:c r="F185" s="43" t="str">
        <x:v>es184</x:v>
      </x:c>
      <x:c r="G185" s="43" t="str">
        <x:v>No</x:v>
      </x:c>
      <x:c r="H185" s="43" t="str">
        <x:v>They had one level of exposure, and two experimental groups, female and males, and one control per group</x:v>
      </x:c>
      <x:c r="I185" s="43" t="str">
        <x:v>Blood BDNF and neuropeptide concentrations as potential biomarkers of behavioral impairments in rats with prenatal ultrasound stress experience</x:v>
      </x:c>
      <x:c r="J185" s="43" t="str"/>
      <x:c r="K185" s="43" t="str">
        <x:v>Российский психиатрический журнал</x:v>
      </x:c>
      <x:c r="L185" s="43" t="str"/>
      <x:c r="M185" s="43" t="str">
        <x:v>Rattus norvegicus</x:v>
      </x:c>
      <x:c r="N185" s="43" t="str">
        <x:v>albino lab rat</x:v>
      </x:c>
      <x:c r="O185" s="43" t="str">
        <x:v>Wistar rat</x:v>
      </x:c>
      <x:c r="P185" s="43" t="str">
        <x:v>16 weeks</x:v>
      </x:c>
      <x:c r="Q185" s="43" t="str">
        <x:v>3 months</x:v>
      </x:c>
      <x:c r="R185" s="43" t="str">
        <x:v>Early, mid, late</x:v>
      </x:c>
      <x:c r="S185" s="43" t="str">
        <x:v>all gestation</x:v>
      </x:c>
      <x:c r="T185" s="43" t="str">
        <x:v>21</x:v>
      </x:c>
      <x:c r="U185" s="43" t="str">
        <x:v>Continuous</x:v>
      </x:c>
      <x:c r="V185" s="43" t="str">
        <x:v>24.0</x:v>
      </x:c>
      <x:c r="W185" s="43" t="str">
        <x:v>Expossed to continuous variable frequencies </x:v>
      </x:c>
      <x:c r="X185" s="43" t="str">
        <x:v>Ultrasound</x:v>
      </x:c>
      <x:c r="Y185" s="43" t="str">
        <x:v>Ultrasound</x:v>
      </x:c>
      <x:c r="Z185" s="43" t="str">
        <x:v>50</x:v>
      </x:c>
      <x:c r="AA185" s="43" t="str">
        <x:v>20,000-45,000</x:v>
      </x:c>
      <x:c r="AB185" s="43" t="str">
        <x:v>Ambient sound</x:v>
      </x:c>
      <x:c r="AC185" s="43" t="str"/>
      <x:c r="AD185" s="43" t="str">
        <x:v>"all females with their pups were kept in individual cages under standard conditions without experimental intervention"</x:v>
      </x:c>
      <x:c r="AE185" s="43" t="str">
        <x:v>male</x:v>
      </x:c>
      <x:c r="AF185" s="43" t="str">
        <x:v>70</x:v>
      </x:c>
      <x:c r="AG185" s="43" t="str"/>
      <x:c r="AH185" s="43" t="str">
        <x:v>none</x:v>
      </x:c>
      <x:c r="AI185" s="43" t="str"/>
      <x:c r="AJ185" s="43" t="str">
        <x:v>Anxiety</x:v>
      </x:c>
      <x:c r="AK185" s="43" t="str">
        <x:v>Elevated Plus Maze (EPM)</x:v>
      </x:c>
      <x:c r="AL185" s="43" t="str"/>
      <x:c r="AM185" s="43" t="str">
        <x:v>Head-out inspections</x:v>
      </x:c>
      <x:c r="AN185" s="43" t="str">
        <x:v>Count</x:v>
      </x:c>
      <x:c r="AO185" s="43" t="str">
        <x:v>Count</x:v>
      </x:c>
      <x:c r="AP185" s="43" t="str">
        <x:v>Light phase</x:v>
      </x:c>
      <x:c r="AQ185" s="43" t="str">
        <x:v>paper Table 1</x:v>
      </x:c>
      <x:c r="AR185" s="43" t="str">
        <x:v>included_studies/abramova_2023_biopsy/abramova_2023_biopsy_data_calculations.xlsx</x:v>
      </x:c>
      <x:c r="AS185" s="43" t="str">
        <x:v>KON_m_</x:v>
      </x:c>
      <x:c r="AT185" s="43" t="str">
        <x:v>PS_m_</x:v>
      </x:c>
      <x:c r="AU185" s="43" t="str">
        <x:v>KON_PS_m_</x:v>
      </x:c>
      <x:c r="AV185" s="43" t="str">
        <x:v>Independent</x:v>
      </x:c>
      <x:c r="AW185" s="43" t="str">
        <x:v>No</x:v>
      </x:c>
      <x:c r="AX185" s="43" t="str">
        <x:v>Positive</x:v>
      </x:c>
      <x:c r="AY185" s="43" t="str"/>
      <x:c r="AZ185" s="43" t="str"/>
      <x:c r="BA185" s="43" t="str"/>
      <x:c r="BB185" s="43" t="str">
        <x:v>9</x:v>
      </x:c>
      <x:c r="BC185" s="43" t="str"/>
      <x:c r="BD185" s="43" t="str"/>
      <x:c r="BE185" s="43" t="str"/>
      <x:c r="BF185" s="43" t="str"/>
      <x:c r="BG185" s="43" t="str">
        <x:v>10</x:v>
      </x:c>
      <x:c r="BH185" s="43" t="str"/>
      <x:c r="BI185" s="43" t="str"/>
      <x:c r="BJ185" s="43" t="str">
        <x:v>estimated from Median(Q1;Q3)</x:v>
      </x:c>
      <x:c r="BK185" s="43" t="str"/>
      <x:c r="BL185" s="43" t="str">
        <x:v>0.0</x:v>
      </x:c>
      <x:c r="BM185" s="43" t="str">
        <x:v>0.0</x:v>
      </x:c>
      <x:c r="BN185" s="43" t="str">
        <x:v>0.0</x:v>
      </x:c>
      <x:c r="BO185" s="43" t="str">
        <x:v>0.0</x:v>
      </x:c>
      <x:c r="BP185" s="43" t="str">
        <x:v>0.0</x:v>
      </x:c>
      <x:c r="BQ185" s="43" t="str">
        <x:v>0.7</x:v>
      </x:c>
      <x:c r="BR185" s="43" t="str">
        <x:v>yes</x:v>
      </x:c>
      <x:c r="BS185" s="43" t="str">
        <x:v>adjust comments text, add Median(Q1, Q2) values</x:v>
      </x:c>
      <x:c r="BT185" s="43" t="str"/>
      <x:c r="BU185" s="43" t="str"/>
      <x:c r="BV185" s="43" t="str"/>
      <x:c r="BW185" s="43" t="str"/>
      <x:c r="BX185" s="43" t="str">
        <x:v>Not calculated here: median (Q1; Q3) reported; estimation is deferred to reproducible R data wrangling</x:v>
      </x:c>
      <x:c r="BY185" s="43" t="str">
        <x:v>included_studies/abramova_2023_biopsy/abramova_2023_biopsy_data_calculations.xlsx, Table1_Extract, source row 22</x:v>
      </x:c>
      <x:c r="BZ185" s="43" t="str"/>
      <x:c r="CA185" s="43" t="str"/>
      <x:c r="CB185" s="43" t="str">
        <x:v>Not calculated here: median (Q1; Q3) reported; estimation is deferred to reproducible R data wrangling</x:v>
      </x:c>
      <x:c r="CC185" s="43" t="str">
        <x:v>included_studies/abramova_2023_biopsy/abramova_2023_biopsy_data_calculations.xlsx, Table1_Extract, source row 22</x:v>
      </x:c>
      <x:c r="CD185" s="43" t="str">
        <x:v>Analysis decision required</x:v>
      </x:c>
      <x:c r="CE185" s="43" t="str">
        <x:v>7 – Abramova 2023 identifiers and units</x:v>
      </x:c>
      <x:c r="CF18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86">
      <x:c r="A186" s="43" t="str">
        <x:v>186</x:v>
      </x:c>
      <x:c r="B186" s="43" t="str">
        <x:v>abramova_2023_biopsy</x:v>
      </x:c>
      <x:c r="C186" s="43" t="str">
        <x:v>ex026</x:v>
      </x:c>
      <x:c r="D186" s="43" t="str">
        <x:v>con022</x:v>
      </x:c>
      <x:c r="E186" s="43" t="str">
        <x:v>out088</x:v>
      </x:c>
      <x:c r="F186" s="43" t="str">
        <x:v>es185</x:v>
      </x:c>
      <x:c r="G186" s="43" t="str">
        <x:v>No</x:v>
      </x:c>
      <x:c r="H186" s="43" t="str">
        <x:v>They had one level of exposure, and two experimental groups, female and males, and one control per group</x:v>
      </x:c>
      <x:c r="I186" s="43" t="str">
        <x:v>Blood BDNF and neuropeptide concentrations as potential biomarkers of behavioral impairments in rats with prenatal ultrasound stress experience</x:v>
      </x:c>
      <x:c r="J186" s="43" t="str"/>
      <x:c r="K186" s="43" t="str">
        <x:v>Российский психиатрический журнал</x:v>
      </x:c>
      <x:c r="L186" s="43" t="str"/>
      <x:c r="M186" s="43" t="str">
        <x:v>Rattus norvegicus</x:v>
      </x:c>
      <x:c r="N186" s="43" t="str">
        <x:v>albino lab rat</x:v>
      </x:c>
      <x:c r="O186" s="43" t="str">
        <x:v>Wistar rat</x:v>
      </x:c>
      <x:c r="P186" s="43" t="str">
        <x:v>16 weeks</x:v>
      </x:c>
      <x:c r="Q186" s="43" t="str">
        <x:v>3 months</x:v>
      </x:c>
      <x:c r="R186" s="43" t="str">
        <x:v>Early, mid, late</x:v>
      </x:c>
      <x:c r="S186" s="43" t="str">
        <x:v>all gestation</x:v>
      </x:c>
      <x:c r="T186" s="43" t="str">
        <x:v>21</x:v>
      </x:c>
      <x:c r="U186" s="43" t="str">
        <x:v>Continuous</x:v>
      </x:c>
      <x:c r="V186" s="43" t="str">
        <x:v>24.0</x:v>
      </x:c>
      <x:c r="W186" s="43" t="str">
        <x:v>Expossed to continuous variable frequencies </x:v>
      </x:c>
      <x:c r="X186" s="43" t="str">
        <x:v>Ultrasound</x:v>
      </x:c>
      <x:c r="Y186" s="43" t="str">
        <x:v>Ultrasound</x:v>
      </x:c>
      <x:c r="Z186" s="43" t="str">
        <x:v>50</x:v>
      </x:c>
      <x:c r="AA186" s="43" t="str">
        <x:v>20,000-45,000</x:v>
      </x:c>
      <x:c r="AB186" s="43" t="str">
        <x:v>Ambient sound</x:v>
      </x:c>
      <x:c r="AC186" s="43" t="str"/>
      <x:c r="AD186" s="43" t="str">
        <x:v>"all females with their pups were kept in individual cages under standard conditions without experimental intervention"</x:v>
      </x:c>
      <x:c r="AE186" s="43" t="str">
        <x:v>female</x:v>
      </x:c>
      <x:c r="AF186" s="43" t="str">
        <x:v>70</x:v>
      </x:c>
      <x:c r="AG186" s="43" t="str"/>
      <x:c r="AH186" s="43" t="str">
        <x:v>none</x:v>
      </x:c>
      <x:c r="AI186" s="43" t="str"/>
      <x:c r="AJ186" s="43" t="str">
        <x:v>Anxiety</x:v>
      </x:c>
      <x:c r="AK186" s="43" t="str">
        <x:v>Elevated Plus Maze (EPM)</x:v>
      </x:c>
      <x:c r="AL186" s="43" t="str"/>
      <x:c r="AM186" s="43" t="str">
        <x:v>Head-out inspections</x:v>
      </x:c>
      <x:c r="AN186" s="43" t="str">
        <x:v>Count</x:v>
      </x:c>
      <x:c r="AO186" s="43" t="str">
        <x:v>Count</x:v>
      </x:c>
      <x:c r="AP186" s="43" t="str">
        <x:v>Light phase</x:v>
      </x:c>
      <x:c r="AQ186" s="43" t="str">
        <x:v>paper Table 1</x:v>
      </x:c>
      <x:c r="AR186" s="43" t="str">
        <x:v>included_studies/abramova_2023_biopsy/abramova_2023_biopsy_data_calculations.xlsx</x:v>
      </x:c>
      <x:c r="AS186" s="43" t="str">
        <x:v>KON_f_</x:v>
      </x:c>
      <x:c r="AT186" s="43" t="str">
        <x:v>PS_f_</x:v>
      </x:c>
      <x:c r="AU186" s="43" t="str">
        <x:v>KON_PS_f_</x:v>
      </x:c>
      <x:c r="AV186" s="43" t="str">
        <x:v>Independent</x:v>
      </x:c>
      <x:c r="AW186" s="43" t="str">
        <x:v>No</x:v>
      </x:c>
      <x:c r="AX186" s="43" t="str">
        <x:v>Positive</x:v>
      </x:c>
      <x:c r="AY186" s="43" t="str"/>
      <x:c r="AZ186" s="43" t="str"/>
      <x:c r="BA186" s="43" t="str"/>
      <x:c r="BB186" s="43" t="str">
        <x:v>10</x:v>
      </x:c>
      <x:c r="BC186" s="43" t="str"/>
      <x:c r="BD186" s="43" t="str"/>
      <x:c r="BE186" s="43" t="str"/>
      <x:c r="BF186" s="43" t="str"/>
      <x:c r="BG186" s="43" t="str">
        <x:v>8</x:v>
      </x:c>
      <x:c r="BH186" s="43" t="str"/>
      <x:c r="BI186" s="43" t="str"/>
      <x:c r="BJ186" s="43" t="str">
        <x:v>estimated from Median(Q1;Q3)</x:v>
      </x:c>
      <x:c r="BK186" s="43" t="str"/>
      <x:c r="BL186" s="43" t="str">
        <x:v>2.0</x:v>
      </x:c>
      <x:c r="BM186" s="43" t="str">
        <x:v>1.2</x:v>
      </x:c>
      <x:c r="BN186" s="43" t="str">
        <x:v>2.0</x:v>
      </x:c>
      <x:c r="BO186" s="43" t="str">
        <x:v>1.0</x:v>
      </x:c>
      <x:c r="BP186" s="43" t="str">
        <x:v>0.0</x:v>
      </x:c>
      <x:c r="BQ186" s="43" t="str">
        <x:v>1.0</x:v>
      </x:c>
      <x:c r="BR186" s="43" t="str">
        <x:v>yes</x:v>
      </x:c>
      <x:c r="BS186" s="43" t="str">
        <x:v>adjust comments text, add Median(Q1, Q2) values</x:v>
      </x:c>
      <x:c r="BT186" s="43" t="str"/>
      <x:c r="BU186" s="43" t="str"/>
      <x:c r="BV186" s="43" t="str"/>
      <x:c r="BW186" s="43" t="str"/>
      <x:c r="BX186" s="43" t="str">
        <x:v>Not calculated here: median (Q1; Q3) reported; estimation is deferred to reproducible R data wrangling</x:v>
      </x:c>
      <x:c r="BY186" s="43" t="str">
        <x:v>included_studies/abramova_2023_biopsy/abramova_2023_biopsy_data_calculations.xlsx, Table1_Extract, source row 23</x:v>
      </x:c>
      <x:c r="BZ186" s="43" t="str"/>
      <x:c r="CA186" s="43" t="str"/>
      <x:c r="CB186" s="43" t="str">
        <x:v>Not calculated here: median (Q1; Q3) reported; estimation is deferred to reproducible R data wrangling</x:v>
      </x:c>
      <x:c r="CC186" s="43" t="str">
        <x:v>included_studies/abramova_2023_biopsy/abramova_2023_biopsy_data_calculations.xlsx, Table1_Extract, source row 23</x:v>
      </x:c>
      <x:c r="CD186" s="43" t="str">
        <x:v>Analysis decision required</x:v>
      </x:c>
      <x:c r="CE186" s="43" t="str">
        <x:v>7 – Abramova 2023 identifiers and units</x:v>
      </x:c>
      <x:c r="CF18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87">
      <x:c r="A187" s="43" t="str">
        <x:v>187</x:v>
      </x:c>
      <x:c r="B187" s="43" t="str">
        <x:v>abramova_2023_biopsy</x:v>
      </x:c>
      <x:c r="C187" s="43" t="str">
        <x:v>ex025</x:v>
      </x:c>
      <x:c r="D187" s="43" t="str">
        <x:v>con021</x:v>
      </x:c>
      <x:c r="E187" s="43" t="str">
        <x:v>out089</x:v>
      </x:c>
      <x:c r="F187" s="43" t="str">
        <x:v>es186</x:v>
      </x:c>
      <x:c r="G187" s="43" t="str">
        <x:v>No</x:v>
      </x:c>
      <x:c r="H187" s="43" t="str">
        <x:v>They had one level of exposure, and two experimental groups, female and males, and one control per group</x:v>
      </x:c>
      <x:c r="I187" s="43" t="str">
        <x:v>Blood BDNF and neuropeptide concentrations as potential biomarkers of behavioral impairments in rats with prenatal ultrasound stress experience</x:v>
      </x:c>
      <x:c r="J187" s="43" t="str"/>
      <x:c r="K187" s="43" t="str">
        <x:v>Российский психиатрический журнал</x:v>
      </x:c>
      <x:c r="L187" s="43" t="str"/>
      <x:c r="M187" s="43" t="str">
        <x:v>Rattus norvegicus</x:v>
      </x:c>
      <x:c r="N187" s="43" t="str">
        <x:v>albino lab rat</x:v>
      </x:c>
      <x:c r="O187" s="43" t="str">
        <x:v>Wistar rat</x:v>
      </x:c>
      <x:c r="P187" s="43" t="str">
        <x:v>16 weeks</x:v>
      </x:c>
      <x:c r="Q187" s="43" t="str">
        <x:v>3 months</x:v>
      </x:c>
      <x:c r="R187" s="43" t="str">
        <x:v>Early, mid, late</x:v>
      </x:c>
      <x:c r="S187" s="43" t="str">
        <x:v>all gestation</x:v>
      </x:c>
      <x:c r="T187" s="43" t="str">
        <x:v>21</x:v>
      </x:c>
      <x:c r="U187" s="43" t="str">
        <x:v>Continuous</x:v>
      </x:c>
      <x:c r="V187" s="43" t="str">
        <x:v>24.0</x:v>
      </x:c>
      <x:c r="W187" s="43" t="str">
        <x:v>Expossed to continuous variable frequencies </x:v>
      </x:c>
      <x:c r="X187" s="43" t="str">
        <x:v>Ultrasound</x:v>
      </x:c>
      <x:c r="Y187" s="43" t="str">
        <x:v>Ultrasound</x:v>
      </x:c>
      <x:c r="Z187" s="43" t="str">
        <x:v>50</x:v>
      </x:c>
      <x:c r="AA187" s="43" t="str">
        <x:v>20,000-45,000</x:v>
      </x:c>
      <x:c r="AB187" s="43" t="str">
        <x:v>Ambient sound</x:v>
      </x:c>
      <x:c r="AC187" s="43" t="str"/>
      <x:c r="AD187" s="43" t="str">
        <x:v>"all females with their pups were kept in individual cages under standard conditions without experimental intervention"</x:v>
      </x:c>
      <x:c r="AE187" s="43" t="str">
        <x:v>male</x:v>
      </x:c>
      <x:c r="AF187" s="43" t="str">
        <x:v>70</x:v>
      </x:c>
      <x:c r="AG187" s="43" t="str"/>
      <x:c r="AH187" s="43" t="str">
        <x:v>none</x:v>
      </x:c>
      <x:c r="AI187" s="43" t="str"/>
      <x:c r="AJ187" s="43" t="str">
        <x:v>Anxiety</x:v>
      </x:c>
      <x:c r="AK187" s="43" t="str">
        <x:v>Elevated Plus Maze (EPM)</x:v>
      </x:c>
      <x:c r="AL187" s="43" t="str"/>
      <x:c r="AM187" s="43" t="str">
        <x:v>Overhangs</x:v>
      </x:c>
      <x:c r="AN187" s="43" t="str">
        <x:v>Count</x:v>
      </x:c>
      <x:c r="AO187" s="43" t="str">
        <x:v>Count</x:v>
      </x:c>
      <x:c r="AP187" s="43" t="str">
        <x:v>Light phase</x:v>
      </x:c>
      <x:c r="AQ187" s="43" t="str">
        <x:v>paper Table 1</x:v>
      </x:c>
      <x:c r="AR187" s="43" t="str">
        <x:v>included_studies/abramova_2023_biopsy/abramova_2023_biopsy_data_calculations.xlsx</x:v>
      </x:c>
      <x:c r="AS187" s="43" t="str">
        <x:v>KON_m_</x:v>
      </x:c>
      <x:c r="AT187" s="43" t="str">
        <x:v>PS_m_</x:v>
      </x:c>
      <x:c r="AU187" s="43" t="str">
        <x:v>KON_PS_m_</x:v>
      </x:c>
      <x:c r="AV187" s="43" t="str">
        <x:v>Independent</x:v>
      </x:c>
      <x:c r="AW187" s="43" t="str">
        <x:v>No</x:v>
      </x:c>
      <x:c r="AX187" s="43" t="str">
        <x:v>Positive</x:v>
      </x:c>
      <x:c r="AY187" s="43" t="str"/>
      <x:c r="AZ187" s="43" t="str">
        <x:v>6.7</x:v>
      </x:c>
      <x:c r="BA187" s="43" t="str">
        <x:v>4.5</x:v>
      </x:c>
      <x:c r="BB187" s="43" t="str">
        <x:v>9</x:v>
      </x:c>
      <x:c r="BC187" s="43" t="str">
        <x:v>1.5</x:v>
      </x:c>
      <x:c r="BD187" s="43" t="str"/>
      <x:c r="BE187" s="43" t="str">
        <x:v>9.8</x:v>
      </x:c>
      <x:c r="BF187" s="43" t="str">
        <x:v>7.2732</x:v>
      </x:c>
      <x:c r="BG187" s="43" t="str">
        <x:v>10</x:v>
      </x:c>
      <x:c r="BH187" s="43" t="str">
        <x:v>2.3</x:v>
      </x:c>
      <x:c r="BI187" s="43" t="str"/>
      <x:c r="BJ187" s="43" t="str">
        <x:v>Mean±SEM</x:v>
      </x:c>
      <x:c r="BK187" s="43" t="str"/>
      <x:c r="BL187" s="43" t="str"/>
      <x:c r="BM187" s="43" t="str"/>
      <x:c r="BN187" s="43" t="str"/>
      <x:c r="BO187" s="43" t="str"/>
      <x:c r="BP187" s="43" t="str"/>
      <x:c r="BQ187" s="43" t="str"/>
      <x:c r="BR187" s="43" t="str">
        <x:v>yes</x:v>
      </x:c>
      <x:c r="BS187" s="43" t="str"/>
      <x:c r="BT187" s="43" t="str"/>
      <x:c r="BU187" s="43" t="str"/>
      <x:c r="BV187" s="43" t="str">
        <x:v>1.5</x:v>
      </x:c>
      <x:c r="BW187" s="43" t="str">
        <x:v>1.5</x:v>
      </x:c>
      <x:c r="BX187" s="43" t="str">
        <x:v>Reported SEM; used unchanged for analysis</x:v>
      </x:c>
      <x:c r="BY187" s="43" t="str">
        <x:v>included_studies/abramova_2023_biopsy/abramova_2023_biopsy_data_calculations.xlsx, Table1_Extract, source row 24</x:v>
      </x:c>
      <x:c r="BZ187" s="43" t="str">
        <x:v>2.3</x:v>
      </x:c>
      <x:c r="CA187" s="43" t="str">
        <x:v>2.3</x:v>
      </x:c>
      <x:c r="CB187" s="43" t="str">
        <x:v>Reported SEM; used unchanged for analysis</x:v>
      </x:c>
      <x:c r="CC187" s="43" t="str">
        <x:v>included_studies/abramova_2023_biopsy/abramova_2023_biopsy_data_calculations.xlsx, Table1_Extract, source row 24</x:v>
      </x:c>
      <x:c r="CD187" s="43" t="str">
        <x:v>Corrected transcription</x:v>
      </x:c>
      <x:c r="CE187" s="43" t="str">
        <x:v>7 – Abramova 2023 identifiers and units</x:v>
      </x:c>
      <x:c r="CF18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8">
      <x:c r="A188" s="43" t="str">
        <x:v>188</x:v>
      </x:c>
      <x:c r="B188" s="43" t="str">
        <x:v>abramova_2023_biopsy</x:v>
      </x:c>
      <x:c r="C188" s="43" t="str">
        <x:v>ex026</x:v>
      </x:c>
      <x:c r="D188" s="43" t="str">
        <x:v>con022</x:v>
      </x:c>
      <x:c r="E188" s="43" t="str">
        <x:v>out089</x:v>
      </x:c>
      <x:c r="F188" s="43" t="str">
        <x:v>es187</x:v>
      </x:c>
      <x:c r="G188" s="43" t="str">
        <x:v>No</x:v>
      </x:c>
      <x:c r="H188" s="43" t="str">
        <x:v>They had one level of exposure, and two experimental groups, female and males, and one control per group</x:v>
      </x:c>
      <x:c r="I188" s="43" t="str">
        <x:v>Blood BDNF and neuropeptide concentrations as potential biomarkers of behavioral impairments in rats with prenatal ultrasound stress experience</x:v>
      </x:c>
      <x:c r="J188" s="43" t="str"/>
      <x:c r="K188" s="43" t="str">
        <x:v>Российский психиатрический журнал</x:v>
      </x:c>
      <x:c r="L188" s="43" t="str"/>
      <x:c r="M188" s="43" t="str">
        <x:v>Rattus norvegicus</x:v>
      </x:c>
      <x:c r="N188" s="43" t="str">
        <x:v>albino lab rat</x:v>
      </x:c>
      <x:c r="O188" s="43" t="str">
        <x:v>Wistar rat</x:v>
      </x:c>
      <x:c r="P188" s="43" t="str">
        <x:v>16 weeks</x:v>
      </x:c>
      <x:c r="Q188" s="43" t="str">
        <x:v>3 months</x:v>
      </x:c>
      <x:c r="R188" s="43" t="str">
        <x:v>Early, mid, late</x:v>
      </x:c>
      <x:c r="S188" s="43" t="str">
        <x:v>all gestation</x:v>
      </x:c>
      <x:c r="T188" s="43" t="str">
        <x:v>21</x:v>
      </x:c>
      <x:c r="U188" s="43" t="str">
        <x:v>Continuous</x:v>
      </x:c>
      <x:c r="V188" s="43" t="str">
        <x:v>24.0</x:v>
      </x:c>
      <x:c r="W188" s="43" t="str">
        <x:v>Expossed to continuous variable frequencies </x:v>
      </x:c>
      <x:c r="X188" s="43" t="str">
        <x:v>Ultrasound</x:v>
      </x:c>
      <x:c r="Y188" s="43" t="str">
        <x:v>Ultrasound</x:v>
      </x:c>
      <x:c r="Z188" s="43" t="str">
        <x:v>50</x:v>
      </x:c>
      <x:c r="AA188" s="43" t="str">
        <x:v>20,000-45,000</x:v>
      </x:c>
      <x:c r="AB188" s="43" t="str">
        <x:v>Ambient sound</x:v>
      </x:c>
      <x:c r="AC188" s="43" t="str"/>
      <x:c r="AD188" s="43" t="str">
        <x:v>"all females with their pups were kept in individual cages under standard conditions without experimental intervention"</x:v>
      </x:c>
      <x:c r="AE188" s="43" t="str">
        <x:v>female</x:v>
      </x:c>
      <x:c r="AF188" s="43" t="str">
        <x:v>70</x:v>
      </x:c>
      <x:c r="AG188" s="43" t="str"/>
      <x:c r="AH188" s="43" t="str">
        <x:v>none</x:v>
      </x:c>
      <x:c r="AI188" s="43" t="str"/>
      <x:c r="AJ188" s="43" t="str">
        <x:v>Anxiety</x:v>
      </x:c>
      <x:c r="AK188" s="43" t="str">
        <x:v>Elevated Plus Maze (EPM)</x:v>
      </x:c>
      <x:c r="AL188" s="43" t="str"/>
      <x:c r="AM188" s="43" t="str">
        <x:v>Overhangs</x:v>
      </x:c>
      <x:c r="AN188" s="43" t="str">
        <x:v>Count</x:v>
      </x:c>
      <x:c r="AO188" s="43" t="str">
        <x:v>Count</x:v>
      </x:c>
      <x:c r="AP188" s="43" t="str">
        <x:v>Light phase</x:v>
      </x:c>
      <x:c r="AQ188" s="43" t="str">
        <x:v>paper Table 1</x:v>
      </x:c>
      <x:c r="AR188" s="43" t="str">
        <x:v>included_studies/abramova_2023_biopsy/abramova_2023_biopsy_data_calculations.xlsx</x:v>
      </x:c>
      <x:c r="AS188" s="43" t="str">
        <x:v>KON_f_</x:v>
      </x:c>
      <x:c r="AT188" s="43" t="str">
        <x:v>PS_f_</x:v>
      </x:c>
      <x:c r="AU188" s="43" t="str">
        <x:v>KON_PS_f_</x:v>
      </x:c>
      <x:c r="AV188" s="43" t="str">
        <x:v>Independent</x:v>
      </x:c>
      <x:c r="AW188" s="43" t="str">
        <x:v>No</x:v>
      </x:c>
      <x:c r="AX188" s="43" t="str">
        <x:v>Positive</x:v>
      </x:c>
      <x:c r="AY188" s="43" t="str"/>
      <x:c r="AZ188" s="43" t="str">
        <x:v>7.8</x:v>
      </x:c>
      <x:c r="BA188" s="43" t="str">
        <x:v>3.7947</x:v>
      </x:c>
      <x:c r="BB188" s="43" t="str">
        <x:v>10</x:v>
      </x:c>
      <x:c r="BC188" s="43" t="str">
        <x:v>1.2</x:v>
      </x:c>
      <x:c r="BD188" s="43" t="str"/>
      <x:c r="BE188" s="43" t="str">
        <x:v>8.1</x:v>
      </x:c>
      <x:c r="BF188" s="43" t="str">
        <x:v>4.8083</x:v>
      </x:c>
      <x:c r="BG188" s="43" t="str">
        <x:v>8</x:v>
      </x:c>
      <x:c r="BH188" s="43" t="str">
        <x:v>1.7</x:v>
      </x:c>
      <x:c r="BI188" s="43" t="str"/>
      <x:c r="BJ188" s="43" t="str">
        <x:v>Mean±SEM</x:v>
      </x:c>
      <x:c r="BK188" s="43" t="str"/>
      <x:c r="BL188" s="43" t="str"/>
      <x:c r="BM188" s="43" t="str"/>
      <x:c r="BN188" s="43" t="str"/>
      <x:c r="BO188" s="43" t="str"/>
      <x:c r="BP188" s="43" t="str"/>
      <x:c r="BQ188" s="43" t="str"/>
      <x:c r="BR188" s="43" t="str">
        <x:v>yes</x:v>
      </x:c>
      <x:c r="BS188" s="43" t="str"/>
      <x:c r="BT188" s="43" t="str"/>
      <x:c r="BU188" s="43" t="str"/>
      <x:c r="BV188" s="43" t="str">
        <x:v>1.2</x:v>
      </x:c>
      <x:c r="BW188" s="43" t="str">
        <x:v>1.2</x:v>
      </x:c>
      <x:c r="BX188" s="43" t="str">
        <x:v>Reported SEM; used unchanged for analysis</x:v>
      </x:c>
      <x:c r="BY188" s="43" t="str">
        <x:v>included_studies/abramova_2023_biopsy/abramova_2023_biopsy_data_calculations.xlsx, Table1_Extract, source row 25</x:v>
      </x:c>
      <x:c r="BZ188" s="43" t="str">
        <x:v>1.7</x:v>
      </x:c>
      <x:c r="CA188" s="43" t="str">
        <x:v>1.7</x:v>
      </x:c>
      <x:c r="CB188" s="43" t="str">
        <x:v>Reported SEM; used unchanged for analysis</x:v>
      </x:c>
      <x:c r="CC188" s="43" t="str">
        <x:v>included_studies/abramova_2023_biopsy/abramova_2023_biopsy_data_calculations.xlsx, Table1_Extract, source row 25</x:v>
      </x:c>
      <x:c r="CD188" s="43" t="str">
        <x:v>Corrected transcription</x:v>
      </x:c>
      <x:c r="CE188" s="43" t="str">
        <x:v>7 – Abramova 2023 identifiers and units</x:v>
      </x:c>
      <x:c r="CF18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89">
      <x:c r="A189" s="43" t="str">
        <x:v>189</x:v>
      </x:c>
      <x:c r="B189" s="43" t="str">
        <x:v>abramova_2023_biopsy</x:v>
      </x:c>
      <x:c r="C189" s="43" t="str">
        <x:v>ex025</x:v>
      </x:c>
      <x:c r="D189" s="43" t="str">
        <x:v>con021</x:v>
      </x:c>
      <x:c r="E189" s="43" t="str">
        <x:v>out090</x:v>
      </x:c>
      <x:c r="F189" s="43" t="str">
        <x:v>es188</x:v>
      </x:c>
      <x:c r="G189" s="43" t="str">
        <x:v>No</x:v>
      </x:c>
      <x:c r="H189" s="43" t="str">
        <x:v>They had one level of exposure, and two experimental groups, female and males, and one control per group</x:v>
      </x:c>
      <x:c r="I189" s="43" t="str">
        <x:v>Blood BDNF and neuropeptide concentrations as potential biomarkers of behavioral impairments in rats with prenatal ultrasound stress experience</x:v>
      </x:c>
      <x:c r="J189" s="43" t="str"/>
      <x:c r="K189" s="43" t="str">
        <x:v>Российский психиатрический журнал</x:v>
      </x:c>
      <x:c r="L189" s="43" t="str"/>
      <x:c r="M189" s="43" t="str">
        <x:v>Rattus norvegicus</x:v>
      </x:c>
      <x:c r="N189" s="43" t="str">
        <x:v>albino lab rat</x:v>
      </x:c>
      <x:c r="O189" s="43" t="str">
        <x:v>Wistar rat</x:v>
      </x:c>
      <x:c r="P189" s="43" t="str">
        <x:v>16 weeks</x:v>
      </x:c>
      <x:c r="Q189" s="43" t="str">
        <x:v>3 months</x:v>
      </x:c>
      <x:c r="R189" s="43" t="str">
        <x:v>Early, mid, late</x:v>
      </x:c>
      <x:c r="S189" s="43" t="str">
        <x:v>all gestation</x:v>
      </x:c>
      <x:c r="T189" s="43" t="str">
        <x:v>21</x:v>
      </x:c>
      <x:c r="U189" s="43" t="str">
        <x:v>Continuous</x:v>
      </x:c>
      <x:c r="V189" s="43" t="str">
        <x:v>24.0</x:v>
      </x:c>
      <x:c r="W189" s="43" t="str">
        <x:v>Expossed to continuous variable frequencies </x:v>
      </x:c>
      <x:c r="X189" s="43" t="str">
        <x:v>Ultrasound</x:v>
      </x:c>
      <x:c r="Y189" s="43" t="str">
        <x:v>Ultrasound</x:v>
      </x:c>
      <x:c r="Z189" s="43" t="str">
        <x:v>50</x:v>
      </x:c>
      <x:c r="AA189" s="43" t="str">
        <x:v>20,000-45,000</x:v>
      </x:c>
      <x:c r="AB189" s="43" t="str">
        <x:v>Ambient sound</x:v>
      </x:c>
      <x:c r="AC189" s="43" t="str"/>
      <x:c r="AD189" s="43" t="str">
        <x:v>"all females with their pups were kept in individual cages under standard conditions without experimental intervention"</x:v>
      </x:c>
      <x:c r="AE189" s="43" t="str">
        <x:v>male</x:v>
      </x:c>
      <x:c r="AF189" s="43" t="str">
        <x:v>70</x:v>
      </x:c>
      <x:c r="AG189" s="43" t="str"/>
      <x:c r="AH189" s="43" t="str">
        <x:v>none</x:v>
      </x:c>
      <x:c r="AI189" s="43" t="str"/>
      <x:c r="AJ189" s="43" t="str">
        <x:v>Anxiety</x:v>
      </x:c>
      <x:c r="AK189" s="43" t="str">
        <x:v>Elevated Plus Maze (EPM)</x:v>
      </x:c>
      <x:c r="AL189" s="43" t="str"/>
      <x:c r="AM189" s="43" t="str">
        <x:v>Rearing frequency</x:v>
      </x:c>
      <x:c r="AN189" s="43" t="str">
        <x:v>Count</x:v>
      </x:c>
      <x:c r="AO189" s="43" t="str">
        <x:v>Count</x:v>
      </x:c>
      <x:c r="AP189" s="43" t="str">
        <x:v>Light phase</x:v>
      </x:c>
      <x:c r="AQ189" s="43" t="str">
        <x:v>paper Table 1</x:v>
      </x:c>
      <x:c r="AR189" s="43" t="str">
        <x:v>included_studies/abramova_2023_biopsy/abramova_2023_biopsy_data_calculations.xlsx</x:v>
      </x:c>
      <x:c r="AS189" s="43" t="str">
        <x:v>KON_m_</x:v>
      </x:c>
      <x:c r="AT189" s="43" t="str">
        <x:v>PS_m_</x:v>
      </x:c>
      <x:c r="AU189" s="43" t="str">
        <x:v>KON_PS_m_</x:v>
      </x:c>
      <x:c r="AV189" s="43" t="str">
        <x:v>Independent</x:v>
      </x:c>
      <x:c r="AW189" s="43" t="str">
        <x:v>Yes</x:v>
      </x:c>
      <x:c r="AX189" s="43" t="str">
        <x:v>Negative</x:v>
      </x:c>
      <x:c r="AY189" s="43" t="str"/>
      <x:c r="AZ189" s="43" t="str">
        <x:v>14.9</x:v>
      </x:c>
      <x:c r="BA189" s="43" t="str">
        <x:v>5.4</x:v>
      </x:c>
      <x:c r="BB189" s="43" t="str">
        <x:v>9</x:v>
      </x:c>
      <x:c r="BC189" s="43" t="str">
        <x:v>1.8</x:v>
      </x:c>
      <x:c r="BD189" s="43" t="str"/>
      <x:c r="BE189" s="43" t="str">
        <x:v>8.0</x:v>
      </x:c>
      <x:c r="BF189" s="43" t="str">
        <x:v>4.111</x:v>
      </x:c>
      <x:c r="BG189" s="43" t="str">
        <x:v>10</x:v>
      </x:c>
      <x:c r="BH189" s="43" t="str">
        <x:v>1.3</x:v>
      </x:c>
      <x:c r="BI189" s="43" t="str"/>
      <x:c r="BJ189" s="43" t="str">
        <x:v>Mean±SEM</x:v>
      </x:c>
      <x:c r="BK189" s="43" t="str"/>
      <x:c r="BL189" s="43" t="str"/>
      <x:c r="BM189" s="43" t="str"/>
      <x:c r="BN189" s="43" t="str"/>
      <x:c r="BO189" s="43" t="str"/>
      <x:c r="BP189" s="43" t="str"/>
      <x:c r="BQ189" s="43" t="str"/>
      <x:c r="BR189" s="43" t="str">
        <x:v>yes</x:v>
      </x:c>
      <x:c r="BS189" s="43" t="str"/>
      <x:c r="BT189" s="43" t="str"/>
      <x:c r="BU189" s="43" t="str"/>
      <x:c r="BV189" s="43" t="str">
        <x:v>1.8</x:v>
      </x:c>
      <x:c r="BW189" s="43" t="str">
        <x:v>1.8</x:v>
      </x:c>
      <x:c r="BX189" s="43" t="str">
        <x:v>Reported SEM; used unchanged for analysis</x:v>
      </x:c>
      <x:c r="BY189" s="43" t="str">
        <x:v>included_studies/abramova_2023_biopsy/abramova_2023_biopsy_data_calculations.xlsx, Table1_Extract, source row 26</x:v>
      </x:c>
      <x:c r="BZ189" s="43" t="str">
        <x:v>1.3</x:v>
      </x:c>
      <x:c r="CA189" s="43" t="str">
        <x:v>1.3</x:v>
      </x:c>
      <x:c r="CB189" s="43" t="str">
        <x:v>Reported SEM; used unchanged for analysis</x:v>
      </x:c>
      <x:c r="CC189" s="43" t="str">
        <x:v>included_studies/abramova_2023_biopsy/abramova_2023_biopsy_data_calculations.xlsx, Table1_Extract, source row 26</x:v>
      </x:c>
      <x:c r="CD189" s="43" t="str">
        <x:v>Corrected transcription</x:v>
      </x:c>
      <x:c r="CE189" s="43" t="str">
        <x:v>7 – Abramova 2023 identifiers and units</x:v>
      </x:c>
      <x:c r="CF18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90">
      <x:c r="A190" s="43" t="str">
        <x:v>190</x:v>
      </x:c>
      <x:c r="B190" s="43" t="str">
        <x:v>abramova_2023_biopsy</x:v>
      </x:c>
      <x:c r="C190" s="43" t="str">
        <x:v>ex026</x:v>
      </x:c>
      <x:c r="D190" s="43" t="str">
        <x:v>con022</x:v>
      </x:c>
      <x:c r="E190" s="43" t="str">
        <x:v>out090</x:v>
      </x:c>
      <x:c r="F190" s="43" t="str">
        <x:v>es189</x:v>
      </x:c>
      <x:c r="G190" s="43" t="str">
        <x:v>No</x:v>
      </x:c>
      <x:c r="H190" s="43" t="str">
        <x:v>They had one level of exposure, and two experimental groups, female and males, and one control per group</x:v>
      </x:c>
      <x:c r="I190" s="43" t="str">
        <x:v>Blood BDNF and neuropeptide concentrations as potential biomarkers of behavioral impairments in rats with prenatal ultrasound stress experience</x:v>
      </x:c>
      <x:c r="J190" s="43" t="str"/>
      <x:c r="K190" s="43" t="str">
        <x:v>Российский психиатрический журнал</x:v>
      </x:c>
      <x:c r="L190" s="43" t="str"/>
      <x:c r="M190" s="43" t="str">
        <x:v>Rattus norvegicus</x:v>
      </x:c>
      <x:c r="N190" s="43" t="str">
        <x:v>albino lab rat</x:v>
      </x:c>
      <x:c r="O190" s="43" t="str">
        <x:v>Wistar rat</x:v>
      </x:c>
      <x:c r="P190" s="43" t="str">
        <x:v>16 weeks</x:v>
      </x:c>
      <x:c r="Q190" s="43" t="str">
        <x:v>3 months</x:v>
      </x:c>
      <x:c r="R190" s="43" t="str">
        <x:v>Early, mid, late</x:v>
      </x:c>
      <x:c r="S190" s="43" t="str">
        <x:v>all gestation</x:v>
      </x:c>
      <x:c r="T190" s="43" t="str">
        <x:v>21</x:v>
      </x:c>
      <x:c r="U190" s="43" t="str">
        <x:v>Continuous</x:v>
      </x:c>
      <x:c r="V190" s="43" t="str">
        <x:v>24.0</x:v>
      </x:c>
      <x:c r="W190" s="43" t="str">
        <x:v>Expossed to continuous variable frequencies </x:v>
      </x:c>
      <x:c r="X190" s="43" t="str">
        <x:v>Ultrasound</x:v>
      </x:c>
      <x:c r="Y190" s="43" t="str">
        <x:v>Ultrasound</x:v>
      </x:c>
      <x:c r="Z190" s="43" t="str">
        <x:v>50</x:v>
      </x:c>
      <x:c r="AA190" s="43" t="str">
        <x:v>20,000-45,000</x:v>
      </x:c>
      <x:c r="AB190" s="43" t="str">
        <x:v>Ambient sound</x:v>
      </x:c>
      <x:c r="AC190" s="43" t="str"/>
      <x:c r="AD190" s="43" t="str">
        <x:v>"all females with their pups were kept in individual cages under standard conditions without experimental intervention"</x:v>
      </x:c>
      <x:c r="AE190" s="43" t="str">
        <x:v>female</x:v>
      </x:c>
      <x:c r="AF190" s="43" t="str">
        <x:v>70</x:v>
      </x:c>
      <x:c r="AG190" s="43" t="str"/>
      <x:c r="AH190" s="43" t="str">
        <x:v>none</x:v>
      </x:c>
      <x:c r="AI190" s="43" t="str"/>
      <x:c r="AJ190" s="43" t="str">
        <x:v>Anxiety</x:v>
      </x:c>
      <x:c r="AK190" s="43" t="str">
        <x:v>Elevated Plus Maze (EPM)</x:v>
      </x:c>
      <x:c r="AL190" s="43" t="str"/>
      <x:c r="AM190" s="43" t="str">
        <x:v>Rearing frequency</x:v>
      </x:c>
      <x:c r="AN190" s="43" t="str">
        <x:v>Count</x:v>
      </x:c>
      <x:c r="AO190" s="43" t="str">
        <x:v>Count</x:v>
      </x:c>
      <x:c r="AP190" s="43" t="str">
        <x:v>Light phase</x:v>
      </x:c>
      <x:c r="AQ190" s="43" t="str">
        <x:v>paper Table 1</x:v>
      </x:c>
      <x:c r="AR190" s="43" t="str">
        <x:v>included_studies/abramova_2023_biopsy/abramova_2023_biopsy_data_calculations.xlsx</x:v>
      </x:c>
      <x:c r="AS190" s="43" t="str">
        <x:v>KON_f_</x:v>
      </x:c>
      <x:c r="AT190" s="43" t="str">
        <x:v>PS_f_</x:v>
      </x:c>
      <x:c r="AU190" s="43" t="str">
        <x:v>KON_PS_f_</x:v>
      </x:c>
      <x:c r="AV190" s="43" t="str">
        <x:v>Independent</x:v>
      </x:c>
      <x:c r="AW190" s="43" t="str">
        <x:v>Yes</x:v>
      </x:c>
      <x:c r="AX190" s="43" t="str">
        <x:v>Negative</x:v>
      </x:c>
      <x:c r="AY190" s="43" t="str"/>
      <x:c r="AZ190" s="43" t="str">
        <x:v>15.8</x:v>
      </x:c>
      <x:c r="BA190" s="43" t="str">
        <x:v>4.111</x:v>
      </x:c>
      <x:c r="BB190" s="43" t="str">
        <x:v>10</x:v>
      </x:c>
      <x:c r="BC190" s="43" t="str">
        <x:v>1.3</x:v>
      </x:c>
      <x:c r="BD190" s="43" t="str"/>
      <x:c r="BE190" s="43" t="str">
        <x:v>15.2</x:v>
      </x:c>
      <x:c r="BF190" s="43" t="str">
        <x:v>3.9598</x:v>
      </x:c>
      <x:c r="BG190" s="43" t="str">
        <x:v>8</x:v>
      </x:c>
      <x:c r="BH190" s="43" t="str">
        <x:v>1.4</x:v>
      </x:c>
      <x:c r="BI190" s="43" t="str"/>
      <x:c r="BJ190" s="43" t="str">
        <x:v>Mean±SEM</x:v>
      </x:c>
      <x:c r="BK190" s="43" t="str"/>
      <x:c r="BL190" s="43" t="str"/>
      <x:c r="BM190" s="43" t="str"/>
      <x:c r="BN190" s="43" t="str"/>
      <x:c r="BO190" s="43" t="str"/>
      <x:c r="BP190" s="43" t="str"/>
      <x:c r="BQ190" s="43" t="str"/>
      <x:c r="BR190" s="43" t="str">
        <x:v>yes</x:v>
      </x:c>
      <x:c r="BS190" s="43" t="str"/>
      <x:c r="BT190" s="43" t="str"/>
      <x:c r="BU190" s="43" t="str"/>
      <x:c r="BV190" s="43" t="str">
        <x:v>1.3</x:v>
      </x:c>
      <x:c r="BW190" s="43" t="str">
        <x:v>1.3</x:v>
      </x:c>
      <x:c r="BX190" s="43" t="str">
        <x:v>Reported SEM; used unchanged for analysis</x:v>
      </x:c>
      <x:c r="BY190" s="43" t="str">
        <x:v>included_studies/abramova_2023_biopsy/abramova_2023_biopsy_data_calculations.xlsx, Table1_Extract, source row 27</x:v>
      </x:c>
      <x:c r="BZ190" s="43" t="str">
        <x:v>1.4</x:v>
      </x:c>
      <x:c r="CA190" s="43" t="str">
        <x:v>1.4</x:v>
      </x:c>
      <x:c r="CB190" s="43" t="str">
        <x:v>Reported SEM; used unchanged for analysis</x:v>
      </x:c>
      <x:c r="CC190" s="43" t="str">
        <x:v>included_studies/abramova_2023_biopsy/abramova_2023_biopsy_data_calculations.xlsx, Table1_Extract, source row 27</x:v>
      </x:c>
      <x:c r="CD190" s="43" t="str">
        <x:v>Corrected transcription</x:v>
      </x:c>
      <x:c r="CE190" s="43" t="str">
        <x:v>7 – Abramova 2023 identifiers and units</x:v>
      </x:c>
      <x:c r="CF19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91">
      <x:c r="A191" s="43" t="str">
        <x:v>191</x:v>
      </x:c>
      <x:c r="B191" s="43" t="str">
        <x:v>abramova_2023_biopsy</x:v>
      </x:c>
      <x:c r="C191" s="43" t="str">
        <x:v>ex025</x:v>
      </x:c>
      <x:c r="D191" s="43" t="str">
        <x:v>con021</x:v>
      </x:c>
      <x:c r="E191" s="43" t="str">
        <x:v>out091</x:v>
      </x:c>
      <x:c r="F191" s="43" t="str">
        <x:v>es190</x:v>
      </x:c>
      <x:c r="G191" s="43" t="str">
        <x:v>No</x:v>
      </x:c>
      <x:c r="H191" s="43" t="str">
        <x:v>They had one level of exposure, and two experimental groups, female and males, and one control per group</x:v>
      </x:c>
      <x:c r="I191" s="43" t="str">
        <x:v>Blood BDNF and neuropeptide concentrations as potential biomarkers of behavioral impairments in rats with prenatal ultrasound stress experience</x:v>
      </x:c>
      <x:c r="J191" s="43" t="str"/>
      <x:c r="K191" s="43" t="str">
        <x:v>Российский психиатрический журнал</x:v>
      </x:c>
      <x:c r="L191" s="43" t="str"/>
      <x:c r="M191" s="43" t="str">
        <x:v>Rattus norvegicus</x:v>
      </x:c>
      <x:c r="N191" s="43" t="str">
        <x:v>albino lab rat</x:v>
      </x:c>
      <x:c r="O191" s="43" t="str">
        <x:v>Wistar rat</x:v>
      </x:c>
      <x:c r="P191" s="43" t="str">
        <x:v>16 weeks</x:v>
      </x:c>
      <x:c r="Q191" s="43" t="str">
        <x:v>3 months</x:v>
      </x:c>
      <x:c r="R191" s="43" t="str">
        <x:v>Early, mid, late</x:v>
      </x:c>
      <x:c r="S191" s="43" t="str">
        <x:v>all gestation</x:v>
      </x:c>
      <x:c r="T191" s="43" t="str">
        <x:v>21</x:v>
      </x:c>
      <x:c r="U191" s="43" t="str">
        <x:v>Continuous</x:v>
      </x:c>
      <x:c r="V191" s="43" t="str">
        <x:v>24.0</x:v>
      </x:c>
      <x:c r="W191" s="43" t="str">
        <x:v>Expossed to continuous variable frequencies </x:v>
      </x:c>
      <x:c r="X191" s="43" t="str">
        <x:v>Ultrasound</x:v>
      </x:c>
      <x:c r="Y191" s="43" t="str">
        <x:v>Ultrasound</x:v>
      </x:c>
      <x:c r="Z191" s="43" t="str">
        <x:v>50</x:v>
      </x:c>
      <x:c r="AA191" s="43" t="str">
        <x:v>20,000-45,000</x:v>
      </x:c>
      <x:c r="AB191" s="43" t="str">
        <x:v>Ambient sound</x:v>
      </x:c>
      <x:c r="AC191" s="43" t="str"/>
      <x:c r="AD191" s="43" t="str">
        <x:v>"all females with their pups were kept in individual cages under standard conditions without experimental intervention"</x:v>
      </x:c>
      <x:c r="AE191" s="43" t="str">
        <x:v>male</x:v>
      </x:c>
      <x:c r="AF191" s="43" t="str">
        <x:v>70</x:v>
      </x:c>
      <x:c r="AG191" s="43" t="str"/>
      <x:c r="AH191" s="43" t="str">
        <x:v>none</x:v>
      </x:c>
      <x:c r="AI191" s="43" t="str"/>
      <x:c r="AJ191" s="43" t="str">
        <x:v>Anxiety</x:v>
      </x:c>
      <x:c r="AK191" s="43" t="str">
        <x:v>Elevated Plus Maze (EPM)</x:v>
      </x:c>
      <x:c r="AL191" s="43" t="str"/>
      <x:c r="AM191" s="43" t="str">
        <x:v>Total freezing time</x:v>
      </x:c>
      <x:c r="AN191" s="43" t="str">
        <x:v>Time</x:v>
      </x:c>
      <x:c r="AO191" s="43" t="str">
        <x:v>s</x:v>
      </x:c>
      <x:c r="AP191" s="43" t="str">
        <x:v>Light phase</x:v>
      </x:c>
      <x:c r="AQ191" s="43" t="str">
        <x:v>paper Table 1</x:v>
      </x:c>
      <x:c r="AR191" s="43" t="str">
        <x:v>included_studies/abramova_2023_biopsy/abramova_2023_biopsy_data_calculations.xlsx</x:v>
      </x:c>
      <x:c r="AS191" s="43" t="str">
        <x:v>KON_m_</x:v>
      </x:c>
      <x:c r="AT191" s="43" t="str">
        <x:v>PS_m_</x:v>
      </x:c>
      <x:c r="AU191" s="43" t="str">
        <x:v>KON_PS_m_</x:v>
      </x:c>
      <x:c r="AV191" s="43" t="str">
        <x:v>Independent</x:v>
      </x:c>
      <x:c r="AW191" s="43" t="str">
        <x:v>No</x:v>
      </x:c>
      <x:c r="AX191" s="43" t="str">
        <x:v>Positive</x:v>
      </x:c>
      <x:c r="AY191" s="43" t="str"/>
      <x:c r="AZ191" s="43" t="str"/>
      <x:c r="BA191" s="43" t="str"/>
      <x:c r="BB191" s="43" t="str">
        <x:v>9</x:v>
      </x:c>
      <x:c r="BC191" s="43" t="str"/>
      <x:c r="BD191" s="43" t="str"/>
      <x:c r="BE191" s="43" t="str"/>
      <x:c r="BF191" s="43" t="str"/>
      <x:c r="BG191" s="43" t="str">
        <x:v>10</x:v>
      </x:c>
      <x:c r="BH191" s="43" t="str"/>
      <x:c r="BI191" s="43" t="str"/>
      <x:c r="BJ191" s="43" t="str">
        <x:v>estimated from Median(Q1;Q3)</x:v>
      </x:c>
      <x:c r="BK191" s="43" t="str"/>
      <x:c r="BL191" s="43" t="str">
        <x:v>0.0</x:v>
      </x:c>
      <x:c r="BM191" s="43" t="str">
        <x:v>0.0</x:v>
      </x:c>
      <x:c r="BN191" s="43" t="str">
        <x:v>0.0</x:v>
      </x:c>
      <x:c r="BO191" s="43" t="str">
        <x:v>1.1</x:v>
      </x:c>
      <x:c r="BP191" s="43" t="str">
        <x:v>0.0</x:v>
      </x:c>
      <x:c r="BQ191" s="43" t="str">
        <x:v>2.3</x:v>
      </x:c>
      <x:c r="BR191" s="43" t="str">
        <x:v>yes</x:v>
      </x:c>
      <x:c r="BS191" s="43" t="str">
        <x:v>adjust comments text, add Median(Q1, Q2) values</x:v>
      </x:c>
      <x:c r="BT191" s="43" t="str"/>
      <x:c r="BU191" s="43" t="str"/>
      <x:c r="BV191" s="43" t="str"/>
      <x:c r="BW191" s="43" t="str"/>
      <x:c r="BX191" s="43" t="str">
        <x:v>Not calculated here: median (Q1; Q3) reported; estimation is deferred to reproducible R data wrangling</x:v>
      </x:c>
      <x:c r="BY191" s="43" t="str">
        <x:v>included_studies/abramova_2023_biopsy/abramova_2023_biopsy_data_calculations.xlsx, Table1_Extract, source row 28</x:v>
      </x:c>
      <x:c r="BZ191" s="43" t="str"/>
      <x:c r="CA191" s="43" t="str"/>
      <x:c r="CB191" s="43" t="str">
        <x:v>Not calculated here: median (Q1; Q3) reported; estimation is deferred to reproducible R data wrangling</x:v>
      </x:c>
      <x:c r="CC191" s="43" t="str">
        <x:v>included_studies/abramova_2023_biopsy/abramova_2023_biopsy_data_calculations.xlsx, Table1_Extract, source row 28</x:v>
      </x:c>
      <x:c r="CD191" s="43" t="str">
        <x:v>Analysis decision required</x:v>
      </x:c>
      <x:c r="CE191" s="43" t="str">
        <x:v>7 – Abramova 2023 identifiers and units</x:v>
      </x:c>
      <x:c r="CF19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92">
      <x:c r="A192" s="43" t="str">
        <x:v>192</x:v>
      </x:c>
      <x:c r="B192" s="43" t="str">
        <x:v>abramova_2023_biopsy</x:v>
      </x:c>
      <x:c r="C192" s="43" t="str">
        <x:v>ex026</x:v>
      </x:c>
      <x:c r="D192" s="43" t="str">
        <x:v>con022</x:v>
      </x:c>
      <x:c r="E192" s="43" t="str">
        <x:v>out091</x:v>
      </x:c>
      <x:c r="F192" s="43" t="str">
        <x:v>es191</x:v>
      </x:c>
      <x:c r="G192" s="43" t="str">
        <x:v>No</x:v>
      </x:c>
      <x:c r="H192" s="43" t="str">
        <x:v>They had one level of exposure, and two experimental groups, female and males, and one control per group</x:v>
      </x:c>
      <x:c r="I192" s="43" t="str">
        <x:v>Blood BDNF and neuropeptide concentrations as potential biomarkers of behavioral impairments in rats with prenatal ultrasound stress experience</x:v>
      </x:c>
      <x:c r="J192" s="43" t="str"/>
      <x:c r="K192" s="43" t="str">
        <x:v>Российский психиатрический журнал</x:v>
      </x:c>
      <x:c r="L192" s="43" t="str"/>
      <x:c r="M192" s="43" t="str">
        <x:v>Rattus norvegicus</x:v>
      </x:c>
      <x:c r="N192" s="43" t="str">
        <x:v>albino lab rat</x:v>
      </x:c>
      <x:c r="O192" s="43" t="str">
        <x:v>Wistar rat</x:v>
      </x:c>
      <x:c r="P192" s="43" t="str">
        <x:v>16 weeks</x:v>
      </x:c>
      <x:c r="Q192" s="43" t="str">
        <x:v>3 months</x:v>
      </x:c>
      <x:c r="R192" s="43" t="str">
        <x:v>Early, mid, late</x:v>
      </x:c>
      <x:c r="S192" s="43" t="str">
        <x:v>all gestation</x:v>
      </x:c>
      <x:c r="T192" s="43" t="str">
        <x:v>21</x:v>
      </x:c>
      <x:c r="U192" s="43" t="str">
        <x:v>Continuous</x:v>
      </x:c>
      <x:c r="V192" s="43" t="str">
        <x:v>24.0</x:v>
      </x:c>
      <x:c r="W192" s="43" t="str">
        <x:v>Expossed to continuous variable frequencies </x:v>
      </x:c>
      <x:c r="X192" s="43" t="str">
        <x:v>Ultrasound</x:v>
      </x:c>
      <x:c r="Y192" s="43" t="str">
        <x:v>Ultrasound</x:v>
      </x:c>
      <x:c r="Z192" s="43" t="str">
        <x:v>50</x:v>
      </x:c>
      <x:c r="AA192" s="43" t="str">
        <x:v>20,000-45,000</x:v>
      </x:c>
      <x:c r="AB192" s="43" t="str">
        <x:v>Ambient sound</x:v>
      </x:c>
      <x:c r="AC192" s="43" t="str"/>
      <x:c r="AD192" s="43" t="str">
        <x:v>"all females with their pups were kept in individual cages under standard conditions without experimental intervention"</x:v>
      </x:c>
      <x:c r="AE192" s="43" t="str">
        <x:v>female</x:v>
      </x:c>
      <x:c r="AF192" s="43" t="str">
        <x:v>70</x:v>
      </x:c>
      <x:c r="AG192" s="43" t="str"/>
      <x:c r="AH192" s="43" t="str">
        <x:v>none</x:v>
      </x:c>
      <x:c r="AI192" s="43" t="str"/>
      <x:c r="AJ192" s="43" t="str">
        <x:v>Anxiety</x:v>
      </x:c>
      <x:c r="AK192" s="43" t="str">
        <x:v>Elevated Plus Maze (EPM)</x:v>
      </x:c>
      <x:c r="AL192" s="43" t="str"/>
      <x:c r="AM192" s="43" t="str">
        <x:v>Total freezing time</x:v>
      </x:c>
      <x:c r="AN192" s="43" t="str">
        <x:v>Time</x:v>
      </x:c>
      <x:c r="AO192" s="43" t="str">
        <x:v>s</x:v>
      </x:c>
      <x:c r="AP192" s="43" t="str">
        <x:v>Light phase</x:v>
      </x:c>
      <x:c r="AQ192" s="43" t="str">
        <x:v>paper Table 1</x:v>
      </x:c>
      <x:c r="AR192" s="43" t="str">
        <x:v>included_studies/abramova_2023_biopsy/abramova_2023_biopsy_data_calculations.xlsx</x:v>
      </x:c>
      <x:c r="AS192" s="43" t="str">
        <x:v>KON_f_</x:v>
      </x:c>
      <x:c r="AT192" s="43" t="str">
        <x:v>PS_f_</x:v>
      </x:c>
      <x:c r="AU192" s="43" t="str">
        <x:v>KON_PS_f_</x:v>
      </x:c>
      <x:c r="AV192" s="43" t="str">
        <x:v>Independent</x:v>
      </x:c>
      <x:c r="AW192" s="43" t="str">
        <x:v>No</x:v>
      </x:c>
      <x:c r="AX192" s="43" t="str">
        <x:v>Positive</x:v>
      </x:c>
      <x:c r="AY192" s="43" t="str"/>
      <x:c r="AZ192" s="43" t="str"/>
      <x:c r="BA192" s="43" t="str"/>
      <x:c r="BB192" s="43" t="str">
        <x:v>10</x:v>
      </x:c>
      <x:c r="BC192" s="43" t="str"/>
      <x:c r="BD192" s="43" t="str"/>
      <x:c r="BE192" s="43" t="str"/>
      <x:c r="BF192" s="43" t="str"/>
      <x:c r="BG192" s="43" t="str">
        <x:v>8</x:v>
      </x:c>
      <x:c r="BH192" s="43" t="str"/>
      <x:c r="BI192" s="43" t="str"/>
      <x:c r="BJ192" s="43" t="str">
        <x:v>estimated from Median(Q1;Q3)</x:v>
      </x:c>
      <x:c r="BK192" s="43" t="str"/>
      <x:c r="BL192" s="43" t="str">
        <x:v>3.8</x:v>
      </x:c>
      <x:c r="BM192" s="43" t="str">
        <x:v>0.0</x:v>
      </x:c>
      <x:c r="BN192" s="43" t="str">
        <x:v>11.6</x:v>
      </x:c>
      <x:c r="BO192" s="43" t="str">
        <x:v>7.3</x:v>
      </x:c>
      <x:c r="BP192" s="43" t="str">
        <x:v>2.9</x:v>
      </x:c>
      <x:c r="BQ192" s="43" t="str">
        <x:v>21.3</x:v>
      </x:c>
      <x:c r="BR192" s="43" t="str">
        <x:v>yes</x:v>
      </x:c>
      <x:c r="BS192" s="43" t="str">
        <x:v>adjust comments text, add Median(Q1, Q2) values</x:v>
      </x:c>
      <x:c r="BT192" s="43" t="str"/>
      <x:c r="BU192" s="43" t="str"/>
      <x:c r="BV192" s="43" t="str"/>
      <x:c r="BW192" s="43" t="str"/>
      <x:c r="BX192" s="43" t="str">
        <x:v>Not calculated here: median (Q1; Q3) reported; estimation is deferred to reproducible R data wrangling</x:v>
      </x:c>
      <x:c r="BY192" s="43" t="str">
        <x:v>included_studies/abramova_2023_biopsy/abramova_2023_biopsy_data_calculations.xlsx, Table1_Extract, source row 29</x:v>
      </x:c>
      <x:c r="BZ192" s="43" t="str"/>
      <x:c r="CA192" s="43" t="str"/>
      <x:c r="CB192" s="43" t="str">
        <x:v>Not calculated here: median (Q1; Q3) reported; estimation is deferred to reproducible R data wrangling</x:v>
      </x:c>
      <x:c r="CC192" s="43" t="str">
        <x:v>included_studies/abramova_2023_biopsy/abramova_2023_biopsy_data_calculations.xlsx, Table1_Extract, source row 29</x:v>
      </x:c>
      <x:c r="CD192" s="43" t="str">
        <x:v>Analysis decision required</x:v>
      </x:c>
      <x:c r="CE192" s="43" t="str">
        <x:v>7 – Abramova 2023 identifiers and units</x:v>
      </x:c>
      <x:c r="CF19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93">
      <x:c r="A193" s="43" t="str">
        <x:v>193</x:v>
      </x:c>
      <x:c r="B193" s="43" t="str">
        <x:v>abramova_2023_biopsy</x:v>
      </x:c>
      <x:c r="C193" s="43" t="str">
        <x:v>ex025</x:v>
      </x:c>
      <x:c r="D193" s="43" t="str">
        <x:v>con021</x:v>
      </x:c>
      <x:c r="E193" s="43" t="str">
        <x:v>out092</x:v>
      </x:c>
      <x:c r="F193" s="43" t="str">
        <x:v>es192</x:v>
      </x:c>
      <x:c r="G193" s="43" t="str">
        <x:v>No</x:v>
      </x:c>
      <x:c r="H193" s="43" t="str">
        <x:v>They had one level of exposure, and two experimental groups, female and males, and one control per group</x:v>
      </x:c>
      <x:c r="I193" s="43" t="str">
        <x:v>Blood BDNF and neuropeptide concentrations as potential biomarkers of behavioral impairments in rats with prenatal ultrasound stress experience</x:v>
      </x:c>
      <x:c r="J193" s="43" t="str"/>
      <x:c r="K193" s="43" t="str">
        <x:v>Российский психиатрический журнал</x:v>
      </x:c>
      <x:c r="L193" s="43" t="str"/>
      <x:c r="M193" s="43" t="str">
        <x:v>Rattus norvegicus</x:v>
      </x:c>
      <x:c r="N193" s="43" t="str">
        <x:v>albino lab rat</x:v>
      </x:c>
      <x:c r="O193" s="43" t="str">
        <x:v>Wistar rat</x:v>
      </x:c>
      <x:c r="P193" s="43" t="str">
        <x:v>16 weeks</x:v>
      </x:c>
      <x:c r="Q193" s="43" t="str">
        <x:v>3 months</x:v>
      </x:c>
      <x:c r="R193" s="43" t="str">
        <x:v>Early, mid, late</x:v>
      </x:c>
      <x:c r="S193" s="43" t="str">
        <x:v>all gestation</x:v>
      </x:c>
      <x:c r="T193" s="43" t="str">
        <x:v>21</x:v>
      </x:c>
      <x:c r="U193" s="43" t="str">
        <x:v>Continuous</x:v>
      </x:c>
      <x:c r="V193" s="43" t="str">
        <x:v>24.0</x:v>
      </x:c>
      <x:c r="W193" s="43" t="str">
        <x:v>Expossed to continuous variable frequencies </x:v>
      </x:c>
      <x:c r="X193" s="43" t="str">
        <x:v>Ultrasound</x:v>
      </x:c>
      <x:c r="Y193" s="43" t="str">
        <x:v>Ultrasound</x:v>
      </x:c>
      <x:c r="Z193" s="43" t="str">
        <x:v>50</x:v>
      </x:c>
      <x:c r="AA193" s="43" t="str">
        <x:v>20,000-45,000</x:v>
      </x:c>
      <x:c r="AB193" s="43" t="str">
        <x:v>Ambient sound</x:v>
      </x:c>
      <x:c r="AC193" s="43" t="str"/>
      <x:c r="AD193" s="43" t="str">
        <x:v>"all females with their pups were kept in individual cages under standard conditions without experimental intervention"</x:v>
      </x:c>
      <x:c r="AE193" s="43" t="str">
        <x:v>male</x:v>
      </x:c>
      <x:c r="AF193" s="43" t="str">
        <x:v>70</x:v>
      </x:c>
      <x:c r="AG193" s="43" t="str"/>
      <x:c r="AH193" s="43" t="str">
        <x:v>none</x:v>
      </x:c>
      <x:c r="AI193" s="43" t="str"/>
      <x:c r="AJ193" s="43" t="str">
        <x:v>Anxiety</x:v>
      </x:c>
      <x:c r="AK193" s="43" t="str">
        <x:v>Elevated Plus Maze (EPM)</x:v>
      </x:c>
      <x:c r="AL193" s="43" t="str"/>
      <x:c r="AM193" s="43" t="str">
        <x:v>Total grooming time</x:v>
      </x:c>
      <x:c r="AN193" s="43" t="str">
        <x:v>Time</x:v>
      </x:c>
      <x:c r="AO193" s="43" t="str">
        <x:v>s</x:v>
      </x:c>
      <x:c r="AP193" s="43" t="str">
        <x:v>Light phase</x:v>
      </x:c>
      <x:c r="AQ193" s="43" t="str">
        <x:v>paper Table 1</x:v>
      </x:c>
      <x:c r="AR193" s="43" t="str">
        <x:v>included_studies/abramova_2023_biopsy/abramova_2023_biopsy_data_calculations.xlsx</x:v>
      </x:c>
      <x:c r="AS193" s="43" t="str">
        <x:v>KON_m_</x:v>
      </x:c>
      <x:c r="AT193" s="43" t="str">
        <x:v>PS_m_</x:v>
      </x:c>
      <x:c r="AU193" s="43" t="str">
        <x:v>KON_PS_m_</x:v>
      </x:c>
      <x:c r="AV193" s="43" t="str">
        <x:v>Independent</x:v>
      </x:c>
      <x:c r="AW193" s="43" t="str">
        <x:v>No</x:v>
      </x:c>
      <x:c r="AX193" s="43" t="str">
        <x:v>Positive</x:v>
      </x:c>
      <x:c r="AY193" s="43" t="str"/>
      <x:c r="AZ193" s="43" t="str">
        <x:v>24.9</x:v>
      </x:c>
      <x:c r="BA193" s="43" t="str">
        <x:v>20.7</x:v>
      </x:c>
      <x:c r="BB193" s="43" t="str">
        <x:v>9</x:v>
      </x:c>
      <x:c r="BC193" s="43" t="str">
        <x:v>6.9</x:v>
      </x:c>
      <x:c r="BD193" s="43" t="str"/>
      <x:c r="BE193" s="43" t="str">
        <x:v>46.8</x:v>
      </x:c>
      <x:c r="BF193" s="43" t="str">
        <x:v>20.871</x:v>
      </x:c>
      <x:c r="BG193" s="43" t="str">
        <x:v>10</x:v>
      </x:c>
      <x:c r="BH193" s="43" t="str">
        <x:v>6.6</x:v>
      </x:c>
      <x:c r="BI193" s="43" t="str"/>
      <x:c r="BJ193" s="43" t="str">
        <x:v>Mean±SEM</x:v>
      </x:c>
      <x:c r="BK193" s="43" t="str"/>
      <x:c r="BL193" s="43" t="str"/>
      <x:c r="BM193" s="43" t="str"/>
      <x:c r="BN193" s="43" t="str"/>
      <x:c r="BO193" s="43" t="str"/>
      <x:c r="BP193" s="43" t="str"/>
      <x:c r="BQ193" s="43" t="str"/>
      <x:c r="BR193" s="43" t="str">
        <x:v>yes</x:v>
      </x:c>
      <x:c r="BS193" s="43" t="str"/>
      <x:c r="BT193" s="43" t="str"/>
      <x:c r="BU193" s="43" t="str"/>
      <x:c r="BV193" s="43" t="str">
        <x:v>6.9</x:v>
      </x:c>
      <x:c r="BW193" s="43" t="str">
        <x:v>6.9</x:v>
      </x:c>
      <x:c r="BX193" s="43" t="str">
        <x:v>Reported SEM; used unchanged for analysis</x:v>
      </x:c>
      <x:c r="BY193" s="43" t="str">
        <x:v>included_studies/abramova_2023_biopsy/abramova_2023_biopsy_data_calculations.xlsx, Table1_Extract, source row 30</x:v>
      </x:c>
      <x:c r="BZ193" s="43" t="str">
        <x:v>6.6</x:v>
      </x:c>
      <x:c r="CA193" s="43" t="str">
        <x:v>6.6</x:v>
      </x:c>
      <x:c r="CB193" s="43" t="str">
        <x:v>Reported SEM; used unchanged for analysis</x:v>
      </x:c>
      <x:c r="CC193" s="43" t="str">
        <x:v>included_studies/abramova_2023_biopsy/abramova_2023_biopsy_data_calculations.xlsx, Table1_Extract, source row 30</x:v>
      </x:c>
      <x:c r="CD193" s="43" t="str">
        <x:v>Corrected transcription</x:v>
      </x:c>
      <x:c r="CE193" s="43" t="str">
        <x:v>7 – Abramova 2023 identifiers and units</x:v>
      </x:c>
      <x:c r="CF19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94">
      <x:c r="A194" s="43" t="str">
        <x:v>194</x:v>
      </x:c>
      <x:c r="B194" s="43" t="str">
        <x:v>abramova_2023_biopsy</x:v>
      </x:c>
      <x:c r="C194" s="43" t="str">
        <x:v>ex026</x:v>
      </x:c>
      <x:c r="D194" s="43" t="str">
        <x:v>con022</x:v>
      </x:c>
      <x:c r="E194" s="43" t="str">
        <x:v>out092</x:v>
      </x:c>
      <x:c r="F194" s="43" t="str">
        <x:v>es193</x:v>
      </x:c>
      <x:c r="G194" s="43" t="str">
        <x:v>No</x:v>
      </x:c>
      <x:c r="H194" s="43" t="str">
        <x:v>They had one level of exposure, and two experimental groups, female and males, and one control per group</x:v>
      </x:c>
      <x:c r="I194" s="43" t="str">
        <x:v>Blood BDNF and neuropeptide concentrations as potential biomarkers of behavioral impairments in rats with prenatal ultrasound stress experience</x:v>
      </x:c>
      <x:c r="J194" s="43" t="str"/>
      <x:c r="K194" s="43" t="str">
        <x:v>Российский психиатрический журнал</x:v>
      </x:c>
      <x:c r="L194" s="43" t="str"/>
      <x:c r="M194" s="43" t="str">
        <x:v>Rattus norvegicus</x:v>
      </x:c>
      <x:c r="N194" s="43" t="str">
        <x:v>albino lab rat</x:v>
      </x:c>
      <x:c r="O194" s="43" t="str">
        <x:v>Wistar rat</x:v>
      </x:c>
      <x:c r="P194" s="43" t="str">
        <x:v>16 weeks</x:v>
      </x:c>
      <x:c r="Q194" s="43" t="str">
        <x:v>3 months</x:v>
      </x:c>
      <x:c r="R194" s="43" t="str">
        <x:v>Early, mid, late</x:v>
      </x:c>
      <x:c r="S194" s="43" t="str">
        <x:v>all gestation</x:v>
      </x:c>
      <x:c r="T194" s="43" t="str">
        <x:v>21</x:v>
      </x:c>
      <x:c r="U194" s="43" t="str">
        <x:v>Continuous</x:v>
      </x:c>
      <x:c r="V194" s="43" t="str">
        <x:v>24.0</x:v>
      </x:c>
      <x:c r="W194" s="43" t="str">
        <x:v>Expossed to continuous variable frequencies </x:v>
      </x:c>
      <x:c r="X194" s="43" t="str">
        <x:v>Ultrasound</x:v>
      </x:c>
      <x:c r="Y194" s="43" t="str">
        <x:v>Ultrasound</x:v>
      </x:c>
      <x:c r="Z194" s="43" t="str">
        <x:v>50</x:v>
      </x:c>
      <x:c r="AA194" s="43" t="str">
        <x:v>20,000-45,000</x:v>
      </x:c>
      <x:c r="AB194" s="43" t="str">
        <x:v>Ambient sound</x:v>
      </x:c>
      <x:c r="AC194" s="43" t="str"/>
      <x:c r="AD194" s="43" t="str">
        <x:v>"all females with their pups were kept in individual cages under standard conditions without experimental intervention"</x:v>
      </x:c>
      <x:c r="AE194" s="43" t="str">
        <x:v>female</x:v>
      </x:c>
      <x:c r="AF194" s="43" t="str">
        <x:v>70</x:v>
      </x:c>
      <x:c r="AG194" s="43" t="str"/>
      <x:c r="AH194" s="43" t="str">
        <x:v>none</x:v>
      </x:c>
      <x:c r="AI194" s="43" t="str"/>
      <x:c r="AJ194" s="43" t="str">
        <x:v>Anxiety</x:v>
      </x:c>
      <x:c r="AK194" s="43" t="str">
        <x:v>Elevated Plus Maze (EPM)</x:v>
      </x:c>
      <x:c r="AL194" s="43" t="str"/>
      <x:c r="AM194" s="43" t="str">
        <x:v>Total grooming time</x:v>
      </x:c>
      <x:c r="AN194" s="43" t="str">
        <x:v>Time</x:v>
      </x:c>
      <x:c r="AO194" s="43" t="str">
        <x:v>s</x:v>
      </x:c>
      <x:c r="AP194" s="43" t="str">
        <x:v>Light phase</x:v>
      </x:c>
      <x:c r="AQ194" s="43" t="str">
        <x:v>paper Table 1</x:v>
      </x:c>
      <x:c r="AR194" s="43" t="str">
        <x:v>included_studies/abramova_2023_biopsy/abramova_2023_biopsy_data_calculations.xlsx</x:v>
      </x:c>
      <x:c r="AS194" s="43" t="str">
        <x:v>KON_f_</x:v>
      </x:c>
      <x:c r="AT194" s="43" t="str">
        <x:v>PS_f_</x:v>
      </x:c>
      <x:c r="AU194" s="43" t="str">
        <x:v>KON_PS_f_</x:v>
      </x:c>
      <x:c r="AV194" s="43" t="str">
        <x:v>Independent</x:v>
      </x:c>
      <x:c r="AW194" s="43" t="str">
        <x:v>No</x:v>
      </x:c>
      <x:c r="AX194" s="43" t="str">
        <x:v>Positive</x:v>
      </x:c>
      <x:c r="AY194" s="43" t="str"/>
      <x:c r="AZ194" s="43" t="str">
        <x:v>24.0</x:v>
      </x:c>
      <x:c r="BA194" s="43" t="str">
        <x:v>14.8627</x:v>
      </x:c>
      <x:c r="BB194" s="43" t="str">
        <x:v>10</x:v>
      </x:c>
      <x:c r="BC194" s="43" t="str">
        <x:v>4.7</x:v>
      </x:c>
      <x:c r="BD194" s="43" t="str"/>
      <x:c r="BE194" s="43" t="str">
        <x:v>29.7</x:v>
      </x:c>
      <x:c r="BF194" s="43" t="str">
        <x:v>28.5671</x:v>
      </x:c>
      <x:c r="BG194" s="43" t="str">
        <x:v>8</x:v>
      </x:c>
      <x:c r="BH194" s="43" t="str">
        <x:v>10.1</x:v>
      </x:c>
      <x:c r="BI194" s="43" t="str"/>
      <x:c r="BJ194" s="43" t="str">
        <x:v>Mean±SEM</x:v>
      </x:c>
      <x:c r="BK194" s="43" t="str"/>
      <x:c r="BL194" s="43" t="str"/>
      <x:c r="BM194" s="43" t="str"/>
      <x:c r="BN194" s="43" t="str"/>
      <x:c r="BO194" s="43" t="str"/>
      <x:c r="BP194" s="43" t="str"/>
      <x:c r="BQ194" s="43" t="str"/>
      <x:c r="BR194" s="43" t="str">
        <x:v>yes</x:v>
      </x:c>
      <x:c r="BS194" s="43" t="str"/>
      <x:c r="BT194" s="43" t="str"/>
      <x:c r="BU194" s="43" t="str"/>
      <x:c r="BV194" s="43" t="str">
        <x:v>4.7</x:v>
      </x:c>
      <x:c r="BW194" s="43" t="str">
        <x:v>4.7</x:v>
      </x:c>
      <x:c r="BX194" s="43" t="str">
        <x:v>Reported SEM; used unchanged for analysis</x:v>
      </x:c>
      <x:c r="BY194" s="43" t="str">
        <x:v>included_studies/abramova_2023_biopsy/abramova_2023_biopsy_data_calculations.xlsx, Table1_Extract, source row 31</x:v>
      </x:c>
      <x:c r="BZ194" s="43" t="str">
        <x:v>10.1</x:v>
      </x:c>
      <x:c r="CA194" s="43" t="str">
        <x:v>10.1</x:v>
      </x:c>
      <x:c r="CB194" s="43" t="str">
        <x:v>Reported SEM; used unchanged for analysis</x:v>
      </x:c>
      <x:c r="CC194" s="43" t="str">
        <x:v>included_studies/abramova_2023_biopsy/abramova_2023_biopsy_data_calculations.xlsx, Table1_Extract, source row 31</x:v>
      </x:c>
      <x:c r="CD194" s="43" t="str">
        <x:v>Corrected transcription</x:v>
      </x:c>
      <x:c r="CE194" s="43" t="str">
        <x:v>7 – Abramova 2023 identifiers and units</x:v>
      </x:c>
      <x:c r="CF19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195">
      <x:c r="A195" s="43" t="str">
        <x:v>195</x:v>
      </x:c>
      <x:c r="B195" s="43" t="str">
        <x:v>abramova_2023_biopsy</x:v>
      </x:c>
      <x:c r="C195" s="43" t="str">
        <x:v>ex025</x:v>
      </x:c>
      <x:c r="D195" s="43" t="str">
        <x:v>con021</x:v>
      </x:c>
      <x:c r="E195" s="43" t="str">
        <x:v>out093</x:v>
      </x:c>
      <x:c r="F195" s="43" t="str">
        <x:v>es194</x:v>
      </x:c>
      <x:c r="G195" s="43" t="str">
        <x:v>No</x:v>
      </x:c>
      <x:c r="H195" s="43" t="str">
        <x:v>They had one level of exposure, and two experimental groups, female and males, and one control per group</x:v>
      </x:c>
      <x:c r="I195" s="43" t="str">
        <x:v>Blood BDNF and neuropeptide concentrations as potential biomarkers of behavioral impairments in rats with prenatal ultrasound stress experience</x:v>
      </x:c>
      <x:c r="J195" s="43" t="str"/>
      <x:c r="K195" s="43" t="str">
        <x:v>Российский психиатрический журнал</x:v>
      </x:c>
      <x:c r="L195" s="43" t="str"/>
      <x:c r="M195" s="43" t="str">
        <x:v>Rattus norvegicus</x:v>
      </x:c>
      <x:c r="N195" s="43" t="str">
        <x:v>albino lab rat</x:v>
      </x:c>
      <x:c r="O195" s="43" t="str">
        <x:v>Wistar rat</x:v>
      </x:c>
      <x:c r="P195" s="43" t="str">
        <x:v>16 weeks</x:v>
      </x:c>
      <x:c r="Q195" s="43" t="str">
        <x:v>3 months</x:v>
      </x:c>
      <x:c r="R195" s="43" t="str">
        <x:v>Early, mid, late</x:v>
      </x:c>
      <x:c r="S195" s="43" t="str">
        <x:v>all gestation</x:v>
      </x:c>
      <x:c r="T195" s="43" t="str">
        <x:v>21</x:v>
      </x:c>
      <x:c r="U195" s="43" t="str">
        <x:v>Continuous</x:v>
      </x:c>
      <x:c r="V195" s="43" t="str">
        <x:v>24.0</x:v>
      </x:c>
      <x:c r="W195" s="43" t="str">
        <x:v>Expossed to continuous variable frequencies </x:v>
      </x:c>
      <x:c r="X195" s="43" t="str">
        <x:v>Ultrasound</x:v>
      </x:c>
      <x:c r="Y195" s="43" t="str">
        <x:v>Ultrasound</x:v>
      </x:c>
      <x:c r="Z195" s="43" t="str">
        <x:v>50</x:v>
      </x:c>
      <x:c r="AA195" s="43" t="str">
        <x:v>20,000-45,000</x:v>
      </x:c>
      <x:c r="AB195" s="43" t="str">
        <x:v>Ambient sound</x:v>
      </x:c>
      <x:c r="AC195" s="43" t="str"/>
      <x:c r="AD195" s="43" t="str">
        <x:v>"all females with their pups were kept in individual cages under standard conditions without experimental intervention"</x:v>
      </x:c>
      <x:c r="AE195" s="43" t="str">
        <x:v>male</x:v>
      </x:c>
      <x:c r="AF195" s="43" t="str">
        <x:v>70</x:v>
      </x:c>
      <x:c r="AG195" s="43" t="str"/>
      <x:c r="AH195" s="43" t="str">
        <x:v>none</x:v>
      </x:c>
      <x:c r="AI195" s="43" t="str"/>
      <x:c r="AJ195" s="43" t="str">
        <x:v>Anxiety</x:v>
      </x:c>
      <x:c r="AK195" s="43" t="str">
        <x:v>Elevated Plus Maze (EPM)</x:v>
      </x:c>
      <x:c r="AL195" s="43" t="str"/>
      <x:c r="AM195" s="43" t="str">
        <x:v>Grooming frequency</x:v>
      </x:c>
      <x:c r="AN195" s="43" t="str">
        <x:v>Count</x:v>
      </x:c>
      <x:c r="AO195" s="43" t="str">
        <x:v>Count</x:v>
      </x:c>
      <x:c r="AP195" s="43" t="str">
        <x:v>Light phase</x:v>
      </x:c>
      <x:c r="AQ195" s="43" t="str">
        <x:v>paper Table 1</x:v>
      </x:c>
      <x:c r="AR195" s="43" t="str">
        <x:v>included_studies/abramova_2023_biopsy/abramova_2023_biopsy_data_calculations.xlsx</x:v>
      </x:c>
      <x:c r="AS195" s="43" t="str">
        <x:v>KON_m_</x:v>
      </x:c>
      <x:c r="AT195" s="43" t="str">
        <x:v>PS_m_</x:v>
      </x:c>
      <x:c r="AU195" s="43" t="str">
        <x:v>KON_PS_m_</x:v>
      </x:c>
      <x:c r="AV195" s="43" t="str">
        <x:v>Independent</x:v>
      </x:c>
      <x:c r="AW195" s="43" t="str">
        <x:v>No</x:v>
      </x:c>
      <x:c r="AX195" s="43" t="str">
        <x:v>Positive</x:v>
      </x:c>
      <x:c r="AY195" s="43" t="str"/>
      <x:c r="AZ195" s="43" t="str"/>
      <x:c r="BA195" s="43" t="str"/>
      <x:c r="BB195" s="43" t="str">
        <x:v>9</x:v>
      </x:c>
      <x:c r="BC195" s="43" t="str"/>
      <x:c r="BD195" s="43" t="str"/>
      <x:c r="BE195" s="43" t="str"/>
      <x:c r="BF195" s="43" t="str"/>
      <x:c r="BG195" s="43" t="str">
        <x:v>10</x:v>
      </x:c>
      <x:c r="BH195" s="43" t="str"/>
      <x:c r="BI195" s="43" t="str"/>
      <x:c r="BJ195" s="43" t="str">
        <x:v>estimated from Median(Q1;Q3)</x:v>
      </x:c>
      <x:c r="BK195" s="43" t="str"/>
      <x:c r="BL195" s="43" t="str">
        <x:v>3.0</x:v>
      </x:c>
      <x:c r="BM195" s="43" t="str">
        <x:v>2.0</x:v>
      </x:c>
      <x:c r="BN195" s="43" t="str">
        <x:v>4.0</x:v>
      </x:c>
      <x:c r="BO195" s="43" t="str">
        <x:v>2.0</x:v>
      </x:c>
      <x:c r="BP195" s="43" t="str">
        <x:v>1.2</x:v>
      </x:c>
      <x:c r="BQ195" s="43" t="str">
        <x:v>4.5</x:v>
      </x:c>
      <x:c r="BR195" s="43" t="str">
        <x:v>yes</x:v>
      </x:c>
      <x:c r="BS195" s="43" t="str">
        <x:v>adjust comments text, add Median(Q1, Q2) values</x:v>
      </x:c>
      <x:c r="BT195" s="43" t="str"/>
      <x:c r="BU195" s="43" t="str"/>
      <x:c r="BV195" s="43" t="str"/>
      <x:c r="BW195" s="43" t="str"/>
      <x:c r="BX195" s="43" t="str">
        <x:v>Not calculated here: median (Q1; Q3) reported; estimation is deferred to reproducible R data wrangling</x:v>
      </x:c>
      <x:c r="BY195" s="43" t="str">
        <x:v>included_studies/abramova_2023_biopsy/abramova_2023_biopsy_data_calculations.xlsx, Table1_Extract, source row 32</x:v>
      </x:c>
      <x:c r="BZ195" s="43" t="str"/>
      <x:c r="CA195" s="43" t="str"/>
      <x:c r="CB195" s="43" t="str">
        <x:v>Not calculated here: median (Q1; Q3) reported; estimation is deferred to reproducible R data wrangling</x:v>
      </x:c>
      <x:c r="CC195" s="43" t="str">
        <x:v>included_studies/abramova_2023_biopsy/abramova_2023_biopsy_data_calculations.xlsx, Table1_Extract, source row 32</x:v>
      </x:c>
      <x:c r="CD195" s="43" t="str">
        <x:v>Analysis decision required</x:v>
      </x:c>
      <x:c r="CE195" s="43" t="str">
        <x:v>7 – Abramova 2023 identifiers and units</x:v>
      </x:c>
      <x:c r="CF19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96">
      <x:c r="A196" s="43" t="str">
        <x:v>196</x:v>
      </x:c>
      <x:c r="B196" s="43" t="str">
        <x:v>abramova_2023_biopsy</x:v>
      </x:c>
      <x:c r="C196" s="43" t="str">
        <x:v>ex026</x:v>
      </x:c>
      <x:c r="D196" s="43" t="str">
        <x:v>con022</x:v>
      </x:c>
      <x:c r="E196" s="43" t="str">
        <x:v>out093</x:v>
      </x:c>
      <x:c r="F196" s="43" t="str">
        <x:v>es195</x:v>
      </x:c>
      <x:c r="G196" s="43" t="str">
        <x:v>No</x:v>
      </x:c>
      <x:c r="H196" s="43" t="str">
        <x:v>They had one level of exposure, and two experimental groups, female and males, and one control per group</x:v>
      </x:c>
      <x:c r="I196" s="43" t="str">
        <x:v>Blood BDNF and neuropeptide concentrations as potential biomarkers of behavioral impairments in rats with prenatal ultrasound stress experience</x:v>
      </x:c>
      <x:c r="J196" s="43" t="str"/>
      <x:c r="K196" s="43" t="str">
        <x:v>Российский психиатрический журнал</x:v>
      </x:c>
      <x:c r="L196" s="43" t="str"/>
      <x:c r="M196" s="43" t="str">
        <x:v>Rattus norvegicus</x:v>
      </x:c>
      <x:c r="N196" s="43" t="str">
        <x:v>albino lab rat</x:v>
      </x:c>
      <x:c r="O196" s="43" t="str">
        <x:v>Wistar rat</x:v>
      </x:c>
      <x:c r="P196" s="43" t="str">
        <x:v>16 weeks</x:v>
      </x:c>
      <x:c r="Q196" s="43" t="str">
        <x:v>3 months</x:v>
      </x:c>
      <x:c r="R196" s="43" t="str">
        <x:v>Early, mid, late</x:v>
      </x:c>
      <x:c r="S196" s="43" t="str">
        <x:v>all gestation</x:v>
      </x:c>
      <x:c r="T196" s="43" t="str">
        <x:v>21</x:v>
      </x:c>
      <x:c r="U196" s="43" t="str">
        <x:v>Continuous</x:v>
      </x:c>
      <x:c r="V196" s="43" t="str">
        <x:v>24.0</x:v>
      </x:c>
      <x:c r="W196" s="43" t="str">
        <x:v>Expossed to continuous variable frequencies </x:v>
      </x:c>
      <x:c r="X196" s="43" t="str">
        <x:v>Ultrasound</x:v>
      </x:c>
      <x:c r="Y196" s="43" t="str">
        <x:v>Ultrasound</x:v>
      </x:c>
      <x:c r="Z196" s="43" t="str">
        <x:v>50</x:v>
      </x:c>
      <x:c r="AA196" s="43" t="str">
        <x:v>20,000-45,000</x:v>
      </x:c>
      <x:c r="AB196" s="43" t="str">
        <x:v>Ambient sound</x:v>
      </x:c>
      <x:c r="AC196" s="43" t="str"/>
      <x:c r="AD196" s="43" t="str">
        <x:v>"all females with their pups were kept in individual cages under standard conditions without experimental intervention"</x:v>
      </x:c>
      <x:c r="AE196" s="43" t="str">
        <x:v>female</x:v>
      </x:c>
      <x:c r="AF196" s="43" t="str">
        <x:v>70</x:v>
      </x:c>
      <x:c r="AG196" s="43" t="str"/>
      <x:c r="AH196" s="43" t="str">
        <x:v>none</x:v>
      </x:c>
      <x:c r="AI196" s="43" t="str"/>
      <x:c r="AJ196" s="43" t="str">
        <x:v>Anxiety</x:v>
      </x:c>
      <x:c r="AK196" s="43" t="str">
        <x:v>Elevated Plus Maze (EPM)</x:v>
      </x:c>
      <x:c r="AL196" s="43" t="str"/>
      <x:c r="AM196" s="43" t="str">
        <x:v>Grooming frequency</x:v>
      </x:c>
      <x:c r="AN196" s="43" t="str">
        <x:v>Count</x:v>
      </x:c>
      <x:c r="AO196" s="43" t="str">
        <x:v>Count</x:v>
      </x:c>
      <x:c r="AP196" s="43" t="str">
        <x:v>Light phase</x:v>
      </x:c>
      <x:c r="AQ196" s="43" t="str">
        <x:v>paper Table 1</x:v>
      </x:c>
      <x:c r="AR196" s="43" t="str">
        <x:v>included_studies/abramova_2023_biopsy/abramova_2023_biopsy_data_calculations.xlsx</x:v>
      </x:c>
      <x:c r="AS196" s="43" t="str">
        <x:v>KON_f_</x:v>
      </x:c>
      <x:c r="AT196" s="43" t="str">
        <x:v>PS_f_</x:v>
      </x:c>
      <x:c r="AU196" s="43" t="str">
        <x:v>KON_PS_f_</x:v>
      </x:c>
      <x:c r="AV196" s="43" t="str">
        <x:v>Independent</x:v>
      </x:c>
      <x:c r="AW196" s="43" t="str">
        <x:v>No</x:v>
      </x:c>
      <x:c r="AX196" s="43" t="str">
        <x:v>Positive</x:v>
      </x:c>
      <x:c r="AY196" s="43" t="str"/>
      <x:c r="AZ196" s="43" t="str"/>
      <x:c r="BA196" s="43" t="str"/>
      <x:c r="BB196" s="43" t="str">
        <x:v>10</x:v>
      </x:c>
      <x:c r="BC196" s="43" t="str"/>
      <x:c r="BD196" s="43" t="str"/>
      <x:c r="BE196" s="43" t="str"/>
      <x:c r="BF196" s="43" t="str"/>
      <x:c r="BG196" s="43" t="str">
        <x:v>8</x:v>
      </x:c>
      <x:c r="BH196" s="43" t="str"/>
      <x:c r="BI196" s="43" t="str"/>
      <x:c r="BJ196" s="43" t="str">
        <x:v>estimated from Median(Q1;Q3)</x:v>
      </x:c>
      <x:c r="BK196" s="43" t="str"/>
      <x:c r="BL196" s="43" t="str">
        <x:v>4.0</x:v>
      </x:c>
      <x:c r="BM196" s="43" t="str">
        <x:v>2.2</x:v>
      </x:c>
      <x:c r="BN196" s="43" t="str">
        <x:v>4.0</x:v>
      </x:c>
      <x:c r="BO196" s="43" t="str">
        <x:v>2.5</x:v>
      </x:c>
      <x:c r="BP196" s="43" t="str">
        <x:v>0.7</x:v>
      </x:c>
      <x:c r="BQ196" s="43" t="str">
        <x:v>5.7</x:v>
      </x:c>
      <x:c r="BR196" s="43" t="str">
        <x:v>yes</x:v>
      </x:c>
      <x:c r="BS196" s="43" t="str">
        <x:v>adjust comments text, add Median(Q1, Q2) values</x:v>
      </x:c>
      <x:c r="BT196" s="43" t="str"/>
      <x:c r="BU196" s="43" t="str"/>
      <x:c r="BV196" s="43" t="str"/>
      <x:c r="BW196" s="43" t="str"/>
      <x:c r="BX196" s="43" t="str">
        <x:v>Not calculated here: median (Q1; Q3) reported; estimation is deferred to reproducible R data wrangling</x:v>
      </x:c>
      <x:c r="BY196" s="43" t="str">
        <x:v>included_studies/abramova_2023_biopsy/abramova_2023_biopsy_data_calculations.xlsx, Table1_Extract, source row 33</x:v>
      </x:c>
      <x:c r="BZ196" s="43" t="str"/>
      <x:c r="CA196" s="43" t="str"/>
      <x:c r="CB196" s="43" t="str">
        <x:v>Not calculated here: median (Q1; Q3) reported; estimation is deferred to reproducible R data wrangling</x:v>
      </x:c>
      <x:c r="CC196" s="43" t="str">
        <x:v>included_studies/abramova_2023_biopsy/abramova_2023_biopsy_data_calculations.xlsx, Table1_Extract, source row 33</x:v>
      </x:c>
      <x:c r="CD196" s="43" t="str">
        <x:v>Analysis decision required</x:v>
      </x:c>
      <x:c r="CE196" s="43" t="str">
        <x:v>7 – Abramova 2023 identifiers and units</x:v>
      </x:c>
      <x:c r="CF19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197">
      <x:c r="A197" s="43" t="str">
        <x:v>197</x:v>
      </x:c>
      <x:c r="B197" s="43" t="str">
        <x:v>abramova_2023_biopsy</x:v>
      </x:c>
      <x:c r="C197" s="43" t="str">
        <x:v>ex025</x:v>
      </x:c>
      <x:c r="D197" s="43" t="str">
        <x:v>con021</x:v>
      </x:c>
      <x:c r="E197" s="43" t="str">
        <x:v>out094</x:v>
      </x:c>
      <x:c r="F197" s="43" t="str">
        <x:v>es196</x:v>
      </x:c>
      <x:c r="G197" s="43" t="str">
        <x:v>No</x:v>
      </x:c>
      <x:c r="H197" s="43" t="str">
        <x:v>They had one level of exposure, and two experimental groups, female and males, and one control per group</x:v>
      </x:c>
      <x:c r="I197" s="43" t="str">
        <x:v>Blood BDNF and neuropeptide concentrations as potential biomarkers of behavioral impairments in rats with prenatal ultrasound stress experience</x:v>
      </x:c>
      <x:c r="J197" s="43" t="str"/>
      <x:c r="K197" s="43" t="str">
        <x:v>Российский психиатрический журнал</x:v>
      </x:c>
      <x:c r="L197" s="43" t="str"/>
      <x:c r="M197" s="43" t="str">
        <x:v>Rattus norvegicus</x:v>
      </x:c>
      <x:c r="N197" s="43" t="str">
        <x:v>albino lab rat</x:v>
      </x:c>
      <x:c r="O197" s="43" t="str">
        <x:v>Wistar rat</x:v>
      </x:c>
      <x:c r="P197" s="43" t="str">
        <x:v>16 weeks</x:v>
      </x:c>
      <x:c r="Q197" s="43" t="str">
        <x:v>3 months</x:v>
      </x:c>
      <x:c r="R197" s="43" t="str">
        <x:v>Early, mid, late</x:v>
      </x:c>
      <x:c r="S197" s="43" t="str">
        <x:v>all gestation</x:v>
      </x:c>
      <x:c r="T197" s="43" t="str">
        <x:v>21</x:v>
      </x:c>
      <x:c r="U197" s="43" t="str">
        <x:v>Continuous</x:v>
      </x:c>
      <x:c r="V197" s="43" t="str">
        <x:v>24.0</x:v>
      </x:c>
      <x:c r="W197" s="43" t="str">
        <x:v>Expossed to continuous variable frequencies </x:v>
      </x:c>
      <x:c r="X197" s="43" t="str">
        <x:v>Ultrasound</x:v>
      </x:c>
      <x:c r="Y197" s="43" t="str">
        <x:v>Ultrasound</x:v>
      </x:c>
      <x:c r="Z197" s="43" t="str">
        <x:v>50</x:v>
      </x:c>
      <x:c r="AA197" s="43" t="str">
        <x:v>20,000-45,000</x:v>
      </x:c>
      <x:c r="AB197" s="43" t="str">
        <x:v>Ambient sound</x:v>
      </x:c>
      <x:c r="AC197" s="43" t="str"/>
      <x:c r="AD197" s="43" t="str">
        <x:v>"all females with their pups were kept in individual cages under standard conditions without experimental intervention"</x:v>
      </x:c>
      <x:c r="AE197" s="43" t="str">
        <x:v>male</x:v>
      </x:c>
      <x:c r="AF197" s="43" t="str">
        <x:v>70</x:v>
      </x:c>
      <x:c r="AG197" s="43" t="str"/>
      <x:c r="AH197" s="43" t="str">
        <x:v>none</x:v>
      </x:c>
      <x:c r="AI197" s="43" t="str"/>
      <x:c r="AJ197" s="43" t="str">
        <x:v>Anxiety</x:v>
      </x:c>
      <x:c r="AK197" s="43" t="str">
        <x:v>Elevated Plus Maze (EPM)</x:v>
      </x:c>
      <x:c r="AL197" s="43" t="str"/>
      <x:c r="AM197" s="43" t="str">
        <x:v>Mean grooming duration</x:v>
      </x:c>
      <x:c r="AN197" s="43" t="str">
        <x:v>Time</x:v>
      </x:c>
      <x:c r="AO197" s="43" t="str">
        <x:v>s</x:v>
      </x:c>
      <x:c r="AP197" s="43" t="str">
        <x:v>Light phase</x:v>
      </x:c>
      <x:c r="AQ197" s="43" t="str">
        <x:v>paper Table 1</x:v>
      </x:c>
      <x:c r="AR197" s="43" t="str">
        <x:v>included_studies/abramova_2023_biopsy/abramova_2023_biopsy_data_calculations.xlsx</x:v>
      </x:c>
      <x:c r="AS197" s="43" t="str">
        <x:v>KON_m_</x:v>
      </x:c>
      <x:c r="AT197" s="43" t="str">
        <x:v>PS_m_</x:v>
      </x:c>
      <x:c r="AU197" s="43" t="str">
        <x:v>KON_PS_m_</x:v>
      </x:c>
      <x:c r="AV197" s="43" t="str">
        <x:v>Independent</x:v>
      </x:c>
      <x:c r="AW197" s="43" t="str">
        <x:v>No</x:v>
      </x:c>
      <x:c r="AX197" s="43" t="str">
        <x:v>Positive</x:v>
      </x:c>
      <x:c r="AY197" s="43" t="str"/>
      <x:c r="AZ197" s="43" t="str">
        <x:v>6.8</x:v>
      </x:c>
      <x:c r="BA197" s="43" t="str">
        <x:v>5.4</x:v>
      </x:c>
      <x:c r="BB197" s="43" t="str">
        <x:v>9</x:v>
      </x:c>
      <x:c r="BC197" s="43" t="str">
        <x:v>1.8</x:v>
      </x:c>
      <x:c r="BD197" s="43" t="str"/>
      <x:c r="BE197" s="43" t="str">
        <x:v>20.9</x:v>
      </x:c>
      <x:c r="BF197" s="43" t="str">
        <x:v>15.1789</x:v>
      </x:c>
      <x:c r="BG197" s="43" t="str">
        <x:v>10</x:v>
      </x:c>
      <x:c r="BH197" s="43" t="str">
        <x:v>4.8</x:v>
      </x:c>
      <x:c r="BI197" s="43" t="str"/>
      <x:c r="BJ197" s="43" t="str">
        <x:v>Mean±SEM</x:v>
      </x:c>
      <x:c r="BK197" s="43" t="str"/>
      <x:c r="BL197" s="43" t="str"/>
      <x:c r="BM197" s="43" t="str"/>
      <x:c r="BN197" s="43" t="str"/>
      <x:c r="BO197" s="43" t="str"/>
      <x:c r="BP197" s="43" t="str"/>
      <x:c r="BQ197" s="43" t="str"/>
      <x:c r="BR197" s="43" t="str">
        <x:v>yes</x:v>
      </x:c>
      <x:c r="BS197" s="43" t="str"/>
      <x:c r="BT197" s="43" t="str"/>
      <x:c r="BU197" s="43" t="str"/>
      <x:c r="BV197" s="43" t="str">
        <x:v>1.8</x:v>
      </x:c>
      <x:c r="BW197" s="43" t="str">
        <x:v>1.8</x:v>
      </x:c>
      <x:c r="BX197" s="43" t="str">
        <x:v>Reported SEM; used unchanged for analysis</x:v>
      </x:c>
      <x:c r="BY197" s="43" t="str">
        <x:v>included_studies/abramova_2023_biopsy/abramova_2023_biopsy_data_calculations.xlsx, Table1_Extract, source row 34</x:v>
      </x:c>
      <x:c r="BZ197" s="43" t="str">
        <x:v>4.8</x:v>
      </x:c>
      <x:c r="CA197" s="43" t="str">
        <x:v>4.8</x:v>
      </x:c>
      <x:c r="CB197" s="43" t="str">
        <x:v>Reported SEM; used unchanged for analysis</x:v>
      </x:c>
      <x:c r="CC197" s="43" t="str">
        <x:v>included_studies/abramova_2023_biopsy/abramova_2023_biopsy_data_calculations.xlsx, Table1_Extract, source row 34</x:v>
      </x:c>
      <x:c r="CD197" s="43" t="str">
        <x:v>Corrected transcription</x:v>
      </x:c>
      <x:c r="CE197" s="43" t="str">
        <x:v>7 – Abramova 2023 identifiers and units</x:v>
      </x:c>
      <x:c r="CF19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row>
    <x:row r="198">
      <x:c r="A198" s="43" t="str">
        <x:v>198</x:v>
      </x:c>
      <x:c r="B198" s="43" t="str">
        <x:v>abramova_2023_biopsy</x:v>
      </x:c>
      <x:c r="C198" s="43" t="str">
        <x:v>ex026</x:v>
      </x:c>
      <x:c r="D198" s="43" t="str">
        <x:v>con022</x:v>
      </x:c>
      <x:c r="E198" s="43" t="str">
        <x:v>out094</x:v>
      </x:c>
      <x:c r="F198" s="43" t="str">
        <x:v>es197</x:v>
      </x:c>
      <x:c r="G198" s="43" t="str">
        <x:v>No</x:v>
      </x:c>
      <x:c r="H198" s="43" t="str">
        <x:v>They had one level of exposure, and two experimental groups, female and males, and one control per group</x:v>
      </x:c>
      <x:c r="I198" s="43" t="str">
        <x:v>Blood BDNF and neuropeptide concentrations as potential biomarkers of behavioral impairments in rats with prenatal ultrasound stress experience</x:v>
      </x:c>
      <x:c r="J198" s="43" t="str"/>
      <x:c r="K198" s="43" t="str">
        <x:v>Российский психиатрический журнал</x:v>
      </x:c>
      <x:c r="L198" s="43" t="str"/>
      <x:c r="M198" s="43" t="str">
        <x:v>Rattus norvegicus</x:v>
      </x:c>
      <x:c r="N198" s="43" t="str">
        <x:v>albino lab rat</x:v>
      </x:c>
      <x:c r="O198" s="43" t="str">
        <x:v>Wistar rat</x:v>
      </x:c>
      <x:c r="P198" s="43" t="str">
        <x:v>16 weeks</x:v>
      </x:c>
      <x:c r="Q198" s="43" t="str">
        <x:v>3 months</x:v>
      </x:c>
      <x:c r="R198" s="43" t="str">
        <x:v>Early, mid, late</x:v>
      </x:c>
      <x:c r="S198" s="43" t="str">
        <x:v>all gestation</x:v>
      </x:c>
      <x:c r="T198" s="43" t="str">
        <x:v>21</x:v>
      </x:c>
      <x:c r="U198" s="43" t="str">
        <x:v>Continuous</x:v>
      </x:c>
      <x:c r="V198" s="43" t="str">
        <x:v>24.0</x:v>
      </x:c>
      <x:c r="W198" s="43" t="str">
        <x:v>Expossed to continuous variable frequencies </x:v>
      </x:c>
      <x:c r="X198" s="43" t="str">
        <x:v>Ultrasound</x:v>
      </x:c>
      <x:c r="Y198" s="43" t="str">
        <x:v>Ultrasound</x:v>
      </x:c>
      <x:c r="Z198" s="43" t="str">
        <x:v>50</x:v>
      </x:c>
      <x:c r="AA198" s="43" t="str">
        <x:v>20,000-45,000</x:v>
      </x:c>
      <x:c r="AB198" s="43" t="str">
        <x:v>Ambient sound</x:v>
      </x:c>
      <x:c r="AC198" s="43" t="str"/>
      <x:c r="AD198" s="43" t="str">
        <x:v>"all females with their pups were kept in individual cages under standard conditions without experimental intervention"</x:v>
      </x:c>
      <x:c r="AE198" s="43" t="str">
        <x:v>female</x:v>
      </x:c>
      <x:c r="AF198" s="43" t="str">
        <x:v>70</x:v>
      </x:c>
      <x:c r="AG198" s="43" t="str"/>
      <x:c r="AH198" s="43" t="str">
        <x:v>none</x:v>
      </x:c>
      <x:c r="AI198" s="43" t="str"/>
      <x:c r="AJ198" s="43" t="str">
        <x:v>Anxiety</x:v>
      </x:c>
      <x:c r="AK198" s="43" t="str">
        <x:v>Elevated Plus Maze (EPM)</x:v>
      </x:c>
      <x:c r="AL198" s="43" t="str"/>
      <x:c r="AM198" s="43" t="str">
        <x:v>Mean grooming duration</x:v>
      </x:c>
      <x:c r="AN198" s="43" t="str">
        <x:v>Time</x:v>
      </x:c>
      <x:c r="AO198" s="43" t="str">
        <x:v>s</x:v>
      </x:c>
      <x:c r="AP198" s="43" t="str">
        <x:v>Light phase</x:v>
      </x:c>
      <x:c r="AQ198" s="43" t="str">
        <x:v>paper Table 1</x:v>
      </x:c>
      <x:c r="AR198" s="43" t="str">
        <x:v>included_studies/abramova_2023_biopsy/abramova_2023_biopsy_data_calculations.xlsx</x:v>
      </x:c>
      <x:c r="AS198" s="43" t="str">
        <x:v>KON_f_</x:v>
      </x:c>
      <x:c r="AT198" s="43" t="str">
        <x:v>PS_f_</x:v>
      </x:c>
      <x:c r="AU198" s="43" t="str">
        <x:v>KON_PS_f_</x:v>
      </x:c>
      <x:c r="AV198" s="43" t="str">
        <x:v>Independent</x:v>
      </x:c>
      <x:c r="AW198" s="43" t="str">
        <x:v>No</x:v>
      </x:c>
      <x:c r="AX198" s="43" t="str">
        <x:v>Positive</x:v>
      </x:c>
      <x:c r="AY198" s="43" t="str"/>
      <x:c r="AZ198" s="43" t="str">
        <x:v>6.4</x:v>
      </x:c>
      <x:c r="BA198" s="43" t="str">
        <x:v>2.846</x:v>
      </x:c>
      <x:c r="BB198" s="43" t="str">
        <x:v>10</x:v>
      </x:c>
      <x:c r="BC198" s="43" t="str">
        <x:v>0.9</x:v>
      </x:c>
      <x:c r="BD198" s="43" t="str"/>
      <x:c r="BE198" s="43" t="str">
        <x:v>8.8</x:v>
      </x:c>
      <x:c r="BF198" s="43" t="str">
        <x:v>8.2024</x:v>
      </x:c>
      <x:c r="BG198" s="43" t="str">
        <x:v>8</x:v>
      </x:c>
      <x:c r="BH198" s="43" t="str">
        <x:v>2.9</x:v>
      </x:c>
      <x:c r="BI198" s="43" t="str"/>
      <x:c r="BJ198" s="43" t="str">
        <x:v>Mean±SEM</x:v>
      </x:c>
      <x:c r="BK198" s="43" t="str"/>
      <x:c r="BL198" s="43" t="str"/>
      <x:c r="BM198" s="43" t="str"/>
      <x:c r="BN198" s="43" t="str"/>
      <x:c r="BO198" s="43" t="str"/>
      <x:c r="BP198" s="43" t="str"/>
      <x:c r="BQ198" s="43" t="str"/>
      <x:c r="BR198" s="43" t="str">
        <x:v>yes</x:v>
      </x:c>
      <x:c r="BS198" s="43" t="str"/>
      <x:c r="BT198" s="43" t="str"/>
      <x:c r="BU198" s="43" t="str"/>
      <x:c r="BV198" s="43" t="str">
        <x:v>0.9</x:v>
      </x:c>
      <x:c r="BW198" s="43" t="str">
        <x:v>0.9</x:v>
      </x:c>
      <x:c r="BX198" s="43" t="str">
        <x:v>Reported SEM; used unchanged for analysis</x:v>
      </x:c>
      <x:c r="BY198" s="43" t="str">
        <x:v>included_studies/abramova_2023_biopsy/abramova_2023_biopsy_data_calculations.xlsx, Table1_Extract, source row 35</x:v>
      </x:c>
      <x:c r="BZ198" s="43" t="str">
        <x:v>2.9</x:v>
      </x:c>
      <x:c r="CA198" s="43" t="str">
        <x:v>2.9</x:v>
      </x:c>
      <x:c r="CB198" s="43" t="str">
        <x:v>Reported SEM; used unchanged for analysis</x:v>
      </x:c>
      <x:c r="CC198" s="43" t="str">
        <x:v>included_studies/abramova_2023_biopsy/abramova_2023_biopsy_data_calculations.xlsx, Table1_Extract, source row 35</x:v>
      </x:c>
      <x:c r="CD198" s="43" t="str">
        <x:v>Corrected transcription</x:v>
      </x:c>
      <x:c r="CE198" s="43" t="str">
        <x:v>7 – Abramova 2023 identifiers and units</x:v>
      </x:c>
      <x:c r="CF198"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Mean grooming duration is a duration, not a percentage. | The source table reports mean grooming duration in seconds.</x:v>
      </x:c>
    </x:row>
    <x:row r="199">
      <x:c r="A199" s="43" t="str">
        <x:v>199</x:v>
      </x:c>
      <x:c r="B199" s="43" t="str">
        <x:v>abramova_2023_biopsy</x:v>
      </x:c>
      <x:c r="C199" s="43" t="str">
        <x:v>ex025</x:v>
      </x:c>
      <x:c r="D199" s="43" t="str">
        <x:v>con021</x:v>
      </x:c>
      <x:c r="E199" s="43" t="str">
        <x:v>out095</x:v>
      </x:c>
      <x:c r="F199" s="43" t="str">
        <x:v>es198</x:v>
      </x:c>
      <x:c r="G199" s="43" t="str">
        <x:v>No</x:v>
      </x:c>
      <x:c r="H199" s="43" t="str">
        <x:v>They had one level of exposure, and two experimental groups, female and males, and one control per group</x:v>
      </x:c>
      <x:c r="I199" s="43" t="str">
        <x:v>Blood BDNF and neuropeptide concentrations as potential biomarkers of behavioral impairments in rats with prenatal ultrasound stress experience</x:v>
      </x:c>
      <x:c r="J199" s="43" t="str"/>
      <x:c r="K199" s="43" t="str">
        <x:v>Российский психиатрический журнал</x:v>
      </x:c>
      <x:c r="L199" s="43" t="str"/>
      <x:c r="M199" s="43" t="str">
        <x:v>Rattus norvegicus</x:v>
      </x:c>
      <x:c r="N199" s="43" t="str">
        <x:v>albino lab rat</x:v>
      </x:c>
      <x:c r="O199" s="43" t="str">
        <x:v>Wistar rat</x:v>
      </x:c>
      <x:c r="P199" s="43" t="str">
        <x:v>16 weeks</x:v>
      </x:c>
      <x:c r="Q199" s="43" t="str">
        <x:v>3 months</x:v>
      </x:c>
      <x:c r="R199" s="43" t="str">
        <x:v>Early, mid, late</x:v>
      </x:c>
      <x:c r="S199" s="43" t="str">
        <x:v>all gestation</x:v>
      </x:c>
      <x:c r="T199" s="43" t="str">
        <x:v>21</x:v>
      </x:c>
      <x:c r="U199" s="43" t="str">
        <x:v>Continuous</x:v>
      </x:c>
      <x:c r="V199" s="43" t="str">
        <x:v>24.0</x:v>
      </x:c>
      <x:c r="W199" s="43" t="str">
        <x:v>Expossed to continuous variable frequencies </x:v>
      </x:c>
      <x:c r="X199" s="43" t="str">
        <x:v>Ultrasound</x:v>
      </x:c>
      <x:c r="Y199" s="43" t="str">
        <x:v>Ultrasound</x:v>
      </x:c>
      <x:c r="Z199" s="43" t="str">
        <x:v>50</x:v>
      </x:c>
      <x:c r="AA199" s="43" t="str">
        <x:v>20,000-45,000</x:v>
      </x:c>
      <x:c r="AB199" s="43" t="str">
        <x:v>Ambient sound</x:v>
      </x:c>
      <x:c r="AC199" s="43" t="str"/>
      <x:c r="AD199" s="43" t="str">
        <x:v>"all females with their pups were kept in individual cages under standard conditions without experimental intervention"</x:v>
      </x:c>
      <x:c r="AE199" s="43" t="str">
        <x:v>male</x:v>
      </x:c>
      <x:c r="AF199" s="43" t="str">
        <x:v>80</x:v>
      </x:c>
      <x:c r="AG199" s="43" t="str"/>
      <x:c r="AH199" s="43" t="str">
        <x:v>none</x:v>
      </x:c>
      <x:c r="AI199" s="43" t="str"/>
      <x:c r="AJ199" s="43" t="str">
        <x:v>Depression</x:v>
      </x:c>
      <x:c r="AK199" s="43" t="str">
        <x:v>Sucrose Preference Test (SPT)</x:v>
      </x:c>
      <x:c r="AL199" s="43" t="str"/>
      <x:c r="AM199" s="43" t="str">
        <x:v>Sucrose preference index</x:v>
      </x:c>
      <x:c r="AN199" s="43" t="str">
        <x:v>Index</x:v>
      </x:c>
      <x:c r="AO199" s="43" t="str">
        <x:v>%</x:v>
      </x:c>
      <x:c r="AP199" s="43" t="str">
        <x:v>Light phase</x:v>
      </x:c>
      <x:c r="AQ199" s="43" t="str">
        <x:v>paper Table 1</x:v>
      </x:c>
      <x:c r="AR199" s="43" t="str">
        <x:v>included_studies/abramova_2023_biopsy/abramova_2023_biopsy_data_calculations.xlsx</x:v>
      </x:c>
      <x:c r="AS199" s="43" t="str">
        <x:v>KON_m_</x:v>
      </x:c>
      <x:c r="AT199" s="43" t="str">
        <x:v>PS_m_</x:v>
      </x:c>
      <x:c r="AU199" s="43" t="str">
        <x:v>KON_PS_m_</x:v>
      </x:c>
      <x:c r="AV199" s="43" t="str">
        <x:v>Independent</x:v>
      </x:c>
      <x:c r="AW199" s="43" t="str">
        <x:v>Yes</x:v>
      </x:c>
      <x:c r="AX199" s="43" t="str">
        <x:v>Negative</x:v>
      </x:c>
      <x:c r="AY199" s="43" t="str"/>
      <x:c r="AZ199" s="43" t="str">
        <x:v>63.5</x:v>
      </x:c>
      <x:c r="BA199" s="43" t="str">
        <x:v>17.4</x:v>
      </x:c>
      <x:c r="BB199" s="43" t="str">
        <x:v>9</x:v>
      </x:c>
      <x:c r="BC199" s="43" t="str">
        <x:v>5.8</x:v>
      </x:c>
      <x:c r="BD199" s="43" t="str"/>
      <x:c r="BE199" s="43" t="str">
        <x:v>60.3</x:v>
      </x:c>
      <x:c r="BF199" s="43" t="str">
        <x:v>13.914</x:v>
      </x:c>
      <x:c r="BG199" s="43" t="str">
        <x:v>10</x:v>
      </x:c>
      <x:c r="BH199" s="43" t="str">
        <x:v>4.4</x:v>
      </x:c>
      <x:c r="BI199" s="43" t="str"/>
      <x:c r="BJ199" s="43" t="str">
        <x:v>Mean±SEM</x:v>
      </x:c>
      <x:c r="BK199" s="43" t="str"/>
      <x:c r="BL199" s="43" t="str"/>
      <x:c r="BM199" s="43" t="str"/>
      <x:c r="BN199" s="43" t="str"/>
      <x:c r="BO199" s="43" t="str"/>
      <x:c r="BP199" s="43" t="str"/>
      <x:c r="BQ199" s="43" t="str"/>
      <x:c r="BR199" s="43" t="str">
        <x:v>yes</x:v>
      </x:c>
      <x:c r="BS199" s="43" t="str"/>
      <x:c r="BT199" s="43" t="str"/>
      <x:c r="BU199" s="43" t="str"/>
      <x:c r="BV199" s="43" t="str">
        <x:v>5.8</x:v>
      </x:c>
      <x:c r="BW199" s="43" t="str">
        <x:v>5.8</x:v>
      </x:c>
      <x:c r="BX199" s="43" t="str">
        <x:v>Reported SEM; used unchanged for analysis</x:v>
      </x:c>
      <x:c r="BY199" s="43" t="str">
        <x:v>included_studies/abramova_2023_biopsy/abramova_2023_biopsy_data_calculations.xlsx, Table1_Extract, source row 36</x:v>
      </x:c>
      <x:c r="BZ199" s="43" t="str">
        <x:v>4.4</x:v>
      </x:c>
      <x:c r="CA199" s="43" t="str">
        <x:v>4.4</x:v>
      </x:c>
      <x:c r="CB199" s="43" t="str">
        <x:v>Reported SEM; used unchanged for analysis</x:v>
      </x:c>
      <x:c r="CC199" s="43" t="str">
        <x:v>included_studies/abramova_2023_biopsy/abramova_2023_biopsy_data_calculations.xlsx, Table1_Extract, source row 36</x:v>
      </x:c>
      <x:c r="CD199" s="43" t="str">
        <x:v>Corrected transcription</x:v>
      </x:c>
      <x:c r="CE199" s="43" t="str">
        <x:v>7 – Abramova 2023 identifiers and units</x:v>
      </x:c>
      <x:c r="CF199"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0">
      <x:c r="A200" s="43" t="str">
        <x:v>200</x:v>
      </x:c>
      <x:c r="B200" s="43" t="str">
        <x:v>abramova_2023_biopsy</x:v>
      </x:c>
      <x:c r="C200" s="43" t="str">
        <x:v>ex026</x:v>
      </x:c>
      <x:c r="D200" s="43" t="str">
        <x:v>con022</x:v>
      </x:c>
      <x:c r="E200" s="43" t="str">
        <x:v>out095</x:v>
      </x:c>
      <x:c r="F200" s="43" t="str">
        <x:v>es199</x:v>
      </x:c>
      <x:c r="G200" s="43" t="str">
        <x:v>No</x:v>
      </x:c>
      <x:c r="H200" s="43" t="str">
        <x:v>They had one level of exposure, and two experimental groups, female and males, and one control per group</x:v>
      </x:c>
      <x:c r="I200" s="43" t="str">
        <x:v>Blood BDNF and neuropeptide concentrations as potential biomarkers of behavioral impairments in rats with prenatal ultrasound stress experience</x:v>
      </x:c>
      <x:c r="J200" s="43" t="str"/>
      <x:c r="K200" s="43" t="str">
        <x:v>Российский психиатрический журнал</x:v>
      </x:c>
      <x:c r="L200" s="43" t="str"/>
      <x:c r="M200" s="43" t="str">
        <x:v>Rattus norvegicus</x:v>
      </x:c>
      <x:c r="N200" s="43" t="str">
        <x:v>albino lab rat</x:v>
      </x:c>
      <x:c r="O200" s="43" t="str">
        <x:v>Wistar rat</x:v>
      </x:c>
      <x:c r="P200" s="43" t="str">
        <x:v>16 weeks</x:v>
      </x:c>
      <x:c r="Q200" s="43" t="str">
        <x:v>3 months</x:v>
      </x:c>
      <x:c r="R200" s="43" t="str">
        <x:v>Early, mid, late</x:v>
      </x:c>
      <x:c r="S200" s="43" t="str">
        <x:v>all gestation</x:v>
      </x:c>
      <x:c r="T200" s="43" t="str">
        <x:v>21</x:v>
      </x:c>
      <x:c r="U200" s="43" t="str">
        <x:v>Continuous</x:v>
      </x:c>
      <x:c r="V200" s="43" t="str">
        <x:v>24.0</x:v>
      </x:c>
      <x:c r="W200" s="43" t="str">
        <x:v>Expossed to continuous variable frequencies </x:v>
      </x:c>
      <x:c r="X200" s="43" t="str">
        <x:v>Ultrasound</x:v>
      </x:c>
      <x:c r="Y200" s="43" t="str">
        <x:v>Ultrasound</x:v>
      </x:c>
      <x:c r="Z200" s="43" t="str">
        <x:v>50</x:v>
      </x:c>
      <x:c r="AA200" s="43" t="str">
        <x:v>20,000-45,000</x:v>
      </x:c>
      <x:c r="AB200" s="43" t="str">
        <x:v>Ambient sound</x:v>
      </x:c>
      <x:c r="AC200" s="43" t="str"/>
      <x:c r="AD200" s="43" t="str">
        <x:v>"all females with their pups were kept in individual cages under standard conditions without experimental intervention"</x:v>
      </x:c>
      <x:c r="AE200" s="43" t="str">
        <x:v>female</x:v>
      </x:c>
      <x:c r="AF200" s="43" t="str">
        <x:v>80</x:v>
      </x:c>
      <x:c r="AG200" s="43" t="str"/>
      <x:c r="AH200" s="43" t="str">
        <x:v>none</x:v>
      </x:c>
      <x:c r="AI200" s="43" t="str"/>
      <x:c r="AJ200" s="43" t="str">
        <x:v>Depression</x:v>
      </x:c>
      <x:c r="AK200" s="43" t="str">
        <x:v>Sucrose Preference Test (SPT)</x:v>
      </x:c>
      <x:c r="AL200" s="43" t="str"/>
      <x:c r="AM200" s="43" t="str">
        <x:v>Sucrose preference index</x:v>
      </x:c>
      <x:c r="AN200" s="43" t="str">
        <x:v>Index</x:v>
      </x:c>
      <x:c r="AO200" s="43" t="str">
        <x:v>%</x:v>
      </x:c>
      <x:c r="AP200" s="43" t="str">
        <x:v>Light phase</x:v>
      </x:c>
      <x:c r="AQ200" s="43" t="str">
        <x:v>paper Table 1</x:v>
      </x:c>
      <x:c r="AR200" s="43" t="str">
        <x:v>included_studies/abramova_2023_biopsy/abramova_2023_biopsy_data_calculations.xlsx</x:v>
      </x:c>
      <x:c r="AS200" s="43" t="str">
        <x:v>KON_f_</x:v>
      </x:c>
      <x:c r="AT200" s="43" t="str">
        <x:v>PS_f_</x:v>
      </x:c>
      <x:c r="AU200" s="43" t="str">
        <x:v>KON_PS_f_</x:v>
      </x:c>
      <x:c r="AV200" s="43" t="str">
        <x:v>Independent</x:v>
      </x:c>
      <x:c r="AW200" s="43" t="str">
        <x:v>Yes</x:v>
      </x:c>
      <x:c r="AX200" s="43" t="str">
        <x:v>Negative</x:v>
      </x:c>
      <x:c r="AY200" s="43" t="str"/>
      <x:c r="AZ200" s="43" t="str">
        <x:v>62.3</x:v>
      </x:c>
      <x:c r="BA200" s="43" t="str">
        <x:v>21.1873</x:v>
      </x:c>
      <x:c r="BB200" s="43" t="str">
        <x:v>10</x:v>
      </x:c>
      <x:c r="BC200" s="43" t="str">
        <x:v>6.7</x:v>
      </x:c>
      <x:c r="BD200" s="43" t="str"/>
      <x:c r="BE200" s="43" t="str">
        <x:v>83.4</x:v>
      </x:c>
      <x:c r="BF200" s="43" t="str">
        <x:v>11.3137</x:v>
      </x:c>
      <x:c r="BG200" s="43" t="str">
        <x:v>8</x:v>
      </x:c>
      <x:c r="BH200" s="43" t="str">
        <x:v>4.0</x:v>
      </x:c>
      <x:c r="BI200" s="43" t="str"/>
      <x:c r="BJ200" s="43" t="str">
        <x:v>Mean±SEM</x:v>
      </x:c>
      <x:c r="BK200" s="43" t="str"/>
      <x:c r="BL200" s="43" t="str"/>
      <x:c r="BM200" s="43" t="str"/>
      <x:c r="BN200" s="43" t="str"/>
      <x:c r="BO200" s="43" t="str"/>
      <x:c r="BP200" s="43" t="str"/>
      <x:c r="BQ200" s="43" t="str"/>
      <x:c r="BR200" s="43" t="str">
        <x:v>yes</x:v>
      </x:c>
      <x:c r="BS200" s="43" t="str"/>
      <x:c r="BT200" s="43" t="str"/>
      <x:c r="BU200" s="43" t="str"/>
      <x:c r="BV200" s="43" t="str">
        <x:v>6.7</x:v>
      </x:c>
      <x:c r="BW200" s="43" t="str">
        <x:v>6.7</x:v>
      </x:c>
      <x:c r="BX200" s="43" t="str">
        <x:v>Reported SEM; used unchanged for analysis</x:v>
      </x:c>
      <x:c r="BY200" s="43" t="str">
        <x:v>included_studies/abramova_2023_biopsy/abramova_2023_biopsy_data_calculations.xlsx, Table1_Extract, source row 37</x:v>
      </x:c>
      <x:c r="BZ200" s="43" t="str">
        <x:v>4.0</x:v>
      </x:c>
      <x:c r="CA200" s="43" t="str">
        <x:v>4.0</x:v>
      </x:c>
      <x:c r="CB200" s="43" t="str">
        <x:v>Reported SEM; used unchanged for analysis</x:v>
      </x:c>
      <x:c r="CC200" s="43" t="str">
        <x:v>included_studies/abramova_2023_biopsy/abramova_2023_biopsy_data_calculations.xlsx, Table1_Extract, source row 37</x:v>
      </x:c>
      <x:c r="CD200" s="43" t="str">
        <x:v>Corrected transcription</x:v>
      </x:c>
      <x:c r="CE200" s="43" t="str">
        <x:v>7 – Abramova 2023 identifiers and units</x:v>
      </x:c>
      <x:c r="CF200"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1">
      <x:c r="A201" s="43" t="str">
        <x:v>201</x:v>
      </x:c>
      <x:c r="B201" s="43" t="str">
        <x:v>abramova_2023_biopsy</x:v>
      </x:c>
      <x:c r="C201" s="43" t="str">
        <x:v>ex025</x:v>
      </x:c>
      <x:c r="D201" s="43" t="str">
        <x:v>con021</x:v>
      </x:c>
      <x:c r="E201" s="43" t="str">
        <x:v>out096</x:v>
      </x:c>
      <x:c r="F201" s="43" t="str">
        <x:v>es200</x:v>
      </x:c>
      <x:c r="G201" s="43" t="str">
        <x:v>No</x:v>
      </x:c>
      <x:c r="H201" s="43" t="str">
        <x:v>They had one level of exposure, and two experimental groups, female and males, and one control per group</x:v>
      </x:c>
      <x:c r="I201" s="43" t="str">
        <x:v>Blood BDNF and neuropeptide concentrations as potential biomarkers of behavioral impairments in rats with prenatal ultrasound stress experience</x:v>
      </x:c>
      <x:c r="J201" s="43" t="str"/>
      <x:c r="K201" s="43" t="str">
        <x:v>Российский психиатрический журнал</x:v>
      </x:c>
      <x:c r="L201" s="43" t="str"/>
      <x:c r="M201" s="43" t="str">
        <x:v>Rattus norvegicus</x:v>
      </x:c>
      <x:c r="N201" s="43" t="str">
        <x:v>albino lab rat</x:v>
      </x:c>
      <x:c r="O201" s="43" t="str">
        <x:v>Wistar rat</x:v>
      </x:c>
      <x:c r="P201" s="43" t="str">
        <x:v>16 weeks</x:v>
      </x:c>
      <x:c r="Q201" s="43" t="str">
        <x:v>3 months</x:v>
      </x:c>
      <x:c r="R201" s="43" t="str">
        <x:v>Early, mid, late</x:v>
      </x:c>
      <x:c r="S201" s="43" t="str">
        <x:v>all gestation</x:v>
      </x:c>
      <x:c r="T201" s="43" t="str">
        <x:v>21</x:v>
      </x:c>
      <x:c r="U201" s="43" t="str">
        <x:v>Continuous</x:v>
      </x:c>
      <x:c r="V201" s="43" t="str">
        <x:v>24.0</x:v>
      </x:c>
      <x:c r="W201" s="43" t="str">
        <x:v>Expossed to continuous variable frequencies </x:v>
      </x:c>
      <x:c r="X201" s="43" t="str">
        <x:v>Ultrasound</x:v>
      </x:c>
      <x:c r="Y201" s="43" t="str">
        <x:v>Ultrasound</x:v>
      </x:c>
      <x:c r="Z201" s="43" t="str">
        <x:v>50</x:v>
      </x:c>
      <x:c r="AA201" s="43" t="str">
        <x:v>20,000-45,000</x:v>
      </x:c>
      <x:c r="AB201" s="43" t="str">
        <x:v>Ambient sound</x:v>
      </x:c>
      <x:c r="AC201" s="43" t="str"/>
      <x:c r="AD201" s="43" t="str">
        <x:v>"all females with their pups were kept in individual cages under standard conditions without experimental intervention"</x:v>
      </x:c>
      <x:c r="AE201" s="43" t="str">
        <x:v>male</x:v>
      </x:c>
      <x:c r="AF201" s="43" t="str">
        <x:v>95</x:v>
      </x:c>
      <x:c r="AG201" s="43" t="str"/>
      <x:c r="AH201" s="43" t="str">
        <x:v>none</x:v>
      </x:c>
      <x:c r="AI201" s="43" t="str"/>
      <x:c r="AJ201" s="43" t="str">
        <x:v>Depression</x:v>
      </x:c>
      <x:c r="AK201" s="43" t="str">
        <x:v>Forced Swimming Test (FST)</x:v>
      </x:c>
      <x:c r="AL201" s="43" t="str"/>
      <x:c r="AM201" s="43" t="str">
        <x:v>Total immobility time</x:v>
      </x:c>
      <x:c r="AN201" s="43" t="str">
        <x:v>Time</x:v>
      </x:c>
      <x:c r="AO201" s="43" t="str">
        <x:v>s</x:v>
      </x:c>
      <x:c r="AP201" s="43" t="str">
        <x:v>Light phase</x:v>
      </x:c>
      <x:c r="AQ201" s="43" t="str">
        <x:v>paper Table 1</x:v>
      </x:c>
      <x:c r="AR201" s="43" t="str">
        <x:v>included_studies/abramova_2023_biopsy/abramova_2023_biopsy_data_calculations.xlsx</x:v>
      </x:c>
      <x:c r="AS201" s="43" t="str">
        <x:v>KON_m_</x:v>
      </x:c>
      <x:c r="AT201" s="43" t="str">
        <x:v>PS_m_</x:v>
      </x:c>
      <x:c r="AU201" s="43" t="str">
        <x:v>KON_PS_m_</x:v>
      </x:c>
      <x:c r="AV201" s="43" t="str">
        <x:v>Independent</x:v>
      </x:c>
      <x:c r="AW201" s="43" t="str">
        <x:v>No</x:v>
      </x:c>
      <x:c r="AX201" s="43" t="str">
        <x:v>Positive</x:v>
      </x:c>
      <x:c r="AY201" s="43" t="str"/>
      <x:c r="AZ201" s="43" t="str"/>
      <x:c r="BA201" s="43" t="str"/>
      <x:c r="BB201" s="43" t="str">
        <x:v>9</x:v>
      </x:c>
      <x:c r="BC201" s="43" t="str"/>
      <x:c r="BD201" s="43" t="str"/>
      <x:c r="BE201" s="43" t="str"/>
      <x:c r="BF201" s="43" t="str"/>
      <x:c r="BG201" s="43" t="str">
        <x:v>10</x:v>
      </x:c>
      <x:c r="BH201" s="43" t="str"/>
      <x:c r="BI201" s="43" t="str"/>
      <x:c r="BJ201" s="43" t="str">
        <x:v>estimated from Median(Q1;Q3)</x:v>
      </x:c>
      <x:c r="BK201" s="43" t="str"/>
      <x:c r="BL201" s="43" t="str">
        <x:v>110.0</x:v>
      </x:c>
      <x:c r="BM201" s="43" t="str">
        <x:v>81.0</x:v>
      </x:c>
      <x:c r="BN201" s="43" t="str">
        <x:v>143.0</x:v>
      </x:c>
      <x:c r="BO201" s="43" t="str">
        <x:v>140.0</x:v>
      </x:c>
      <x:c r="BP201" s="43" t="str">
        <x:v>102.0</x:v>
      </x:c>
      <x:c r="BQ201" s="43" t="str">
        <x:v>164.0</x:v>
      </x:c>
      <x:c r="BR201" s="43" t="str">
        <x:v>yes</x:v>
      </x:c>
      <x:c r="BS201" s="43" t="str">
        <x:v>adjust comments text, add Median(Q1, Q2) values</x:v>
      </x:c>
      <x:c r="BT201" s="43" t="str"/>
      <x:c r="BU201" s="43" t="str"/>
      <x:c r="BV201" s="43" t="str"/>
      <x:c r="BW201" s="43" t="str"/>
      <x:c r="BX201" s="43" t="str">
        <x:v>Not calculated here: median (Q1; Q3) reported; estimation is deferred to reproducible R data wrangling</x:v>
      </x:c>
      <x:c r="BY201" s="43" t="str">
        <x:v>included_studies/abramova_2023_biopsy/abramova_2023_biopsy_data_calculations.xlsx, Table1_Extract, source row 38</x:v>
      </x:c>
      <x:c r="BZ201" s="43" t="str"/>
      <x:c r="CA201" s="43" t="str"/>
      <x:c r="CB201" s="43" t="str">
        <x:v>Not calculated here: median (Q1; Q3) reported; estimation is deferred to reproducible R data wrangling</x:v>
      </x:c>
      <x:c r="CC201" s="43" t="str">
        <x:v>included_studies/abramova_2023_biopsy/abramova_2023_biopsy_data_calculations.xlsx, Table1_Extract, source row 38</x:v>
      </x:c>
      <x:c r="CD201" s="43" t="str">
        <x:v>Analysis decision required</x:v>
      </x:c>
      <x:c r="CE201" s="43" t="str">
        <x:v>7 – Abramova 2023 identifiers and units</x:v>
      </x:c>
      <x:c r="CF201"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202">
      <x:c r="A202" s="43" t="str">
        <x:v>202</x:v>
      </x:c>
      <x:c r="B202" s="43" t="str">
        <x:v>abramova_2023_biopsy</x:v>
      </x:c>
      <x:c r="C202" s="43" t="str">
        <x:v>ex026</x:v>
      </x:c>
      <x:c r="D202" s="43" t="str">
        <x:v>con022</x:v>
      </x:c>
      <x:c r="E202" s="43" t="str">
        <x:v>out096</x:v>
      </x:c>
      <x:c r="F202" s="43" t="str">
        <x:v>es201</x:v>
      </x:c>
      <x:c r="G202" s="43" t="str">
        <x:v>No</x:v>
      </x:c>
      <x:c r="H202" s="43" t="str">
        <x:v>They had one level of exposure, and two experimental groups, female and males, and one control per group</x:v>
      </x:c>
      <x:c r="I202" s="43" t="str">
        <x:v>Blood BDNF and neuropeptide concentrations as potential biomarkers of behavioral impairments in rats with prenatal ultrasound stress experience</x:v>
      </x:c>
      <x:c r="J202" s="43" t="str"/>
      <x:c r="K202" s="43" t="str">
        <x:v>Российский психиатрический журнал</x:v>
      </x:c>
      <x:c r="L202" s="43" t="str"/>
      <x:c r="M202" s="43" t="str">
        <x:v>Rattus norvegicus</x:v>
      </x:c>
      <x:c r="N202" s="43" t="str">
        <x:v>albino lab rat</x:v>
      </x:c>
      <x:c r="O202" s="43" t="str">
        <x:v>Wistar rat</x:v>
      </x:c>
      <x:c r="P202" s="43" t="str">
        <x:v>16 weeks</x:v>
      </x:c>
      <x:c r="Q202" s="43" t="str">
        <x:v>3 months</x:v>
      </x:c>
      <x:c r="R202" s="43" t="str">
        <x:v>Early, mid, late</x:v>
      </x:c>
      <x:c r="S202" s="43" t="str">
        <x:v>all gestation</x:v>
      </x:c>
      <x:c r="T202" s="43" t="str">
        <x:v>21</x:v>
      </x:c>
      <x:c r="U202" s="43" t="str">
        <x:v>Continuous</x:v>
      </x:c>
      <x:c r="V202" s="43" t="str">
        <x:v>24.0</x:v>
      </x:c>
      <x:c r="W202" s="43" t="str">
        <x:v>Expossed to continuous variable frequencies </x:v>
      </x:c>
      <x:c r="X202" s="43" t="str">
        <x:v>Ultrasound</x:v>
      </x:c>
      <x:c r="Y202" s="43" t="str">
        <x:v>Ultrasound</x:v>
      </x:c>
      <x:c r="Z202" s="43" t="str">
        <x:v>50</x:v>
      </x:c>
      <x:c r="AA202" s="43" t="str">
        <x:v>20,000-45,000</x:v>
      </x:c>
      <x:c r="AB202" s="43" t="str">
        <x:v>Ambient sound</x:v>
      </x:c>
      <x:c r="AC202" s="43" t="str"/>
      <x:c r="AD202" s="43" t="str">
        <x:v>"all females with their pups were kept in individual cages under standard conditions without experimental intervention"</x:v>
      </x:c>
      <x:c r="AE202" s="43" t="str">
        <x:v>female</x:v>
      </x:c>
      <x:c r="AF202" s="43" t="str">
        <x:v>95</x:v>
      </x:c>
      <x:c r="AG202" s="43" t="str"/>
      <x:c r="AH202" s="43" t="str">
        <x:v>none</x:v>
      </x:c>
      <x:c r="AI202" s="43" t="str"/>
      <x:c r="AJ202" s="43" t="str">
        <x:v>Depression</x:v>
      </x:c>
      <x:c r="AK202" s="43" t="str">
        <x:v>Forced Swimming Test (FST)</x:v>
      </x:c>
      <x:c r="AL202" s="43" t="str"/>
      <x:c r="AM202" s="43" t="str">
        <x:v>Total immobility time</x:v>
      </x:c>
      <x:c r="AN202" s="43" t="str">
        <x:v>Time</x:v>
      </x:c>
      <x:c r="AO202" s="43" t="str">
        <x:v>s</x:v>
      </x:c>
      <x:c r="AP202" s="43" t="str">
        <x:v>Light phase</x:v>
      </x:c>
      <x:c r="AQ202" s="43" t="str">
        <x:v>paper Table 1</x:v>
      </x:c>
      <x:c r="AR202" s="43" t="str">
        <x:v>included_studies/abramova_2023_biopsy/abramova_2023_biopsy_data_calculations.xlsx</x:v>
      </x:c>
      <x:c r="AS202" s="43" t="str">
        <x:v>KON_f_</x:v>
      </x:c>
      <x:c r="AT202" s="43" t="str">
        <x:v>PS_f_</x:v>
      </x:c>
      <x:c r="AU202" s="43" t="str">
        <x:v>KON_PS_f_</x:v>
      </x:c>
      <x:c r="AV202" s="43" t="str">
        <x:v>Independent</x:v>
      </x:c>
      <x:c r="AW202" s="43" t="str">
        <x:v>No</x:v>
      </x:c>
      <x:c r="AX202" s="43" t="str">
        <x:v>Positive</x:v>
      </x:c>
      <x:c r="AY202" s="43" t="str"/>
      <x:c r="AZ202" s="43" t="str"/>
      <x:c r="BA202" s="43" t="str"/>
      <x:c r="BB202" s="43" t="str">
        <x:v>10</x:v>
      </x:c>
      <x:c r="BC202" s="43" t="str"/>
      <x:c r="BD202" s="43" t="str"/>
      <x:c r="BE202" s="43" t="str"/>
      <x:c r="BF202" s="43" t="str"/>
      <x:c r="BG202" s="43" t="str">
        <x:v>8</x:v>
      </x:c>
      <x:c r="BH202" s="43" t="str"/>
      <x:c r="BI202" s="43" t="str"/>
      <x:c r="BJ202" s="43" t="str">
        <x:v>estimated from Median(Q1;Q3)</x:v>
      </x:c>
      <x:c r="BK202" s="43" t="str"/>
      <x:c r="BL202" s="43" t="str">
        <x:v>64.0</x:v>
      </x:c>
      <x:c r="BM202" s="43" t="str">
        <x:v>45.0</x:v>
      </x:c>
      <x:c r="BN202" s="43" t="str">
        <x:v>83.0</x:v>
      </x:c>
      <x:c r="BO202" s="43" t="str">
        <x:v>100.0</x:v>
      </x:c>
      <x:c r="BP202" s="43" t="str">
        <x:v>87.0</x:v>
      </x:c>
      <x:c r="BQ202" s="43" t="str">
        <x:v>109.0</x:v>
      </x:c>
      <x:c r="BR202" s="43" t="str">
        <x:v>yes</x:v>
      </x:c>
      <x:c r="BS202" s="43" t="str">
        <x:v>adjust comments text, add Median(Q1, Q2) values</x:v>
      </x:c>
      <x:c r="BT202" s="43" t="str"/>
      <x:c r="BU202" s="43" t="str"/>
      <x:c r="BV202" s="43" t="str"/>
      <x:c r="BW202" s="43" t="str"/>
      <x:c r="BX202" s="43" t="str">
        <x:v>Not calculated here: median (Q1; Q3) reported; estimation is deferred to reproducible R data wrangling</x:v>
      </x:c>
      <x:c r="BY202" s="43" t="str">
        <x:v>included_studies/abramova_2023_biopsy/abramova_2023_biopsy_data_calculations.xlsx, Table1_Extract, source row 39</x:v>
      </x:c>
      <x:c r="BZ202" s="43" t="str"/>
      <x:c r="CA202" s="43" t="str"/>
      <x:c r="CB202" s="43" t="str">
        <x:v>Not calculated here: median (Q1; Q3) reported; estimation is deferred to reproducible R data wrangling</x:v>
      </x:c>
      <x:c r="CC202" s="43" t="str">
        <x:v>included_studies/abramova_2023_biopsy/abramova_2023_biopsy_data_calculations.xlsx, Table1_Extract, source row 39</x:v>
      </x:c>
      <x:c r="CD202" s="43" t="str">
        <x:v>Analysis decision required</x:v>
      </x:c>
      <x:c r="CE202" s="43" t="str">
        <x:v>7 – Abramova 2023 identifiers and units</x:v>
      </x:c>
      <x:c r="CF202"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203">
      <x:c r="A203" s="43" t="str">
        <x:v>203</x:v>
      </x:c>
      <x:c r="B203" s="43" t="str">
        <x:v>abramova_2023_biopsy</x:v>
      </x:c>
      <x:c r="C203" s="43" t="str">
        <x:v>ex025</x:v>
      </x:c>
      <x:c r="D203" s="43" t="str">
        <x:v>con021</x:v>
      </x:c>
      <x:c r="E203" s="43" t="str">
        <x:v>out097</x:v>
      </x:c>
      <x:c r="F203" s="43" t="str">
        <x:v>es202</x:v>
      </x:c>
      <x:c r="G203" s="43" t="str">
        <x:v>No</x:v>
      </x:c>
      <x:c r="H203" s="43" t="str">
        <x:v>They had one level of exposure, and two experimental groups, female and males, and one control per group</x:v>
      </x:c>
      <x:c r="I203" s="43" t="str">
        <x:v>Blood BDNF and neuropeptide concentrations as potential biomarkers of behavioral impairments in rats with prenatal ultrasound stress experience</x:v>
      </x:c>
      <x:c r="J203" s="43" t="str"/>
      <x:c r="K203" s="43" t="str">
        <x:v>Российский психиатрический журнал</x:v>
      </x:c>
      <x:c r="L203" s="43" t="str"/>
      <x:c r="M203" s="43" t="str">
        <x:v>Rattus norvegicus</x:v>
      </x:c>
      <x:c r="N203" s="43" t="str">
        <x:v>albino lab rat</x:v>
      </x:c>
      <x:c r="O203" s="43" t="str">
        <x:v>Wistar rat</x:v>
      </x:c>
      <x:c r="P203" s="43" t="str">
        <x:v>16 weeks</x:v>
      </x:c>
      <x:c r="Q203" s="43" t="str">
        <x:v>3 months</x:v>
      </x:c>
      <x:c r="R203" s="43" t="str">
        <x:v>Early, mid, late</x:v>
      </x:c>
      <x:c r="S203" s="43" t="str">
        <x:v>all gestation</x:v>
      </x:c>
      <x:c r="T203" s="43" t="str">
        <x:v>21</x:v>
      </x:c>
      <x:c r="U203" s="43" t="str">
        <x:v>Continuous</x:v>
      </x:c>
      <x:c r="V203" s="43" t="str">
        <x:v>24.0</x:v>
      </x:c>
      <x:c r="W203" s="43" t="str">
        <x:v>Expossed to continuous variable frequencies </x:v>
      </x:c>
      <x:c r="X203" s="43" t="str">
        <x:v>Ultrasound</x:v>
      </x:c>
      <x:c r="Y203" s="43" t="str">
        <x:v>Ultrasound</x:v>
      </x:c>
      <x:c r="Z203" s="43" t="str">
        <x:v>50</x:v>
      </x:c>
      <x:c r="AA203" s="43" t="str">
        <x:v>20,000-45,000</x:v>
      </x:c>
      <x:c r="AB203" s="43" t="str">
        <x:v>Ambient sound</x:v>
      </x:c>
      <x:c r="AC203" s="43" t="str"/>
      <x:c r="AD203" s="43" t="str">
        <x:v>"all females with their pups were kept in individual cages under standard conditions without experimental intervention"</x:v>
      </x:c>
      <x:c r="AE203" s="43" t="str">
        <x:v>male</x:v>
      </x:c>
      <x:c r="AF203" s="43" t="str">
        <x:v>95</x:v>
      </x:c>
      <x:c r="AG203" s="43" t="str"/>
      <x:c r="AH203" s="43" t="str">
        <x:v>none</x:v>
      </x:c>
      <x:c r="AI203" s="43" t="str"/>
      <x:c r="AJ203" s="43" t="str">
        <x:v>Depression</x:v>
      </x:c>
      <x:c r="AK203" s="43" t="str">
        <x:v>Forced Swimming Test (FST)</x:v>
      </x:c>
      <x:c r="AL203" s="43" t="str"/>
      <x:c r="AM203" s="43" t="str">
        <x:v>Total passive swimming</x:v>
      </x:c>
      <x:c r="AN203" s="43" t="str">
        <x:v>Time</x:v>
      </x:c>
      <x:c r="AO203" s="43" t="str">
        <x:v>s</x:v>
      </x:c>
      <x:c r="AP203" s="43" t="str">
        <x:v>Light phase</x:v>
      </x:c>
      <x:c r="AQ203" s="43" t="str">
        <x:v>paper Table 1</x:v>
      </x:c>
      <x:c r="AR203" s="43" t="str">
        <x:v>included_studies/abramova_2023_biopsy/abramova_2023_biopsy_data_calculations.xlsx</x:v>
      </x:c>
      <x:c r="AS203" s="43" t="str">
        <x:v>KON_m_</x:v>
      </x:c>
      <x:c r="AT203" s="43" t="str">
        <x:v>PS_m_</x:v>
      </x:c>
      <x:c r="AU203" s="43" t="str">
        <x:v>KON_PS_m_</x:v>
      </x:c>
      <x:c r="AV203" s="43" t="str">
        <x:v>Independent</x:v>
      </x:c>
      <x:c r="AW203" s="43" t="str">
        <x:v>No</x:v>
      </x:c>
      <x:c r="AX203" s="43" t="str">
        <x:v>Positive</x:v>
      </x:c>
      <x:c r="AY203" s="43" t="str"/>
      <x:c r="AZ203" s="43" t="str">
        <x:v>202.0</x:v>
      </x:c>
      <x:c r="BA203" s="43" t="str">
        <x:v>39.0</x:v>
      </x:c>
      <x:c r="BB203" s="43" t="str">
        <x:v>9</x:v>
      </x:c>
      <x:c r="BC203" s="43" t="str">
        <x:v>13.0</x:v>
      </x:c>
      <x:c r="BD203" s="43" t="str"/>
      <x:c r="BE203" s="43" t="str">
        <x:v>201.0</x:v>
      </x:c>
      <x:c r="BF203" s="43" t="str">
        <x:v>34.7851</x:v>
      </x:c>
      <x:c r="BG203" s="43" t="str">
        <x:v>10</x:v>
      </x:c>
      <x:c r="BH203" s="43" t="str">
        <x:v>11.0</x:v>
      </x:c>
      <x:c r="BI203" s="43" t="str"/>
      <x:c r="BJ203" s="43" t="str">
        <x:v>Mean±SEM</x:v>
      </x:c>
      <x:c r="BK203" s="43" t="str"/>
      <x:c r="BL203" s="43" t="str"/>
      <x:c r="BM203" s="43" t="str"/>
      <x:c r="BN203" s="43" t="str"/>
      <x:c r="BO203" s="43" t="str"/>
      <x:c r="BP203" s="43" t="str"/>
      <x:c r="BQ203" s="43" t="str"/>
      <x:c r="BR203" s="43" t="str">
        <x:v>yes</x:v>
      </x:c>
      <x:c r="BS203" s="43" t="str"/>
      <x:c r="BT203" s="43" t="str"/>
      <x:c r="BU203" s="43" t="str"/>
      <x:c r="BV203" s="43" t="str">
        <x:v>13.0</x:v>
      </x:c>
      <x:c r="BW203" s="43" t="str">
        <x:v>13.0</x:v>
      </x:c>
      <x:c r="BX203" s="43" t="str">
        <x:v>Reported SEM; used unchanged for analysis</x:v>
      </x:c>
      <x:c r="BY203" s="43" t="str">
        <x:v>included_studies/abramova_2023_biopsy/abramova_2023_biopsy_data_calculations.xlsx, Table1_Extract, source row 40</x:v>
      </x:c>
      <x:c r="BZ203" s="43" t="str">
        <x:v>11.0</x:v>
      </x:c>
      <x:c r="CA203" s="43" t="str">
        <x:v>11.0</x:v>
      </x:c>
      <x:c r="CB203" s="43" t="str">
        <x:v>Reported SEM; used unchanged for analysis</x:v>
      </x:c>
      <x:c r="CC203" s="43" t="str">
        <x:v>included_studies/abramova_2023_biopsy/abramova_2023_biopsy_data_calculations.xlsx, Table1_Extract, source row 40</x:v>
      </x:c>
      <x:c r="CD203" s="43" t="str">
        <x:v>Corrected transcription</x:v>
      </x:c>
      <x:c r="CE203" s="43" t="str">
        <x:v>7 – Abramova 2023 identifiers and units</x:v>
      </x:c>
      <x:c r="CF203"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4">
      <x:c r="A204" s="43" t="str">
        <x:v>204</x:v>
      </x:c>
      <x:c r="B204" s="43" t="str">
        <x:v>abramova_2023_biopsy</x:v>
      </x:c>
      <x:c r="C204" s="43" t="str">
        <x:v>ex026</x:v>
      </x:c>
      <x:c r="D204" s="43" t="str">
        <x:v>con022</x:v>
      </x:c>
      <x:c r="E204" s="43" t="str">
        <x:v>out097</x:v>
      </x:c>
      <x:c r="F204" s="43" t="str">
        <x:v>es203</x:v>
      </x:c>
      <x:c r="G204" s="43" t="str">
        <x:v>No</x:v>
      </x:c>
      <x:c r="H204" s="43" t="str">
        <x:v>They had one level of exposure, and two experimental groups, female and males, and one control per group</x:v>
      </x:c>
      <x:c r="I204" s="43" t="str">
        <x:v>Blood BDNF and neuropeptide concentrations as potential biomarkers of behavioral impairments in rats with prenatal ultrasound stress experience</x:v>
      </x:c>
      <x:c r="J204" s="43" t="str"/>
      <x:c r="K204" s="43" t="str">
        <x:v>Российский психиатрический журнал</x:v>
      </x:c>
      <x:c r="L204" s="43" t="str"/>
      <x:c r="M204" s="43" t="str">
        <x:v>Rattus norvegicus</x:v>
      </x:c>
      <x:c r="N204" s="43" t="str">
        <x:v>albino lab rat</x:v>
      </x:c>
      <x:c r="O204" s="43" t="str">
        <x:v>Wistar rat</x:v>
      </x:c>
      <x:c r="P204" s="43" t="str">
        <x:v>16 weeks</x:v>
      </x:c>
      <x:c r="Q204" s="43" t="str">
        <x:v>3 months</x:v>
      </x:c>
      <x:c r="R204" s="43" t="str">
        <x:v>Early, mid, late</x:v>
      </x:c>
      <x:c r="S204" s="43" t="str">
        <x:v>all gestation</x:v>
      </x:c>
      <x:c r="T204" s="43" t="str">
        <x:v>21</x:v>
      </x:c>
      <x:c r="U204" s="43" t="str">
        <x:v>Continuous</x:v>
      </x:c>
      <x:c r="V204" s="43" t="str">
        <x:v>24.0</x:v>
      </x:c>
      <x:c r="W204" s="43" t="str">
        <x:v>Expossed to continuous variable frequencies </x:v>
      </x:c>
      <x:c r="X204" s="43" t="str">
        <x:v>Ultrasound</x:v>
      </x:c>
      <x:c r="Y204" s="43" t="str">
        <x:v>Ultrasound</x:v>
      </x:c>
      <x:c r="Z204" s="43" t="str">
        <x:v>50</x:v>
      </x:c>
      <x:c r="AA204" s="43" t="str">
        <x:v>20,000-45,000</x:v>
      </x:c>
      <x:c r="AB204" s="43" t="str">
        <x:v>Ambient sound</x:v>
      </x:c>
      <x:c r="AC204" s="43" t="str"/>
      <x:c r="AD204" s="43" t="str">
        <x:v>"all females with their pups were kept in individual cages under standard conditions without experimental intervention"</x:v>
      </x:c>
      <x:c r="AE204" s="43" t="str">
        <x:v>female</x:v>
      </x:c>
      <x:c r="AF204" s="43" t="str">
        <x:v>95</x:v>
      </x:c>
      <x:c r="AG204" s="43" t="str"/>
      <x:c r="AH204" s="43" t="str">
        <x:v>none</x:v>
      </x:c>
      <x:c r="AI204" s="43" t="str"/>
      <x:c r="AJ204" s="43" t="str">
        <x:v>Depression</x:v>
      </x:c>
      <x:c r="AK204" s="43" t="str">
        <x:v>Forced Swimming Test (FST)</x:v>
      </x:c>
      <x:c r="AL204" s="43" t="str"/>
      <x:c r="AM204" s="43" t="str">
        <x:v>Total passive swimming</x:v>
      </x:c>
      <x:c r="AN204" s="43" t="str">
        <x:v>Time</x:v>
      </x:c>
      <x:c r="AO204" s="43" t="str">
        <x:v>s</x:v>
      </x:c>
      <x:c r="AP204" s="43" t="str">
        <x:v>Light phase</x:v>
      </x:c>
      <x:c r="AQ204" s="43" t="str">
        <x:v>paper Table 1</x:v>
      </x:c>
      <x:c r="AR204" s="43" t="str">
        <x:v>included_studies/abramova_2023_biopsy/abramova_2023_biopsy_data_calculations.xlsx</x:v>
      </x:c>
      <x:c r="AS204" s="43" t="str">
        <x:v>KON_f_</x:v>
      </x:c>
      <x:c r="AT204" s="43" t="str">
        <x:v>PS_f_</x:v>
      </x:c>
      <x:c r="AU204" s="43" t="str">
        <x:v>KON_PS_f_</x:v>
      </x:c>
      <x:c r="AV204" s="43" t="str">
        <x:v>Independent</x:v>
      </x:c>
      <x:c r="AW204" s="43" t="str">
        <x:v>No</x:v>
      </x:c>
      <x:c r="AX204" s="43" t="str">
        <x:v>Positive</x:v>
      </x:c>
      <x:c r="AY204" s="43" t="str"/>
      <x:c r="AZ204" s="43" t="str">
        <x:v>223.0</x:v>
      </x:c>
      <x:c r="BA204" s="43" t="str">
        <x:v>82.2192</x:v>
      </x:c>
      <x:c r="BB204" s="43" t="str">
        <x:v>10</x:v>
      </x:c>
      <x:c r="BC204" s="43" t="str">
        <x:v>26.0</x:v>
      </x:c>
      <x:c r="BD204" s="43" t="str"/>
      <x:c r="BE204" s="43" t="str">
        <x:v>228.0</x:v>
      </x:c>
      <x:c r="BF204" s="43" t="str">
        <x:v>22.6274</x:v>
      </x:c>
      <x:c r="BG204" s="43" t="str">
        <x:v>8</x:v>
      </x:c>
      <x:c r="BH204" s="43" t="str">
        <x:v>8.0</x:v>
      </x:c>
      <x:c r="BI204" s="43" t="str"/>
      <x:c r="BJ204" s="43" t="str">
        <x:v>Mean±SEM</x:v>
      </x:c>
      <x:c r="BK204" s="43" t="str"/>
      <x:c r="BL204" s="43" t="str"/>
      <x:c r="BM204" s="43" t="str"/>
      <x:c r="BN204" s="43" t="str"/>
      <x:c r="BO204" s="43" t="str"/>
      <x:c r="BP204" s="43" t="str"/>
      <x:c r="BQ204" s="43" t="str"/>
      <x:c r="BR204" s="43" t="str">
        <x:v>yes</x:v>
      </x:c>
      <x:c r="BS204" s="43" t="str"/>
      <x:c r="BT204" s="43" t="str"/>
      <x:c r="BU204" s="43" t="str"/>
      <x:c r="BV204" s="43" t="str">
        <x:v>26.0</x:v>
      </x:c>
      <x:c r="BW204" s="43" t="str">
        <x:v>26.0</x:v>
      </x:c>
      <x:c r="BX204" s="43" t="str">
        <x:v>Reported SEM; used unchanged for analysis</x:v>
      </x:c>
      <x:c r="BY204" s="43" t="str">
        <x:v>included_studies/abramova_2023_biopsy/abramova_2023_biopsy_data_calculations.xlsx, Table1_Extract, source row 41</x:v>
      </x:c>
      <x:c r="BZ204" s="43" t="str">
        <x:v>8.0</x:v>
      </x:c>
      <x:c r="CA204" s="43" t="str">
        <x:v>8.0</x:v>
      </x:c>
      <x:c r="CB204" s="43" t="str">
        <x:v>Reported SEM; used unchanged for analysis</x:v>
      </x:c>
      <x:c r="CC204" s="43" t="str">
        <x:v>included_studies/abramova_2023_biopsy/abramova_2023_biopsy_data_calculations.xlsx, Table1_Extract, source row 41</x:v>
      </x:c>
      <x:c r="CD204" s="43" t="str">
        <x:v>Corrected transcription</x:v>
      </x:c>
      <x:c r="CE204" s="43" t="str">
        <x:v>7 – Abramova 2023 identifiers and units</x:v>
      </x:c>
      <x:c r="CF204"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5">
      <x:c r="A205" s="43" t="str">
        <x:v>205</x:v>
      </x:c>
      <x:c r="B205" s="43" t="str">
        <x:v>abramova_2023_biopsy</x:v>
      </x:c>
      <x:c r="C205" s="43" t="str">
        <x:v>ex025</x:v>
      </x:c>
      <x:c r="D205" s="43" t="str">
        <x:v>con021</x:v>
      </x:c>
      <x:c r="E205" s="43" t="str">
        <x:v>out098</x:v>
      </x:c>
      <x:c r="F205" s="43" t="str">
        <x:v>es204</x:v>
      </x:c>
      <x:c r="G205" s="43" t="str">
        <x:v>No</x:v>
      </x:c>
      <x:c r="H205" s="43" t="str">
        <x:v>They had one level of exposure, and two experimental groups, female and males, and one control per group</x:v>
      </x:c>
      <x:c r="I205" s="43" t="str">
        <x:v>Blood BDNF and neuropeptide concentrations as potential biomarkers of behavioral impairments in rats with prenatal ultrasound stress experience</x:v>
      </x:c>
      <x:c r="J205" s="43" t="str"/>
      <x:c r="K205" s="43" t="str">
        <x:v>Российский психиатрический журнал</x:v>
      </x:c>
      <x:c r="L205" s="43" t="str"/>
      <x:c r="M205" s="43" t="str">
        <x:v>Rattus norvegicus</x:v>
      </x:c>
      <x:c r="N205" s="43" t="str">
        <x:v>albino lab rat</x:v>
      </x:c>
      <x:c r="O205" s="43" t="str">
        <x:v>Wistar rat</x:v>
      </x:c>
      <x:c r="P205" s="43" t="str">
        <x:v>16 weeks</x:v>
      </x:c>
      <x:c r="Q205" s="43" t="str">
        <x:v>3 months</x:v>
      </x:c>
      <x:c r="R205" s="43" t="str">
        <x:v>Early, mid, late</x:v>
      </x:c>
      <x:c r="S205" s="43" t="str">
        <x:v>all gestation</x:v>
      </x:c>
      <x:c r="T205" s="43" t="str">
        <x:v>21</x:v>
      </x:c>
      <x:c r="U205" s="43" t="str">
        <x:v>Continuous</x:v>
      </x:c>
      <x:c r="V205" s="43" t="str">
        <x:v>24.0</x:v>
      </x:c>
      <x:c r="W205" s="43" t="str">
        <x:v>Expossed to continuous variable frequencies </x:v>
      </x:c>
      <x:c r="X205" s="43" t="str">
        <x:v>Ultrasound</x:v>
      </x:c>
      <x:c r="Y205" s="43" t="str">
        <x:v>Ultrasound</x:v>
      </x:c>
      <x:c r="Z205" s="43" t="str">
        <x:v>50</x:v>
      </x:c>
      <x:c r="AA205" s="43" t="str">
        <x:v>20,000-45,000</x:v>
      </x:c>
      <x:c r="AB205" s="43" t="str">
        <x:v>Ambient sound</x:v>
      </x:c>
      <x:c r="AC205" s="43" t="str"/>
      <x:c r="AD205" s="43" t="str">
        <x:v>"all females with their pups were kept in individual cages under standard conditions without experimental intervention"</x:v>
      </x:c>
      <x:c r="AE205" s="43" t="str">
        <x:v>male</x:v>
      </x:c>
      <x:c r="AF205" s="43" t="str">
        <x:v>95</x:v>
      </x:c>
      <x:c r="AG205" s="43" t="str"/>
      <x:c r="AH205" s="43" t="str">
        <x:v>none</x:v>
      </x:c>
      <x:c r="AI205" s="43" t="str"/>
      <x:c r="AJ205" s="43" t="str">
        <x:v>Depression</x:v>
      </x:c>
      <x:c r="AK205" s="43" t="str">
        <x:v>Forced Swimming Test (FST)</x:v>
      </x:c>
      <x:c r="AL205" s="43" t="str"/>
      <x:c r="AM205" s="43" t="str">
        <x:v>Total active swimming</x:v>
      </x:c>
      <x:c r="AN205" s="43" t="str">
        <x:v>Time</x:v>
      </x:c>
      <x:c r="AO205" s="43" t="str">
        <x:v>s</x:v>
      </x:c>
      <x:c r="AP205" s="43" t="str">
        <x:v>Light phase</x:v>
      </x:c>
      <x:c r="AQ205" s="43" t="str">
        <x:v>paper Table 1</x:v>
      </x:c>
      <x:c r="AR205" s="43" t="str">
        <x:v>included_studies/abramova_2023_biopsy/abramova_2023_biopsy_data_calculations.xlsx</x:v>
      </x:c>
      <x:c r="AS205" s="43" t="str">
        <x:v>KON_m_</x:v>
      </x:c>
      <x:c r="AT205" s="43" t="str">
        <x:v>PS_m_</x:v>
      </x:c>
      <x:c r="AU205" s="43" t="str">
        <x:v>KON_PS_m_</x:v>
      </x:c>
      <x:c r="AV205" s="43" t="str">
        <x:v>Independent</x:v>
      </x:c>
      <x:c r="AW205" s="43" t="str">
        <x:v>Yes</x:v>
      </x:c>
      <x:c r="AX205" s="43" t="str">
        <x:v>Negative</x:v>
      </x:c>
      <x:c r="AY205" s="43" t="str"/>
      <x:c r="AZ205" s="43" t="str">
        <x:v>43.0</x:v>
      </x:c>
      <x:c r="BA205" s="43" t="str">
        <x:v>21.0</x:v>
      </x:c>
      <x:c r="BB205" s="43" t="str">
        <x:v>9</x:v>
      </x:c>
      <x:c r="BC205" s="43" t="str">
        <x:v>7.0</x:v>
      </x:c>
      <x:c r="BD205" s="43" t="str"/>
      <x:c r="BE205" s="43" t="str">
        <x:v>22.0</x:v>
      </x:c>
      <x:c r="BF205" s="43" t="str">
        <x:v>15.8114</x:v>
      </x:c>
      <x:c r="BG205" s="43" t="str">
        <x:v>10</x:v>
      </x:c>
      <x:c r="BH205" s="43" t="str">
        <x:v>5.0</x:v>
      </x:c>
      <x:c r="BI205" s="43" t="str"/>
      <x:c r="BJ205" s="43" t="str">
        <x:v>Mean±SEM</x:v>
      </x:c>
      <x:c r="BK205" s="43" t="str"/>
      <x:c r="BL205" s="43" t="str"/>
      <x:c r="BM205" s="43" t="str"/>
      <x:c r="BN205" s="43" t="str"/>
      <x:c r="BO205" s="43" t="str"/>
      <x:c r="BP205" s="43" t="str"/>
      <x:c r="BQ205" s="43" t="str"/>
      <x:c r="BR205" s="43" t="str">
        <x:v>yes</x:v>
      </x:c>
      <x:c r="BS205" s="43" t="str"/>
      <x:c r="BT205" s="43" t="str"/>
      <x:c r="BU205" s="43" t="str"/>
      <x:c r="BV205" s="43" t="str">
        <x:v>7.0</x:v>
      </x:c>
      <x:c r="BW205" s="43" t="str">
        <x:v>7.0</x:v>
      </x:c>
      <x:c r="BX205" s="43" t="str">
        <x:v>Reported SEM; used unchanged for analysis</x:v>
      </x:c>
      <x:c r="BY205" s="43" t="str">
        <x:v>included_studies/abramova_2023_biopsy/abramova_2023_biopsy_data_calculations.xlsx, Table1_Extract, source row 42</x:v>
      </x:c>
      <x:c r="BZ205" s="43" t="str">
        <x:v>5.0</x:v>
      </x:c>
      <x:c r="CA205" s="43" t="str">
        <x:v>5.0</x:v>
      </x:c>
      <x:c r="CB205" s="43" t="str">
        <x:v>Reported SEM; used unchanged for analysis</x:v>
      </x:c>
      <x:c r="CC205" s="43" t="str">
        <x:v>included_studies/abramova_2023_biopsy/abramova_2023_biopsy_data_calculations.xlsx, Table1_Extract, source row 42</x:v>
      </x:c>
      <x:c r="CD205" s="43" t="str">
        <x:v>Corrected transcription</x:v>
      </x:c>
      <x:c r="CE205" s="43" t="str">
        <x:v>7 – Abramova 2023 identifiers and units</x:v>
      </x:c>
      <x:c r="CF205"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6">
      <x:c r="A206" s="43" t="str">
        <x:v>206</x:v>
      </x:c>
      <x:c r="B206" s="43" t="str">
        <x:v>abramova_2023_biopsy</x:v>
      </x:c>
      <x:c r="C206" s="43" t="str">
        <x:v>ex026</x:v>
      </x:c>
      <x:c r="D206" s="43" t="str">
        <x:v>con022</x:v>
      </x:c>
      <x:c r="E206" s="43" t="str">
        <x:v>out098</x:v>
      </x:c>
      <x:c r="F206" s="43" t="str">
        <x:v>es205</x:v>
      </x:c>
      <x:c r="G206" s="43" t="str">
        <x:v>No</x:v>
      </x:c>
      <x:c r="H206" s="43" t="str">
        <x:v>They had one level of exposure, and two experimental groups, female and males, and one control per group</x:v>
      </x:c>
      <x:c r="I206" s="43" t="str">
        <x:v>Blood BDNF and neuropeptide concentrations as potential biomarkers of behavioral impairments in rats with prenatal ultrasound stress experience</x:v>
      </x:c>
      <x:c r="J206" s="43" t="str"/>
      <x:c r="K206" s="43" t="str">
        <x:v>Российский психиатрический журнал</x:v>
      </x:c>
      <x:c r="L206" s="43" t="str"/>
      <x:c r="M206" s="43" t="str">
        <x:v>Rattus norvegicus</x:v>
      </x:c>
      <x:c r="N206" s="43" t="str">
        <x:v>albino lab rat</x:v>
      </x:c>
      <x:c r="O206" s="43" t="str">
        <x:v>Wistar rat</x:v>
      </x:c>
      <x:c r="P206" s="43" t="str">
        <x:v>16 weeks</x:v>
      </x:c>
      <x:c r="Q206" s="43" t="str">
        <x:v>3 months</x:v>
      </x:c>
      <x:c r="R206" s="43" t="str">
        <x:v>Early, mid, late</x:v>
      </x:c>
      <x:c r="S206" s="43" t="str">
        <x:v>all gestation</x:v>
      </x:c>
      <x:c r="T206" s="43" t="str">
        <x:v>21</x:v>
      </x:c>
      <x:c r="U206" s="43" t="str">
        <x:v>Continuous</x:v>
      </x:c>
      <x:c r="V206" s="43" t="str">
        <x:v>24.0</x:v>
      </x:c>
      <x:c r="W206" s="43" t="str">
        <x:v>Expossed to continuous variable frequencies </x:v>
      </x:c>
      <x:c r="X206" s="43" t="str">
        <x:v>Ultrasound</x:v>
      </x:c>
      <x:c r="Y206" s="43" t="str">
        <x:v>Ultrasound</x:v>
      </x:c>
      <x:c r="Z206" s="43" t="str">
        <x:v>50</x:v>
      </x:c>
      <x:c r="AA206" s="43" t="str">
        <x:v>20,000-45,000</x:v>
      </x:c>
      <x:c r="AB206" s="43" t="str">
        <x:v>Ambient sound</x:v>
      </x:c>
      <x:c r="AC206" s="43" t="str"/>
      <x:c r="AD206" s="43" t="str">
        <x:v>"all females with their pups were kept in individual cages under standard conditions without experimental intervention"</x:v>
      </x:c>
      <x:c r="AE206" s="43" t="str">
        <x:v>female</x:v>
      </x:c>
      <x:c r="AF206" s="43" t="str">
        <x:v>95</x:v>
      </x:c>
      <x:c r="AG206" s="43" t="str"/>
      <x:c r="AH206" s="43" t="str">
        <x:v>none</x:v>
      </x:c>
      <x:c r="AI206" s="43" t="str"/>
      <x:c r="AJ206" s="43" t="str">
        <x:v>Depression</x:v>
      </x:c>
      <x:c r="AK206" s="43" t="str">
        <x:v>Forced Swimming Test (FST)</x:v>
      </x:c>
      <x:c r="AL206" s="43" t="str"/>
      <x:c r="AM206" s="43" t="str">
        <x:v>Total active swimming</x:v>
      </x:c>
      <x:c r="AN206" s="43" t="str">
        <x:v>Time</x:v>
      </x:c>
      <x:c r="AO206" s="43" t="str">
        <x:v>s</x:v>
      </x:c>
      <x:c r="AP206" s="43" t="str">
        <x:v>Light phase</x:v>
      </x:c>
      <x:c r="AQ206" s="43" t="str">
        <x:v>paper Table 1</x:v>
      </x:c>
      <x:c r="AR206" s="43" t="str">
        <x:v>included_studies/abramova_2023_biopsy/abramova_2023_biopsy_data_calculations.xlsx</x:v>
      </x:c>
      <x:c r="AS206" s="43" t="str">
        <x:v>KON_f_</x:v>
      </x:c>
      <x:c r="AT206" s="43" t="str">
        <x:v>PS_f_</x:v>
      </x:c>
      <x:c r="AU206" s="43" t="str">
        <x:v>KON_PS_f_</x:v>
      </x:c>
      <x:c r="AV206" s="43" t="str">
        <x:v>Independent</x:v>
      </x:c>
      <x:c r="AW206" s="43" t="str">
        <x:v>Yes</x:v>
      </x:c>
      <x:c r="AX206" s="43" t="str">
        <x:v>Negative</x:v>
      </x:c>
      <x:c r="AY206" s="43" t="str"/>
      <x:c r="AZ206" s="43" t="str">
        <x:v>47.0</x:v>
      </x:c>
      <x:c r="BA206" s="43" t="str">
        <x:v>25.2982</x:v>
      </x:c>
      <x:c r="BB206" s="43" t="str">
        <x:v>10</x:v>
      </x:c>
      <x:c r="BC206" s="43" t="str">
        <x:v>8.0</x:v>
      </x:c>
      <x:c r="BD206" s="43" t="str"/>
      <x:c r="BE206" s="43" t="str">
        <x:v>36.0</x:v>
      </x:c>
      <x:c r="BF206" s="43" t="str">
        <x:v>19.799</x:v>
      </x:c>
      <x:c r="BG206" s="43" t="str">
        <x:v>8</x:v>
      </x:c>
      <x:c r="BH206" s="43" t="str">
        <x:v>7.0</x:v>
      </x:c>
      <x:c r="BI206" s="43" t="str"/>
      <x:c r="BJ206" s="43" t="str">
        <x:v>Mean±SEM</x:v>
      </x:c>
      <x:c r="BK206" s="43" t="str"/>
      <x:c r="BL206" s="43" t="str"/>
      <x:c r="BM206" s="43" t="str"/>
      <x:c r="BN206" s="43" t="str"/>
      <x:c r="BO206" s="43" t="str"/>
      <x:c r="BP206" s="43" t="str"/>
      <x:c r="BQ206" s="43" t="str"/>
      <x:c r="BR206" s="43" t="str">
        <x:v>yes</x:v>
      </x:c>
      <x:c r="BS206" s="43" t="str"/>
      <x:c r="BT206" s="43" t="str"/>
      <x:c r="BU206" s="43" t="str"/>
      <x:c r="BV206" s="43" t="str">
        <x:v>8.0</x:v>
      </x:c>
      <x:c r="BW206" s="43" t="str">
        <x:v>8.0</x:v>
      </x:c>
      <x:c r="BX206" s="43" t="str">
        <x:v>Reported SEM; used unchanged for analysis</x:v>
      </x:c>
      <x:c r="BY206" s="43" t="str">
        <x:v>included_studies/abramova_2023_biopsy/abramova_2023_biopsy_data_calculations.xlsx, Table1_Extract, source row 43</x:v>
      </x:c>
      <x:c r="BZ206" s="43" t="str">
        <x:v>7.0</x:v>
      </x:c>
      <x:c r="CA206" s="43" t="str">
        <x:v>7.0</x:v>
      </x:c>
      <x:c r="CB206" s="43" t="str">
        <x:v>Reported SEM; used unchanged for analysis</x:v>
      </x:c>
      <x:c r="CC206" s="43" t="str">
        <x:v>included_studies/abramova_2023_biopsy/abramova_2023_biopsy_data_calculations.xlsx, Table1_Extract, source row 43</x:v>
      </x:c>
      <x:c r="CD206" s="43" t="str">
        <x:v>Corrected transcription</x:v>
      </x:c>
      <x:c r="CE206" s="43" t="str">
        <x:v>7 – Abramova 2023 identifiers and units</x:v>
      </x:c>
      <x:c r="CF206"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x:v>
      </x:c>
    </x:row>
    <x:row r="207">
      <x:c r="A207" s="43" t="str">
        <x:v>207</x:v>
      </x:c>
      <x:c r="B207" s="43" t="str">
        <x:v>abramova_2023_biopsy</x:v>
      </x:c>
      <x:c r="C207" s="43" t="str">
        <x:v>ex025</x:v>
      </x:c>
      <x:c r="D207" s="43" t="str">
        <x:v>con021</x:v>
      </x:c>
      <x:c r="E207" s="43" t="str">
        <x:v>out099</x:v>
      </x:c>
      <x:c r="F207" s="43" t="str">
        <x:v>es206</x:v>
      </x:c>
      <x:c r="G207" s="43" t="str">
        <x:v>No</x:v>
      </x:c>
      <x:c r="H207" s="43" t="str">
        <x:v>They had one level of exposure, and two experimental groups, female and males, and one control per group</x:v>
      </x:c>
      <x:c r="I207" s="43" t="str">
        <x:v>Blood BDNF and neuropeptide concentrations as potential biomarkers of behavioral impairments in rats with prenatal ultrasound stress experience</x:v>
      </x:c>
      <x:c r="J207" s="43" t="str"/>
      <x:c r="K207" s="43" t="str">
        <x:v>Российский психиатрический журнал</x:v>
      </x:c>
      <x:c r="L207" s="43" t="str"/>
      <x:c r="M207" s="43" t="str">
        <x:v>Rattus norvegicus</x:v>
      </x:c>
      <x:c r="N207" s="43" t="str">
        <x:v>albino lab rat</x:v>
      </x:c>
      <x:c r="O207" s="43" t="str">
        <x:v>Wistar rat</x:v>
      </x:c>
      <x:c r="P207" s="43" t="str">
        <x:v>16 weeks</x:v>
      </x:c>
      <x:c r="Q207" s="43" t="str">
        <x:v>3 months</x:v>
      </x:c>
      <x:c r="R207" s="43" t="str">
        <x:v>Early, mid, late</x:v>
      </x:c>
      <x:c r="S207" s="43" t="str">
        <x:v>all gestation</x:v>
      </x:c>
      <x:c r="T207" s="43" t="str">
        <x:v>21</x:v>
      </x:c>
      <x:c r="U207" s="43" t="str">
        <x:v>Continuous</x:v>
      </x:c>
      <x:c r="V207" s="43" t="str">
        <x:v>24.0</x:v>
      </x:c>
      <x:c r="W207" s="43" t="str">
        <x:v>Expossed to continuous variable frequencies </x:v>
      </x:c>
      <x:c r="X207" s="43" t="str">
        <x:v>Ultrasound</x:v>
      </x:c>
      <x:c r="Y207" s="43" t="str">
        <x:v>Ultrasound</x:v>
      </x:c>
      <x:c r="Z207" s="43" t="str">
        <x:v>50</x:v>
      </x:c>
      <x:c r="AA207" s="43" t="str">
        <x:v>20,000-45,000</x:v>
      </x:c>
      <x:c r="AB207" s="43" t="str">
        <x:v>Ambient sound</x:v>
      </x:c>
      <x:c r="AC207" s="43" t="str"/>
      <x:c r="AD207" s="43" t="str">
        <x:v>"all females with their pups were kept in individual cages under standard conditions without experimental intervention"</x:v>
      </x:c>
      <x:c r="AE207" s="43" t="str">
        <x:v>male</x:v>
      </x:c>
      <x:c r="AF207" s="43" t="str">
        <x:v>95</x:v>
      </x:c>
      <x:c r="AG207" s="43" t="str"/>
      <x:c r="AH207" s="43" t="str">
        <x:v>none</x:v>
      </x:c>
      <x:c r="AI207" s="43" t="str"/>
      <x:c r="AJ207" s="43" t="str">
        <x:v>Depression</x:v>
      </x:c>
      <x:c r="AK207" s="43" t="str">
        <x:v>Forced Swimming Test (FST)</x:v>
      </x:c>
      <x:c r="AL207" s="43" t="str"/>
      <x:c r="AM207" s="43" t="str">
        <x:v>Number of dives</x:v>
      </x:c>
      <x:c r="AN207" s="43" t="str">
        <x:v>Count</x:v>
      </x:c>
      <x:c r="AO207" s="43" t="str">
        <x:v>Count</x:v>
      </x:c>
      <x:c r="AP207" s="43" t="str">
        <x:v>Light phase</x:v>
      </x:c>
      <x:c r="AQ207" s="43" t="str">
        <x:v>paper Table 1</x:v>
      </x:c>
      <x:c r="AR207" s="43" t="str">
        <x:v>included_studies/abramova_2023_biopsy/abramova_2023_biopsy_data_calculations.xlsx</x:v>
      </x:c>
      <x:c r="AS207" s="43" t="str">
        <x:v>KON_m_</x:v>
      </x:c>
      <x:c r="AT207" s="43" t="str">
        <x:v>PS_m_</x:v>
      </x:c>
      <x:c r="AU207" s="43" t="str">
        <x:v>KON_PS_m_</x:v>
      </x:c>
      <x:c r="AV207" s="43" t="str">
        <x:v>Independent</x:v>
      </x:c>
      <x:c r="AW207" s="43" t="str">
        <x:v>Yes</x:v>
      </x:c>
      <x:c r="AX207" s="43" t="str">
        <x:v>Negative</x:v>
      </x:c>
      <x:c r="AY207" s="43" t="str"/>
      <x:c r="AZ207" s="43" t="str"/>
      <x:c r="BA207" s="43" t="str"/>
      <x:c r="BB207" s="43" t="str">
        <x:v>9</x:v>
      </x:c>
      <x:c r="BC207" s="43" t="str"/>
      <x:c r="BD207" s="43" t="str"/>
      <x:c r="BE207" s="43" t="str"/>
      <x:c r="BF207" s="43" t="str"/>
      <x:c r="BG207" s="43" t="str">
        <x:v>10</x:v>
      </x:c>
      <x:c r="BH207" s="43" t="str"/>
      <x:c r="BI207" s="43" t="str"/>
      <x:c r="BJ207" s="43" t="str">
        <x:v>estimated from Median(Q1;Q3)</x:v>
      </x:c>
      <x:c r="BK207" s="43" t="str"/>
      <x:c r="BL207" s="43" t="str">
        <x:v>1.0</x:v>
      </x:c>
      <x:c r="BM207" s="43" t="str">
        <x:v>0.0</x:v>
      </x:c>
      <x:c r="BN207" s="43" t="str">
        <x:v>4.0</x:v>
      </x:c>
      <x:c r="BO207" s="43" t="str">
        <x:v>3.0</x:v>
      </x:c>
      <x:c r="BP207" s="43" t="str">
        <x:v>1.0</x:v>
      </x:c>
      <x:c r="BQ207" s="43" t="str">
        <x:v>4.7</x:v>
      </x:c>
      <x:c r="BR207" s="43" t="str">
        <x:v>yes</x:v>
      </x:c>
      <x:c r="BS207" s="43" t="str">
        <x:v>adjust comments text, add Median(Q1, Q2) values</x:v>
      </x:c>
      <x:c r="BT207" s="43" t="str"/>
      <x:c r="BU207" s="43" t="str"/>
      <x:c r="BV207" s="43" t="str"/>
      <x:c r="BW207" s="43" t="str"/>
      <x:c r="BX207" s="43" t="str">
        <x:v>Not calculated here: median (Q1; Q3) reported; estimation is deferred to reproducible R data wrangling</x:v>
      </x:c>
      <x:c r="BY207" s="43" t="str">
        <x:v>included_studies/abramova_2023_biopsy/abramova_2023_biopsy_data_calculations.xlsx, Table1_Extract, source row 44</x:v>
      </x:c>
      <x:c r="BZ207" s="43" t="str"/>
      <x:c r="CA207" s="43" t="str"/>
      <x:c r="CB207" s="43" t="str">
        <x:v>Not calculated here: median (Q1; Q3) reported; estimation is deferred to reproducible R data wrangling</x:v>
      </x:c>
      <x:c r="CC207" s="43" t="str">
        <x:v>included_studies/abramova_2023_biopsy/abramova_2023_biopsy_data_calculations.xlsx, Table1_Extract, source row 44</x:v>
      </x:c>
      <x:c r="CD207" s="43" t="str">
        <x:v>Analysis decision required</x:v>
      </x:c>
      <x:c r="CE207" s="43" t="str">
        <x:v>7 – Abramova 2023 identifiers and units</x:v>
      </x:c>
      <x:c r="CF207" s="43"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row r="208">
      <x:c r="A208" s="44" t="str">
        <x:v>208</x:v>
      </x:c>
      <x:c r="B208" s="44" t="str">
        <x:v>abramova_2023_biopsy</x:v>
      </x:c>
      <x:c r="C208" s="44" t="str">
        <x:v>ex026</x:v>
      </x:c>
      <x:c r="D208" s="44" t="str">
        <x:v>con022</x:v>
      </x:c>
      <x:c r="E208" s="44" t="str">
        <x:v>out099</x:v>
      </x:c>
      <x:c r="F208" s="44" t="str">
        <x:v>es207</x:v>
      </x:c>
      <x:c r="G208" s="44" t="str">
        <x:v>No</x:v>
      </x:c>
      <x:c r="H208" s="44" t="str">
        <x:v>They had one level of exposure, and two experimental groups, female and males, and one control per group</x:v>
      </x:c>
      <x:c r="I208" s="44" t="str">
        <x:v>Blood BDNF and neuropeptide concentrations as potential biomarkers of behavioral impairments in rats with prenatal ultrasound stress experience</x:v>
      </x:c>
      <x:c r="J208" s="44" t="str"/>
      <x:c r="K208" s="44" t="str">
        <x:v>Российский психиатрический журнал</x:v>
      </x:c>
      <x:c r="L208" s="44" t="str"/>
      <x:c r="M208" s="44" t="str">
        <x:v>Rattus norvegicus</x:v>
      </x:c>
      <x:c r="N208" s="44" t="str">
        <x:v>albino lab rat</x:v>
      </x:c>
      <x:c r="O208" s="44" t="str">
        <x:v>Wistar rat</x:v>
      </x:c>
      <x:c r="P208" s="44" t="str">
        <x:v>16 weeks</x:v>
      </x:c>
      <x:c r="Q208" s="44" t="str">
        <x:v>3 months</x:v>
      </x:c>
      <x:c r="R208" s="44" t="str">
        <x:v>Early, mid, late</x:v>
      </x:c>
      <x:c r="S208" s="44" t="str">
        <x:v>all gestation</x:v>
      </x:c>
      <x:c r="T208" s="44" t="str">
        <x:v>21</x:v>
      </x:c>
      <x:c r="U208" s="44" t="str">
        <x:v>Continuous</x:v>
      </x:c>
      <x:c r="V208" s="44" t="str">
        <x:v>24.0</x:v>
      </x:c>
      <x:c r="W208" s="44" t="str">
        <x:v>Expossed to continuous variable frequencies </x:v>
      </x:c>
      <x:c r="X208" s="44" t="str">
        <x:v>Ultrasound</x:v>
      </x:c>
      <x:c r="Y208" s="44" t="str">
        <x:v>Ultrasound</x:v>
      </x:c>
      <x:c r="Z208" s="44" t="str">
        <x:v>50</x:v>
      </x:c>
      <x:c r="AA208" s="44" t="str">
        <x:v>20,000-45,000</x:v>
      </x:c>
      <x:c r="AB208" s="44" t="str">
        <x:v>Ambient sound</x:v>
      </x:c>
      <x:c r="AC208" s="44" t="str"/>
      <x:c r="AD208" s="44" t="str">
        <x:v>"all females with their pups were kept in individual cages under standard conditions without experimental intervention"</x:v>
      </x:c>
      <x:c r="AE208" s="44" t="str">
        <x:v>female</x:v>
      </x:c>
      <x:c r="AF208" s="44" t="str">
        <x:v>95</x:v>
      </x:c>
      <x:c r="AG208" s="44" t="str"/>
      <x:c r="AH208" s="44" t="str">
        <x:v>none</x:v>
      </x:c>
      <x:c r="AI208" s="44" t="str"/>
      <x:c r="AJ208" s="44" t="str">
        <x:v>Depression</x:v>
      </x:c>
      <x:c r="AK208" s="44" t="str">
        <x:v>Forced Swimming Test (FST)</x:v>
      </x:c>
      <x:c r="AL208" s="44" t="str"/>
      <x:c r="AM208" s="44" t="str">
        <x:v>Number of dives</x:v>
      </x:c>
      <x:c r="AN208" s="44" t="str">
        <x:v>Count</x:v>
      </x:c>
      <x:c r="AO208" s="44" t="str">
        <x:v>Count</x:v>
      </x:c>
      <x:c r="AP208" s="44" t="str">
        <x:v>Light phase</x:v>
      </x:c>
      <x:c r="AQ208" s="44" t="str">
        <x:v>paper Table 1</x:v>
      </x:c>
      <x:c r="AR208" s="44" t="str">
        <x:v>included_studies/abramova_2023_biopsy/abramova_2023_biopsy_data_calculations.xlsx</x:v>
      </x:c>
      <x:c r="AS208" s="44" t="str">
        <x:v>KON_f_</x:v>
      </x:c>
      <x:c r="AT208" s="44" t="str">
        <x:v>PS_f_</x:v>
      </x:c>
      <x:c r="AU208" s="44" t="str">
        <x:v>KON_PS_f_</x:v>
      </x:c>
      <x:c r="AV208" s="44" t="str">
        <x:v>Independent</x:v>
      </x:c>
      <x:c r="AW208" s="44" t="str">
        <x:v>Yes</x:v>
      </x:c>
      <x:c r="AX208" s="44" t="str">
        <x:v>Negative</x:v>
      </x:c>
      <x:c r="AY208" s="44" t="str"/>
      <x:c r="AZ208" s="44" t="str"/>
      <x:c r="BA208" s="44" t="str"/>
      <x:c r="BB208" s="44" t="str">
        <x:v>10</x:v>
      </x:c>
      <x:c r="BC208" s="44" t="str"/>
      <x:c r="BD208" s="44" t="str"/>
      <x:c r="BE208" s="44" t="str"/>
      <x:c r="BF208" s="44" t="str"/>
      <x:c r="BG208" s="44" t="str">
        <x:v>8</x:v>
      </x:c>
      <x:c r="BH208" s="44" t="str"/>
      <x:c r="BI208" s="44" t="str"/>
      <x:c r="BJ208" s="44" t="str">
        <x:v>estimated from Median(Q1;Q3)</x:v>
      </x:c>
      <x:c r="BK208" s="44" t="str"/>
      <x:c r="BL208" s="44" t="str">
        <x:v>0.0</x:v>
      </x:c>
      <x:c r="BM208" s="44" t="str">
        <x:v>0.0</x:v>
      </x:c>
      <x:c r="BN208" s="44" t="str">
        <x:v>1.0</x:v>
      </x:c>
      <x:c r="BO208" s="44" t="str">
        <x:v>1.0</x:v>
      </x:c>
      <x:c r="BP208" s="44" t="str">
        <x:v>0.0</x:v>
      </x:c>
      <x:c r="BQ208" s="44" t="str">
        <x:v>2.0</x:v>
      </x:c>
      <x:c r="BR208" s="44" t="str">
        <x:v>yes</x:v>
      </x:c>
      <x:c r="BS208" s="44" t="str">
        <x:v>adjust comments text, add Median(Q1, Q2) values</x:v>
      </x:c>
      <x:c r="BT208" s="44" t="str"/>
      <x:c r="BU208" s="44" t="str"/>
      <x:c r="BV208" s="44" t="str"/>
      <x:c r="BW208" s="44" t="str"/>
      <x:c r="BX208" s="44" t="str">
        <x:v>Not calculated here: median (Q1; Q3) reported; estimation is deferred to reproducible R data wrangling</x:v>
      </x:c>
      <x:c r="BY208" s="44" t="str">
        <x:v>included_studies/abramova_2023_biopsy/abramova_2023_biopsy_data_calculations.xlsx, Table1_Extract, source row 45</x:v>
      </x:c>
      <x:c r="BZ208" s="44" t="str"/>
      <x:c r="CA208" s="44" t="str"/>
      <x:c r="CB208" s="44" t="str">
        <x:v>Not calculated here: median (Q1; Q3) reported; estimation is deferred to reproducible R data wrangling</x:v>
      </x:c>
      <x:c r="CC208" s="44" t="str">
        <x:v>included_studies/abramova_2023_biopsy/abramova_2023_biopsy_data_calculations.xlsx, Table1_Extract, source row 45</x:v>
      </x:c>
      <x:c r="CD208" s="44" t="str">
        <x:v>Analysis decision required</x:v>
      </x:c>
      <x:c r="CE208" s="44" t="str">
        <x:v>7 – Abramova 2023 identifiers and units</x:v>
      </x:c>
      <x:c r="CF208" s="44" t="str">
        <x:v>Make the control identifier agree with the sex in the paired source row. | Make the exposed identifier agree with the sex in the paired source row. | Make the comparison identifier agree with the sex in the paired source row. | Use the stable path to the saved extraction/calculation workbook. | Choose and implement the central-tendency/dispersion conversion in the R data-wrangling workflow.</x:v>
      </x:c>
    </x:row>
  </x:sheetData>
  <x:conditionalFormatting sqref="CD2:CD208">
    <x:cfRule type="containsText" dxfId="75" priority="1" operator="containsText" text="Verified"/>
    <x:cfRule type="containsText" dxfId="76" priority="2" operator="containsText" text="Corrected transcription"/>
    <x:cfRule type="containsText" dxfId="77" priority="3" operator="containsText" text="Corrected derived value"/>
    <x:cfRule type="containsText" dxfId="78" priority="4" operator="containsText" text="Analysis decision required"/>
    <x:cfRule type="containsText" dxfId="79" priority="5" operator="containsText" text="Source needed"/>
  </x:conditionalFormatting>
  <x:pageMargins left="0.7" right="0.7" top="0.75" bottom="0.75" header="0.3" footer="0.3"/>
  <x:tableParts count="1">
    <x:tablePart xmlns:r="http://schemas.openxmlformats.org/officeDocument/2006/relationships" r:id="R4dc56ef0317c4846"/>
  </x:tableParts>
</x:worksheet>
</file>