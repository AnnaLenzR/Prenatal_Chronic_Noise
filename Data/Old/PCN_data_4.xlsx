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nnalenz/Desktop/ChronicNoise_Rodents/Prenatal_Chronic_Noise/Data/"/>
    </mc:Choice>
  </mc:AlternateContent>
  <xr:revisionPtr revIDLastSave="0" documentId="8_{04C86635-1D44-5546-A707-9455F941B1DA}" xr6:coauthVersionLast="47" xr6:coauthVersionMax="47" xr10:uidLastSave="{00000000-0000-0000-0000-000000000000}"/>
  <bookViews>
    <workbookView xWindow="80" yWindow="600" windowWidth="28720" windowHeight="17400" xr2:uid="{48D47E89-E27E-AF4C-9AF5-93B064316B88}"/>
  </bookViews>
  <sheets>
    <sheet name="Data_extraction" sheetId="1" r:id="rId1"/>
    <sheet name="Codebook" sheetId="2" r:id="rId2"/>
  </sheets>
  <definedNames>
    <definedName name="_xlnm._FilterDatabase" localSheetId="0" hidden="1">Data_extraction!$A$1:$BN$208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2" i="1" l="1"/>
  <c r="AY73" i="1"/>
  <c r="AW95" i="1"/>
  <c r="AY95" i="1" s="1"/>
  <c r="BB2"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BB47" i="1"/>
  <c r="BB46" i="1"/>
  <c r="AW46" i="1"/>
  <c r="AW47" i="1"/>
  <c r="AW70" i="1"/>
  <c r="AY125" i="1" l="1"/>
  <c r="AY126" i="1"/>
  <c r="AY127" i="1"/>
  <c r="AY128" i="1"/>
  <c r="AY129" i="1"/>
  <c r="AY130" i="1"/>
  <c r="AY113" i="1"/>
  <c r="AY114" i="1"/>
  <c r="AY115" i="1"/>
  <c r="AY116" i="1"/>
  <c r="AY117" i="1"/>
  <c r="AY118" i="1"/>
  <c r="AY119" i="1"/>
  <c r="AY120" i="1"/>
  <c r="AY121" i="1"/>
  <c r="AY122" i="1"/>
  <c r="AY123" i="1"/>
  <c r="AY124" i="1"/>
  <c r="BD74" i="1"/>
  <c r="BD73" i="1"/>
  <c r="AY74" i="1"/>
  <c r="BB66" i="1"/>
  <c r="BB67" i="1"/>
  <c r="BB68" i="1"/>
  <c r="BB69" i="1"/>
  <c r="BB70" i="1"/>
  <c r="BB71" i="1"/>
  <c r="BB72" i="1"/>
  <c r="BB65" i="1"/>
  <c r="AW66" i="1"/>
  <c r="AW67" i="1"/>
  <c r="AW68" i="1"/>
  <c r="AW69" i="1"/>
  <c r="AW71" i="1"/>
  <c r="AW72" i="1"/>
  <c r="AW65" i="1"/>
  <c r="BB3" i="1"/>
  <c r="BB4" i="1"/>
  <c r="AW3" i="1"/>
  <c r="AW4" i="1"/>
  <c r="BB130" i="1"/>
  <c r="BD130" i="1" s="1"/>
  <c r="BB129" i="1"/>
  <c r="BD129" i="1" s="1"/>
  <c r="BB128" i="1"/>
  <c r="BD128" i="1" s="1"/>
  <c r="BB127" i="1"/>
  <c r="BD127" i="1" s="1"/>
  <c r="BB126" i="1"/>
  <c r="BD126" i="1" s="1"/>
  <c r="BB125" i="1"/>
  <c r="BD125" i="1" s="1"/>
  <c r="BB124" i="1"/>
  <c r="BD124" i="1" s="1"/>
  <c r="BB123" i="1"/>
  <c r="BD123" i="1" s="1"/>
  <c r="BB122" i="1"/>
  <c r="BD122" i="1" s="1"/>
  <c r="BB121" i="1"/>
  <c r="BD121" i="1" s="1"/>
  <c r="BB120" i="1"/>
  <c r="BD120" i="1" s="1"/>
  <c r="BB119" i="1"/>
  <c r="BD119" i="1" s="1"/>
  <c r="BB118" i="1"/>
  <c r="BD118" i="1" s="1"/>
  <c r="BB117" i="1"/>
  <c r="BD117" i="1" s="1"/>
  <c r="BB116" i="1"/>
  <c r="BD116" i="1" s="1"/>
  <c r="BB115" i="1"/>
  <c r="BD115" i="1" s="1"/>
  <c r="BB114" i="1"/>
  <c r="BD114" i="1" s="1"/>
  <c r="BB113" i="1"/>
  <c r="BD113" i="1" s="1"/>
  <c r="BB96" i="1"/>
  <c r="BD96" i="1" s="1"/>
  <c r="BB97" i="1"/>
  <c r="BD97" i="1" s="1"/>
  <c r="BB98" i="1"/>
  <c r="BD98" i="1" s="1"/>
  <c r="BB99" i="1"/>
  <c r="BD99" i="1" s="1"/>
  <c r="BB100" i="1"/>
  <c r="BD100" i="1" s="1"/>
  <c r="BB101" i="1"/>
  <c r="BD101" i="1" s="1"/>
  <c r="BB102" i="1"/>
  <c r="BD102" i="1" s="1"/>
  <c r="BB103" i="1"/>
  <c r="BD103" i="1" s="1"/>
  <c r="BB104" i="1"/>
  <c r="BD104" i="1" s="1"/>
  <c r="BB105" i="1"/>
  <c r="BD105" i="1" s="1"/>
  <c r="BB106" i="1"/>
  <c r="BD106" i="1" s="1"/>
  <c r="BB107" i="1"/>
  <c r="BD107" i="1" s="1"/>
  <c r="BB108" i="1"/>
  <c r="BD108" i="1" s="1"/>
  <c r="BB109" i="1"/>
  <c r="BD109" i="1" s="1"/>
  <c r="BB110" i="1"/>
  <c r="BD110" i="1" s="1"/>
  <c r="BB111" i="1"/>
  <c r="BD111" i="1" s="1"/>
  <c r="BB112" i="1"/>
  <c r="BD112" i="1" s="1"/>
  <c r="BB95" i="1"/>
  <c r="BD95" i="1" s="1"/>
  <c r="AY96" i="1"/>
  <c r="AY97" i="1"/>
  <c r="AY98" i="1"/>
  <c r="AY99" i="1"/>
  <c r="AY100" i="1"/>
  <c r="AY101" i="1"/>
  <c r="AY102" i="1"/>
  <c r="AY103" i="1"/>
  <c r="AY104" i="1"/>
  <c r="AY105" i="1"/>
  <c r="AY106" i="1"/>
  <c r="AY107" i="1"/>
  <c r="AY108" i="1"/>
  <c r="AY109" i="1"/>
  <c r="AY110" i="1"/>
  <c r="AY111" i="1"/>
  <c r="AY1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Lenz</author>
    <author>tc={6EECF968-78D2-4EE0-9895-AD1F5FD9E8FA}</author>
    <author>tc={A290C4DE-1012-40B7-91EC-3FE0E447A2FE}</author>
    <author>tc={E72A2126-37EC-45B6-A096-3031C81AD351}</author>
    <author>tc={19D7FDC9-9535-4D97-8473-30C4255A9C45}</author>
    <author>tc={0287395B-0474-452E-AB2D-F9892862EE4B}</author>
    <author>tc={44CDFBB0-EBB2-4426-B6B1-65B909916502}</author>
  </authors>
  <commentList>
    <comment ref="A1" authorId="0" shapeId="0" xr:uid="{209CAD7C-992A-1E44-9992-5BB5A0B3CF2B}">
      <text>
        <r>
          <rPr>
            <b/>
            <sz val="10"/>
            <color rgb="FF000000"/>
            <rFont val="Tahoma"/>
            <family val="2"/>
          </rPr>
          <t>Anna Lenz:</t>
        </r>
        <r>
          <rPr>
            <sz val="10"/>
            <color rgb="FF000000"/>
            <rFont val="Tahoma"/>
            <family val="2"/>
          </rPr>
          <t xml:space="preserve">
</t>
        </r>
        <r>
          <rPr>
            <sz val="10"/>
            <color rgb="FF000000"/>
            <rFont val="Aptos Narrow"/>
          </rPr>
          <t xml:space="preserve">Unique identifier for the study. The format will be, in lower case, “first author_year_journal abbreviation.” E.g., smith_2023_jneurosc
</t>
        </r>
      </text>
    </comment>
    <comment ref="B1" authorId="0" shapeId="0" xr:uid="{A77931B9-9A89-4A46-A522-86F7E7933B1D}">
      <text>
        <r>
          <rPr>
            <b/>
            <sz val="10"/>
            <color rgb="FF000000"/>
            <rFont val="Tahoma"/>
            <family val="2"/>
          </rPr>
          <t>Anna Lenz:</t>
        </r>
        <r>
          <rPr>
            <sz val="10"/>
            <color rgb="FF000000"/>
            <rFont val="Tahoma"/>
            <family val="2"/>
          </rPr>
          <t xml:space="preserve">
</t>
        </r>
        <r>
          <rPr>
            <sz val="10"/>
            <color rgb="FF000000"/>
            <rFont val="Aptos Narrow"/>
          </rPr>
          <t xml:space="preserve">Unique identifier for each independent experiment involving unique cohorts of animals within a study, using a sequential numerical format (e.g., ex001, ex002). E.g., if a single cohort of animals is assessed using multiple different assays this is still considered a single experiment (ex001) with multiple outcome measures </t>
        </r>
      </text>
    </comment>
    <comment ref="C1" authorId="0" shapeId="0" xr:uid="{A0EF6D75-69F2-F545-98A2-726A2F97CA61}">
      <text>
        <r>
          <rPr>
            <b/>
            <sz val="10"/>
            <color rgb="FF000000"/>
            <rFont val="Tahoma"/>
            <family val="2"/>
          </rPr>
          <t>Anna Lenz:</t>
        </r>
        <r>
          <rPr>
            <sz val="10"/>
            <color rgb="FF000000"/>
            <rFont val="Tahoma"/>
            <family val="2"/>
          </rPr>
          <t xml:space="preserve">
</t>
        </r>
        <r>
          <rPr>
            <sz val="10"/>
            <color rgb="FF000000"/>
            <rFont val="Tahoma"/>
            <family val="2"/>
          </rPr>
          <t>unique control id</t>
        </r>
      </text>
    </comment>
    <comment ref="D1" authorId="0" shapeId="0" xr:uid="{C9FA10D9-CB6B-8843-9F67-7E9F65583D47}">
      <text>
        <r>
          <rPr>
            <b/>
            <sz val="10"/>
            <color rgb="FF000000"/>
            <rFont val="Tahoma"/>
            <family val="2"/>
          </rPr>
          <t>Anna Lenz:</t>
        </r>
        <r>
          <rPr>
            <sz val="10"/>
            <color rgb="FF000000"/>
            <rFont val="Tahoma"/>
            <family val="2"/>
          </rPr>
          <t xml:space="preserve">
</t>
        </r>
        <r>
          <rPr>
            <sz val="10"/>
            <color rgb="FF000000"/>
            <rFont val="Aptos Narrow"/>
          </rPr>
          <t xml:space="preserve">Unique identifier for each measurement assay or outcome reported for a specific cohort (e.g., out001, out002) </t>
        </r>
      </text>
    </comment>
    <comment ref="E1" authorId="0" shapeId="0" xr:uid="{45A8910E-1D2D-734C-9C98-01BFBA2EE774}">
      <text>
        <r>
          <rPr>
            <b/>
            <sz val="10"/>
            <color rgb="FF000000"/>
            <rFont val="Tahoma"/>
            <family val="2"/>
          </rPr>
          <t>Anna Lenz:</t>
        </r>
        <r>
          <rPr>
            <sz val="10"/>
            <color rgb="FF000000"/>
            <rFont val="Tahoma"/>
            <family val="2"/>
          </rPr>
          <t xml:space="preserve">
</t>
        </r>
        <r>
          <rPr>
            <sz val="10"/>
            <color rgb="FF000000"/>
            <rFont val="Aptos Narrow"/>
          </rPr>
          <t xml:space="preserve">Effect size ID – A unique identifier for each control–experimental pair of measurements (exposure-control) used to calculate an effect size (e.g., es0001) </t>
        </r>
      </text>
    </comment>
    <comment ref="F1" authorId="0" shapeId="0" xr:uid="{B810B0A7-5158-9D4E-A840-577990ADA382}">
      <text>
        <r>
          <rPr>
            <b/>
            <sz val="10"/>
            <color rgb="FF000000"/>
            <rFont val="Tahoma"/>
            <family val="2"/>
          </rPr>
          <t>Anna Lenz:</t>
        </r>
        <r>
          <rPr>
            <sz val="10"/>
            <color rgb="FF000000"/>
            <rFont val="Tahoma"/>
            <family val="2"/>
          </rPr>
          <t xml:space="preserve">
</t>
        </r>
        <r>
          <rPr>
            <sz val="10"/>
            <color rgb="FF000000"/>
            <rFont val="Tahoma"/>
            <family val="2"/>
          </rPr>
          <t>if they use the same control group in different experiments: yes/no</t>
        </r>
      </text>
    </comment>
    <comment ref="G1" authorId="0" shapeId="0" xr:uid="{053FA913-1AE0-1F4A-8FED-1BD2039DAE54}">
      <text>
        <r>
          <rPr>
            <b/>
            <sz val="10"/>
            <color rgb="FF000000"/>
            <rFont val="Tahoma"/>
            <family val="2"/>
          </rPr>
          <t>Anna Lenz:</t>
        </r>
        <r>
          <rPr>
            <sz val="10"/>
            <color rgb="FF000000"/>
            <rFont val="Tahoma"/>
            <family val="2"/>
          </rPr>
          <t xml:space="preserve">
</t>
        </r>
        <r>
          <rPr>
            <sz val="10"/>
            <color rgb="FF000000"/>
            <rFont val="Aptos Narrow"/>
          </rPr>
          <t xml:space="preserve">Notes regarding the identifier for experimental cohorts of animals </t>
        </r>
      </text>
    </comment>
    <comment ref="H1" authorId="0" shapeId="0" xr:uid="{BACC34D1-5E78-AA49-95AD-346F77C4481E}">
      <text>
        <r>
          <rPr>
            <b/>
            <sz val="10"/>
            <color rgb="FF000000"/>
            <rFont val="Tahoma"/>
            <family val="2"/>
          </rPr>
          <t>Anna Lenz:</t>
        </r>
        <r>
          <rPr>
            <sz val="10"/>
            <color rgb="FF000000"/>
            <rFont val="Tahoma"/>
            <family val="2"/>
          </rPr>
          <t xml:space="preserve">
</t>
        </r>
        <r>
          <rPr>
            <sz val="10"/>
            <color rgb="FF000000"/>
            <rFont val="Aptos Narrow"/>
          </rPr>
          <t xml:space="preserve">Title of the study </t>
        </r>
      </text>
    </comment>
    <comment ref="I1" authorId="0" shapeId="0" xr:uid="{EB85456A-CA70-D64B-A47B-A69E54F17FAC}">
      <text>
        <r>
          <rPr>
            <b/>
            <sz val="10"/>
            <color rgb="FF000000"/>
            <rFont val="Tahoma"/>
            <family val="2"/>
          </rPr>
          <t>Anna Lenz:</t>
        </r>
        <r>
          <rPr>
            <sz val="10"/>
            <color rgb="FF000000"/>
            <rFont val="Tahoma"/>
            <family val="2"/>
          </rPr>
          <t xml:space="preserve">
</t>
        </r>
        <r>
          <rPr>
            <sz val="10"/>
            <color rgb="FF000000"/>
            <rFont val="Aptos Narrow"/>
          </rPr>
          <t xml:space="preserve">Short form DOI of the study (starting with “10.”) </t>
        </r>
      </text>
    </comment>
    <comment ref="J1" authorId="0" shapeId="0" xr:uid="{A2BCECE9-64DE-1B4A-B4C7-7508BEB1668E}">
      <text>
        <r>
          <rPr>
            <b/>
            <sz val="10"/>
            <color rgb="FF000000"/>
            <rFont val="Tahoma"/>
            <family val="2"/>
          </rPr>
          <t>Anna Lenz:</t>
        </r>
        <r>
          <rPr>
            <sz val="10"/>
            <color rgb="FF000000"/>
            <rFont val="Tahoma"/>
            <family val="2"/>
          </rPr>
          <t xml:space="preserve">
</t>
        </r>
        <r>
          <rPr>
            <sz val="10"/>
            <color rgb="FF000000"/>
            <rFont val="Aptos Narrow"/>
          </rPr>
          <t xml:space="preserve">The full name of the publisher. For journal articles, this will be the journal name; for theses, the university name </t>
        </r>
      </text>
    </comment>
    <comment ref="K1" authorId="0" shapeId="0" xr:uid="{BACC80F7-764A-244F-B377-FC4FF4A1DCA0}">
      <text>
        <r>
          <rPr>
            <b/>
            <sz val="10"/>
            <color rgb="FF000000"/>
            <rFont val="Tahoma"/>
            <family val="2"/>
          </rPr>
          <t>Anna Lenz:</t>
        </r>
        <r>
          <rPr>
            <sz val="10"/>
            <color rgb="FF000000"/>
            <rFont val="Tahoma"/>
            <family val="2"/>
          </rPr>
          <t xml:space="preserve">
</t>
        </r>
        <r>
          <rPr>
            <sz val="10"/>
            <color rgb="FF000000"/>
            <rFont val="Aptos Narrow"/>
          </rPr>
          <t xml:space="preserve">Comments regarding the identifier for outcomes </t>
        </r>
      </text>
    </comment>
    <comment ref="L1" authorId="0" shapeId="0" xr:uid="{5831FF0B-61AC-5E42-AC69-352202D3439C}">
      <text>
        <r>
          <rPr>
            <b/>
            <sz val="10"/>
            <color rgb="FF000000"/>
            <rFont val="Tahoma"/>
            <family val="2"/>
          </rPr>
          <t>Anna Lenz:</t>
        </r>
        <r>
          <rPr>
            <sz val="10"/>
            <color rgb="FF000000"/>
            <rFont val="Tahoma"/>
            <family val="2"/>
          </rPr>
          <t xml:space="preserve">
</t>
        </r>
        <r>
          <rPr>
            <sz val="10"/>
            <color rgb="FF000000"/>
            <rFont val="Aptos Narrow"/>
          </rPr>
          <t xml:space="preserve">Latin binomial nomenclature of the model animal </t>
        </r>
      </text>
    </comment>
    <comment ref="M1" authorId="0" shapeId="0" xr:uid="{82A78685-5ED8-4A4C-9411-AA78DD16E313}">
      <text>
        <r>
          <rPr>
            <b/>
            <sz val="10"/>
            <color rgb="FF000000"/>
            <rFont val="Tahoma"/>
            <family val="2"/>
          </rPr>
          <t>Anna Lenz:</t>
        </r>
        <r>
          <rPr>
            <sz val="10"/>
            <color rgb="FF000000"/>
            <rFont val="Tahoma"/>
            <family val="2"/>
          </rPr>
          <t xml:space="preserve">
</t>
        </r>
        <r>
          <rPr>
            <sz val="10"/>
            <color rgb="FF000000"/>
            <rFont val="Aptos Narrow"/>
          </rPr>
          <t xml:space="preserve">The common name of the model animal </t>
        </r>
      </text>
    </comment>
    <comment ref="N1" authorId="0" shapeId="0" xr:uid="{CFEEAE0E-CDF6-E647-AE1C-3B7F69F46098}">
      <text>
        <r>
          <rPr>
            <b/>
            <sz val="10"/>
            <color rgb="FF000000"/>
            <rFont val="Tahoma"/>
            <family val="2"/>
          </rPr>
          <t>Anna Lenz:</t>
        </r>
        <r>
          <rPr>
            <sz val="10"/>
            <color rgb="FF000000"/>
            <rFont val="Tahoma"/>
            <family val="2"/>
          </rPr>
          <t xml:space="preserve">
</t>
        </r>
        <r>
          <rPr>
            <sz val="10"/>
            <color rgb="FF000000"/>
            <rFont val="Aptos Narrow"/>
            <scheme val="minor"/>
          </rPr>
          <t>Strain/breed of the model animal</t>
        </r>
        <r>
          <rPr>
            <sz val="10"/>
            <color rgb="FF000000"/>
            <rFont val="Aptos Narrow"/>
            <scheme val="minor"/>
          </rPr>
          <t xml:space="preserve"> </t>
        </r>
      </text>
    </comment>
    <comment ref="O1" authorId="0" shapeId="0" xr:uid="{96023C8D-F230-FB49-9308-6CEED30C4CA4}">
      <text>
        <r>
          <rPr>
            <b/>
            <sz val="10"/>
            <color rgb="FF000000"/>
            <rFont val="Tahoma"/>
            <family val="2"/>
          </rPr>
          <t>Anna Lenz:</t>
        </r>
        <r>
          <rPr>
            <sz val="10"/>
            <color rgb="FF000000"/>
            <rFont val="Tahoma"/>
            <family val="2"/>
          </rPr>
          <t xml:space="preserve">
</t>
        </r>
        <r>
          <rPr>
            <sz val="12"/>
            <color rgb="FF000000"/>
            <rFont val="Calibri"/>
            <family val="34"/>
          </rPr>
          <t>The dam’s age at the start o f the gestation, measured in weeks. Only numbers, if they provide a range of numbers, write the mid point (e.g., 4-6 weeks = 5 weeks</t>
        </r>
      </text>
    </comment>
    <comment ref="Q1" authorId="0" shapeId="0" xr:uid="{06650EC3-B7F7-4247-B5C0-4937AA9FBAC5}">
      <text>
        <r>
          <rPr>
            <b/>
            <sz val="9"/>
            <color rgb="FF000000"/>
            <rFont val="Tahoma"/>
            <family val="2"/>
          </rPr>
          <t>Anna Lenz:</t>
        </r>
        <r>
          <rPr>
            <sz val="9"/>
            <color rgb="FF000000"/>
            <rFont val="Aptos Narrow"/>
          </rPr>
          <t xml:space="preserve"> 
</t>
        </r>
        <r>
          <rPr>
            <sz val="10"/>
            <color rgb="FF000000"/>
            <rFont val="Aptos Narrow"/>
          </rPr>
          <t>Gestational stage when the dams were exposed to chronic noise. This includes, “early” stage (Day 0-7), “mid” gestation (Day 8-14), “late” gestation (Day 15 to term), or combination of these values. If not reported or unclear, code as “Not reported” or “Unclear”, respectively</t>
        </r>
        <r>
          <rPr>
            <sz val="9"/>
            <color rgb="FF000000"/>
            <rFont val="Aptos Narrow"/>
          </rPr>
          <t xml:space="preserve"> </t>
        </r>
      </text>
    </comment>
    <comment ref="R1" authorId="0" shapeId="0" xr:uid="{B330568D-7D34-3C44-9D7F-F1C0D9104948}">
      <text>
        <r>
          <rPr>
            <b/>
            <sz val="10"/>
            <color rgb="FF000000"/>
            <rFont val="Tahoma"/>
            <family val="2"/>
          </rPr>
          <t>Anna Lenz:</t>
        </r>
        <r>
          <rPr>
            <sz val="10"/>
            <color rgb="FF000000"/>
            <rFont val="Tahoma"/>
            <family val="2"/>
          </rPr>
          <t xml:space="preserve">
</t>
        </r>
        <r>
          <rPr>
            <sz val="10"/>
            <color rgb="FF000000"/>
            <rFont val="Aptos Narrow"/>
          </rPr>
          <t xml:space="preserve">Notes concerning the gestation stages at which the dams were exposed to chronic noise </t>
        </r>
      </text>
    </comment>
    <comment ref="S1" authorId="0" shapeId="0" xr:uid="{EC63A8BF-5C22-1549-ACF1-86A1BE4D7A35}">
      <text>
        <r>
          <rPr>
            <b/>
            <sz val="10"/>
            <color rgb="FF000000"/>
            <rFont val="Tahoma"/>
            <family val="2"/>
          </rPr>
          <t>Anna Lenz:</t>
        </r>
        <r>
          <rPr>
            <sz val="10"/>
            <color rgb="FF000000"/>
            <rFont val="Tahoma"/>
            <family val="2"/>
          </rPr>
          <t xml:space="preserve">
</t>
        </r>
        <r>
          <rPr>
            <sz val="10"/>
            <color rgb="FF000000"/>
            <rFont val="Aptos Narrow"/>
          </rPr>
          <t xml:space="preserve">Total number of days the dam was exposed to the chronic noise. If it is not specified, code as “Not Specified” </t>
        </r>
      </text>
    </comment>
    <comment ref="T1" authorId="0" shapeId="0" xr:uid="{7AC7951C-3C8A-314C-B12B-B6AFDC14B896}">
      <text>
        <r>
          <rPr>
            <b/>
            <sz val="10"/>
            <color rgb="FF000000"/>
            <rFont val="Tahoma"/>
            <family val="2"/>
          </rPr>
          <t>Anna Lenz:</t>
        </r>
        <r>
          <rPr>
            <sz val="10"/>
            <color rgb="FF000000"/>
            <rFont val="Tahoma"/>
            <family val="2"/>
          </rPr>
          <t xml:space="preserve">
</t>
        </r>
        <r>
          <rPr>
            <sz val="10"/>
            <color rgb="FF000000"/>
            <rFont val="Aptos Narrow"/>
          </rPr>
          <t xml:space="preserve">Code the noise exposure as “Intermittent” if they played noise for some hours per days, or “Continuous” if they never turn the noise off during the total exposure duration </t>
        </r>
      </text>
    </comment>
    <comment ref="U1" authorId="0" shapeId="0" xr:uid="{46680330-1EC2-434C-B048-EE7581EDC6EF}">
      <text>
        <r>
          <rPr>
            <b/>
            <sz val="10"/>
            <color rgb="FF000000"/>
            <rFont val="Tahoma"/>
            <family val="2"/>
          </rPr>
          <t>Anna Lenz:</t>
        </r>
        <r>
          <rPr>
            <sz val="10"/>
            <color rgb="FF000000"/>
            <rFont val="Tahoma"/>
            <family val="2"/>
          </rPr>
          <t xml:space="preserve">
</t>
        </r>
        <r>
          <rPr>
            <sz val="10"/>
            <color rgb="FF000000"/>
            <rFont val="Aptos Narrow"/>
          </rPr>
          <t xml:space="preserve">Only if the exposure was intermittent, is the number of daily hours of exposure. </t>
        </r>
      </text>
    </comment>
    <comment ref="V1" authorId="0" shapeId="0" xr:uid="{D374D8C4-899B-3347-B691-03C2506AA6BB}">
      <text>
        <r>
          <rPr>
            <b/>
            <sz val="10"/>
            <color rgb="FF000000"/>
            <rFont val="Tahoma"/>
            <family val="2"/>
          </rPr>
          <t>Anna Lenz:</t>
        </r>
        <r>
          <rPr>
            <sz val="10"/>
            <color rgb="FF000000"/>
            <rFont val="Tahoma"/>
            <family val="2"/>
          </rPr>
          <t xml:space="preserve">
</t>
        </r>
        <r>
          <rPr>
            <sz val="10"/>
            <color rgb="FF000000"/>
            <rFont val="Aptos Narrow"/>
          </rPr>
          <t xml:space="preserve">Notes related to the relative to the exposure timing </t>
        </r>
      </text>
    </comment>
    <comment ref="W1" authorId="0" shapeId="0" xr:uid="{F9EA1D70-980A-5440-9D0F-C2E7E523C049}">
      <text>
        <r>
          <rPr>
            <b/>
            <sz val="10"/>
            <color rgb="FF000000"/>
            <rFont val="Tahoma"/>
            <family val="2"/>
          </rPr>
          <t>Anna Lenz:</t>
        </r>
        <r>
          <rPr>
            <sz val="10"/>
            <color rgb="FF000000"/>
            <rFont val="Tahoma"/>
            <family val="2"/>
          </rPr>
          <t xml:space="preserve">
</t>
        </r>
        <r>
          <rPr>
            <sz val="10"/>
            <color rgb="FF000000"/>
            <rFont val="Aptos Narrow"/>
          </rPr>
          <t xml:space="preserve">State the type of noise they used as the author states (Synthetic noise, traffic playback, ultrasonic, other) </t>
        </r>
      </text>
    </comment>
    <comment ref="X1" authorId="0" shapeId="0" xr:uid="{7F4B3428-5CDA-7A4C-834D-384DC6CB73D5}">
      <text>
        <r>
          <rPr>
            <b/>
            <sz val="10"/>
            <color rgb="FF000000"/>
            <rFont val="Tahoma"/>
            <family val="2"/>
          </rPr>
          <t>Anna Lenz:</t>
        </r>
        <r>
          <rPr>
            <sz val="10"/>
            <color rgb="FF000000"/>
            <rFont val="Tahoma"/>
            <family val="2"/>
          </rPr>
          <t xml:space="preserve">
</t>
        </r>
        <r>
          <rPr>
            <sz val="10"/>
            <color rgb="FF000000"/>
            <rFont val="Aptos Narrow"/>
          </rPr>
          <t xml:space="preserve">Loudness of the sound in decibels </t>
        </r>
      </text>
    </comment>
    <comment ref="Y1" authorId="0" shapeId="0" xr:uid="{A8F3053F-B563-BB44-AC23-EA16552C9C7F}">
      <text>
        <r>
          <rPr>
            <b/>
            <sz val="10"/>
            <color rgb="FF000000"/>
            <rFont val="Tahoma"/>
            <family val="2"/>
          </rPr>
          <t>Anna Lenz:</t>
        </r>
        <r>
          <rPr>
            <sz val="10"/>
            <color rgb="FF000000"/>
            <rFont val="Tahoma"/>
            <family val="2"/>
          </rPr>
          <t xml:space="preserve">
</t>
        </r>
        <r>
          <rPr>
            <sz val="10"/>
            <color rgb="FF000000"/>
            <rFont val="Aptos Narrow"/>
          </rPr>
          <t xml:space="preserve">Frequency of the speakers used, in hertz </t>
        </r>
      </text>
    </comment>
    <comment ref="Z1" authorId="0" shapeId="0" xr:uid="{C004F41C-70C0-6846-863D-AC5C39370BDB}">
      <text>
        <r>
          <rPr>
            <b/>
            <sz val="10"/>
            <color rgb="FF000000"/>
            <rFont val="Tahoma"/>
            <family val="2"/>
          </rPr>
          <t>Anna Lenz:</t>
        </r>
        <r>
          <rPr>
            <sz val="10"/>
            <color rgb="FF000000"/>
            <rFont val="Tahoma"/>
            <family val="2"/>
          </rPr>
          <t xml:space="preserve">
</t>
        </r>
        <r>
          <rPr>
            <sz val="10"/>
            <color rgb="FF000000"/>
            <rFont val="Aptos Narrow"/>
          </rPr>
          <t>Conditions under which the control animals were kept during the noise exposure phase: Silence, Ambient sound; White noise; Unclear; Other</t>
        </r>
      </text>
    </comment>
    <comment ref="AA1" authorId="0" shapeId="0" xr:uid="{18F86ECB-4264-6840-9A5A-16E588655059}">
      <text>
        <r>
          <rPr>
            <b/>
            <sz val="10"/>
            <color rgb="FF000000"/>
            <rFont val="Tahoma"/>
            <family val="2"/>
          </rPr>
          <t>Anna Lenz:</t>
        </r>
        <r>
          <rPr>
            <sz val="10"/>
            <color rgb="FF000000"/>
            <rFont val="Tahoma"/>
            <family val="2"/>
          </rPr>
          <t xml:space="preserve">
</t>
        </r>
        <r>
          <rPr>
            <sz val="10"/>
            <color rgb="FF000000"/>
            <rFont val="Aptos Narrow"/>
          </rPr>
          <t xml:space="preserve">Loudness of the control conditions in decibels, if provided </t>
        </r>
      </text>
    </comment>
    <comment ref="AB1" authorId="0" shapeId="0" xr:uid="{8BF45332-BFCF-3144-9325-E02CEE54ADAF}">
      <text>
        <r>
          <rPr>
            <b/>
            <sz val="10"/>
            <color rgb="FF000000"/>
            <rFont val="Tahoma"/>
            <family val="2"/>
          </rPr>
          <t>Anna Lenz:</t>
        </r>
        <r>
          <rPr>
            <sz val="10"/>
            <color rgb="FF000000"/>
            <rFont val="Tahoma"/>
            <family val="2"/>
          </rPr>
          <t xml:space="preserve">
</t>
        </r>
        <r>
          <rPr>
            <sz val="10"/>
            <color rgb="FF000000"/>
            <rFont val="Aptos Narrow"/>
          </rPr>
          <t xml:space="preserve">Notes related to control conditions </t>
        </r>
      </text>
    </comment>
    <comment ref="AC1" authorId="0" shapeId="0" xr:uid="{A3BFD3E4-2634-CC4E-9EFD-ADBE15DCB15E}">
      <text>
        <r>
          <rPr>
            <b/>
            <sz val="10"/>
            <color rgb="FF000000"/>
            <rFont val="Tahoma"/>
            <family val="2"/>
          </rPr>
          <t>Anna Lenz:</t>
        </r>
        <r>
          <rPr>
            <sz val="10"/>
            <color rgb="FF000000"/>
            <rFont val="Tahoma"/>
            <family val="2"/>
          </rPr>
          <t xml:space="preserve">
</t>
        </r>
        <r>
          <rPr>
            <sz val="10"/>
            <color rgb="FF000000"/>
            <rFont val="Aptos Narrow"/>
          </rPr>
          <t xml:space="preserve">Sex of the offspring investigated: male, female, mixed. If not reported, the cell will be coded as “Not reported” </t>
        </r>
      </text>
    </comment>
    <comment ref="AD1" authorId="0" shapeId="0" xr:uid="{C80C4574-7E54-254E-8B42-CAE50BA41127}">
      <text>
        <r>
          <rPr>
            <b/>
            <sz val="10"/>
            <color rgb="FF000000"/>
            <rFont val="Tahoma"/>
            <family val="2"/>
          </rPr>
          <t>Anna Lenz:</t>
        </r>
        <r>
          <rPr>
            <sz val="10"/>
            <color rgb="FF000000"/>
            <rFont val="Tahoma"/>
            <family val="2"/>
          </rPr>
          <t xml:space="preserve">
</t>
        </r>
        <r>
          <rPr>
            <sz val="10"/>
            <color rgb="FF000000"/>
            <rFont val="Aptos Narrow"/>
          </rPr>
          <t>Age in days from the parturition of offspring at the start of a behavioural test. If they state the age as "dpc" substract 21 days. If they state a range of days, use mid-point</t>
        </r>
      </text>
    </comment>
    <comment ref="AE1" authorId="0" shapeId="0" xr:uid="{D687F60C-9CDE-2240-9877-5FE9CEF1ECF1}">
      <text>
        <r>
          <rPr>
            <b/>
            <sz val="10"/>
            <color rgb="FF000000"/>
            <rFont val="Tahoma"/>
            <family val="2"/>
          </rPr>
          <t>Anna Lenz:</t>
        </r>
        <r>
          <rPr>
            <sz val="10"/>
            <color rgb="FF000000"/>
            <rFont val="Tahoma"/>
            <family val="2"/>
          </rPr>
          <t xml:space="preserve">
</t>
        </r>
        <r>
          <rPr>
            <sz val="10"/>
            <color rgb="FF000000"/>
            <rFont val="Aptos Narrow"/>
          </rPr>
          <t xml:space="preserve">Notes concerning the age classes at which the animals went through the behavioural tests </t>
        </r>
      </text>
    </comment>
    <comment ref="AF1" authorId="0" shapeId="0" xr:uid="{9CF5849E-6EA3-3140-B1DB-7EC635D667DA}">
      <text>
        <r>
          <rPr>
            <b/>
            <sz val="10"/>
            <color rgb="FF000000"/>
            <rFont val="Tahoma"/>
            <family val="2"/>
          </rPr>
          <t>Anna Lenz:</t>
        </r>
        <r>
          <rPr>
            <sz val="10"/>
            <color rgb="FF000000"/>
            <rFont val="Tahoma"/>
            <family val="2"/>
          </rPr>
          <t xml:space="preserve">
</t>
        </r>
        <r>
          <rPr>
            <sz val="10"/>
            <color rgb="FF000000"/>
            <rFont val="Aptos Narrow"/>
          </rPr>
          <t xml:space="preserve">Identifies if a sham control was used for a surgical or pharmacological intervention. Code as: “None”: No such intervention was performed. “Sham”: A placebo procedure was used as the control (e.g., saline injection, mock surgery) </t>
        </r>
      </text>
    </comment>
    <comment ref="AG1" authorId="0" shapeId="0" xr:uid="{2BCA5F25-B183-BE4A-A23D-CA5D6D89C67B}">
      <text>
        <r>
          <rPr>
            <b/>
            <sz val="10"/>
            <color rgb="FF000000"/>
            <rFont val="Tahoma"/>
            <family val="2"/>
          </rPr>
          <t>Anna Lenz:</t>
        </r>
        <r>
          <rPr>
            <sz val="10"/>
            <color rgb="FF000000"/>
            <rFont val="Tahoma"/>
            <family val="2"/>
          </rPr>
          <t xml:space="preserve">
</t>
        </r>
        <r>
          <rPr>
            <sz val="10"/>
            <color rgb="FF000000"/>
            <rFont val="Aptos Narrow"/>
          </rPr>
          <t xml:space="preserve">Notes on the experimental procedures (e.g., type of procedure, like sham). </t>
        </r>
      </text>
    </comment>
    <comment ref="AH1" authorId="0" shapeId="0" xr:uid="{062E2105-432F-7B41-842E-8971C65300E2}">
      <text>
        <r>
          <rPr>
            <b/>
            <sz val="10"/>
            <color rgb="FF000000"/>
            <rFont val="Tahoma"/>
            <family val="2"/>
          </rPr>
          <t>Anna Lenz:</t>
        </r>
        <r>
          <rPr>
            <sz val="10"/>
            <color rgb="FF000000"/>
            <rFont val="Tahoma"/>
            <family val="2"/>
          </rPr>
          <t xml:space="preserve">
</t>
        </r>
        <r>
          <rPr>
            <sz val="10"/>
            <color rgb="FF000000"/>
            <rFont val="Aptos Narrow"/>
          </rPr>
          <t xml:space="preserve">The primary behavioural construct to standardize whether an assay measures anxiety, depression, or both. For any assay listed in </t>
        </r>
        <r>
          <rPr>
            <b/>
            <sz val="10"/>
            <color rgb="FF000000"/>
            <rFont val="Aptos Narrow"/>
          </rPr>
          <t>Appendix 2</t>
        </r>
        <r>
          <rPr>
            <sz val="10"/>
            <color rgb="FF000000"/>
            <rFont val="Aptos Narrow"/>
          </rPr>
          <t xml:space="preserve">, the outcome will be coded as either “Anxiety” or 'Depression” as specified in that table (e.g., the Elevated Plus Maze is coded as “Anxiety”). </t>
        </r>
      </text>
    </comment>
    <comment ref="AI1" authorId="0" shapeId="0" xr:uid="{CFA1A2AD-55FF-184D-B93F-CB9FE586BF47}">
      <text>
        <r>
          <rPr>
            <b/>
            <sz val="10"/>
            <color rgb="FF000000"/>
            <rFont val="Tahoma"/>
            <family val="2"/>
          </rPr>
          <t>Anna Lenz:</t>
        </r>
        <r>
          <rPr>
            <sz val="10"/>
            <color rgb="FF000000"/>
            <rFont val="Tahoma"/>
            <family val="2"/>
          </rPr>
          <t xml:space="preserve">
</t>
        </r>
        <r>
          <rPr>
            <sz val="10"/>
            <color rgb="FF000000"/>
            <rFont val="Aptos Narrow"/>
          </rPr>
          <t xml:space="preserve">Type of assay used to measure anxiety or depression-like behaviours as listed in Appendix </t>
        </r>
        <r>
          <rPr>
            <b/>
            <sz val="10"/>
            <color rgb="FF000000"/>
            <rFont val="Aptos Narrow"/>
          </rPr>
          <t>2</t>
        </r>
        <r>
          <rPr>
            <sz val="10"/>
            <color rgb="FF000000"/>
            <rFont val="Aptos Narrow"/>
          </rPr>
          <t>. Examples include Open Field Test, Tail Suspension Test, Elevated Plus Maze, Forced Swim Test, Sucrose Preference Test, Novelty Suppressed Feeding, Light-Dark Box</t>
        </r>
      </text>
    </comment>
    <comment ref="AJ1" authorId="0" shapeId="0" xr:uid="{1A2DDFC2-CE89-034F-9E14-5A1F42B9E27A}">
      <text>
        <r>
          <rPr>
            <b/>
            <sz val="10"/>
            <color rgb="FF000000"/>
            <rFont val="Tahoma"/>
            <family val="2"/>
          </rPr>
          <t>Anna Lenz:</t>
        </r>
        <r>
          <rPr>
            <sz val="10"/>
            <color rgb="FF000000"/>
            <rFont val="Tahoma"/>
            <family val="2"/>
          </rPr>
          <t xml:space="preserve">
</t>
        </r>
        <r>
          <rPr>
            <sz val="10"/>
            <color rgb="FF000000"/>
            <rFont val="Aptos Narrow"/>
          </rPr>
          <t xml:space="preserve">Notes on the assay (e.g., variations from a typical protocol for a given assay type) </t>
        </r>
      </text>
    </comment>
    <comment ref="AK1" authorId="0" shapeId="0" xr:uid="{E4E76A43-B827-984F-BA34-29E8646DFEFB}">
      <text>
        <r>
          <rPr>
            <b/>
            <sz val="10"/>
            <color rgb="FF000000"/>
            <rFont val="Tahoma"/>
            <family val="2"/>
          </rPr>
          <t>Anna Lenz:</t>
        </r>
        <r>
          <rPr>
            <sz val="10"/>
            <color rgb="FF000000"/>
            <rFont val="Tahoma"/>
            <family val="2"/>
          </rPr>
          <t xml:space="preserve">
</t>
        </r>
        <r>
          <rPr>
            <sz val="10"/>
            <color rgb="FF000000"/>
            <rFont val="Aptos Narrow"/>
          </rPr>
          <t xml:space="preserve">The specific behavioural phenomenon quantified in the assay. Examples include “Time in open arms,” “Sucrose preference”, “'Total distance travelled”, or “Immobility time </t>
        </r>
      </text>
    </comment>
    <comment ref="AL1" authorId="0" shapeId="0" xr:uid="{8FD663CF-1C04-5C45-8B9E-3BEF80C5D254}">
      <text>
        <r>
          <rPr>
            <b/>
            <sz val="10"/>
            <color rgb="FF000000"/>
            <rFont val="Tahoma"/>
            <family val="2"/>
          </rPr>
          <t>Anna Lenz:</t>
        </r>
        <r>
          <rPr>
            <sz val="10"/>
            <color rgb="FF000000"/>
            <rFont val="Tahoma"/>
            <family val="2"/>
          </rPr>
          <t xml:space="preserve">
</t>
        </r>
        <r>
          <rPr>
            <sz val="10"/>
            <color rgb="FF000000"/>
            <rFont val="Aptos Narrow"/>
          </rPr>
          <t xml:space="preserve">The data type category of the measurement recorded. Examples include “Time,” “Percentage,” “Distance”, “Count”, or “Latency” </t>
        </r>
      </text>
    </comment>
    <comment ref="AM1" authorId="0" shapeId="0" xr:uid="{0D12F261-D92B-BF4E-AEBB-310DB3904F1E}">
      <text>
        <r>
          <rPr>
            <b/>
            <sz val="10"/>
            <color rgb="FF000000"/>
            <rFont val="Tahoma"/>
            <family val="2"/>
          </rPr>
          <t>Anna Lenz:</t>
        </r>
        <r>
          <rPr>
            <sz val="10"/>
            <color rgb="FF000000"/>
            <rFont val="Tahoma"/>
            <family val="2"/>
          </rPr>
          <t xml:space="preserve">
</t>
        </r>
        <r>
          <rPr>
            <sz val="10"/>
            <color rgb="FF000000"/>
            <rFont val="Aptos Narrow"/>
          </rPr>
          <t xml:space="preserve">The specific unit for the measurement. For some data types like “Count”, this may not be applicable. Examples include “s” (seconds), “%” (percent), or “cm” (centimetres) </t>
        </r>
      </text>
    </comment>
    <comment ref="AN1" authorId="0" shapeId="0" xr:uid="{0EA38E6B-BF68-5342-9556-B144A67C541D}">
      <text>
        <r>
          <rPr>
            <b/>
            <sz val="10"/>
            <color rgb="FF000000"/>
            <rFont val="Tahoma"/>
            <family val="2"/>
          </rPr>
          <t>Anna Lenz:</t>
        </r>
        <r>
          <rPr>
            <sz val="10"/>
            <color rgb="FF000000"/>
            <rFont val="Tahoma"/>
            <family val="2"/>
          </rPr>
          <t xml:space="preserve">
</t>
        </r>
        <r>
          <rPr>
            <sz val="10"/>
            <color rgb="FF000000"/>
            <rFont val="Aptos Narrow"/>
          </rPr>
          <t xml:space="preserve">The timing of the behavioural test. The value should be “Light Phase”, “Dark Phase”, or “Not Reported” if the information is not provided in the study </t>
        </r>
      </text>
    </comment>
    <comment ref="AO1" authorId="0" shapeId="0" xr:uid="{79811C79-FA3C-5B41-B3A9-24448DAE79B4}">
      <text>
        <r>
          <rPr>
            <b/>
            <sz val="10"/>
            <color rgb="FF000000"/>
            <rFont val="Tahoma"/>
            <family val="2"/>
          </rPr>
          <t>Anna Lenz:</t>
        </r>
        <r>
          <rPr>
            <sz val="10"/>
            <color rgb="FF000000"/>
            <rFont val="Tahoma"/>
            <family val="2"/>
          </rPr>
          <t xml:space="preserve">
</t>
        </r>
        <r>
          <rPr>
            <sz val="10"/>
            <color rgb="FF000000"/>
            <rFont val="Aptos Narrow"/>
          </rPr>
          <t xml:space="preserve">Location of extracted data in the publication.  Indicate where the data (sample sizes, averages, measures of dispersion) were reported (e.g., main text, table, figure, or supplementary material). If the source is a table or figure, specify its number (e.g., Table 1, Figure 1) </t>
        </r>
      </text>
    </comment>
    <comment ref="AP1" authorId="0" shapeId="0" xr:uid="{14982AD7-E990-1C49-A80B-A59AC52AB42A}">
      <text>
        <r>
          <rPr>
            <b/>
            <sz val="10"/>
            <color rgb="FF000000"/>
            <rFont val="Tahoma"/>
            <family val="2"/>
          </rPr>
          <t>Anna Lenz:</t>
        </r>
        <r>
          <rPr>
            <sz val="10"/>
            <color rgb="FF000000"/>
            <rFont val="Tahoma"/>
            <family val="2"/>
          </rPr>
          <t xml:space="preserve">
</t>
        </r>
        <r>
          <rPr>
            <sz val="10"/>
            <color rgb="FF000000"/>
            <rFont val="Aptos Narrow"/>
          </rPr>
          <t>Name of the file where a screenshot of the figure with the extracted data is saved. If the data (sample sizes, averages, measures of dispersion) was shown in a figure, the screenshot should be saved in the format: First author_Year_Fig_Number</t>
        </r>
      </text>
    </comment>
    <comment ref="AQ1" authorId="0" shapeId="0" xr:uid="{428E12CE-8233-454E-893E-6FE2DFD8C11A}">
      <text>
        <r>
          <rPr>
            <b/>
            <sz val="10"/>
            <color rgb="FF000000"/>
            <rFont val="Tahoma"/>
            <family val="2"/>
          </rPr>
          <t>Anna Lenz:</t>
        </r>
        <r>
          <rPr>
            <sz val="10"/>
            <color rgb="FF000000"/>
            <rFont val="Tahoma"/>
            <family val="2"/>
          </rPr>
          <t xml:space="preserve">
</t>
        </r>
        <r>
          <rPr>
            <sz val="10"/>
            <color rgb="FF000000"/>
            <rFont val="Aptos Narrow"/>
          </rPr>
          <t xml:space="preserve">Label given to the relevant control group (not exposed to noise in utero) by the authors (e.g., label used in a plot presenting the measured behavioural outcome) </t>
        </r>
      </text>
    </comment>
    <comment ref="AR1" authorId="0" shapeId="0" xr:uid="{7F5DA097-53C4-C144-AC69-D0BDB796C85F}">
      <text>
        <r>
          <rPr>
            <b/>
            <sz val="10"/>
            <color rgb="FF000000"/>
            <rFont val="Tahoma"/>
            <family val="2"/>
          </rPr>
          <t>Anna Lenz:</t>
        </r>
        <r>
          <rPr>
            <sz val="10"/>
            <color rgb="FF000000"/>
            <rFont val="Tahoma"/>
            <family val="2"/>
          </rPr>
          <t xml:space="preserve">
</t>
        </r>
        <r>
          <rPr>
            <sz val="10"/>
            <color rgb="FF000000"/>
            <rFont val="Aptos Narrow"/>
          </rPr>
          <t xml:space="preserve">Label given to the relevant noise exposed group by the authors (e.g., label given in a plot presenting the measured behavioural outcome) </t>
        </r>
      </text>
    </comment>
    <comment ref="AS1" authorId="0" shapeId="0" xr:uid="{99CD6B53-50C2-CB41-8899-1E728D80C315}">
      <text>
        <r>
          <rPr>
            <b/>
            <sz val="10"/>
            <color rgb="FF000000"/>
            <rFont val="Tahoma"/>
            <family val="2"/>
          </rPr>
          <t>Anna Lenz:</t>
        </r>
        <r>
          <rPr>
            <sz val="10"/>
            <color rgb="FF000000"/>
            <rFont val="Tahoma"/>
            <family val="2"/>
          </rPr>
          <t xml:space="preserve">
</t>
        </r>
        <r>
          <rPr>
            <sz val="10"/>
            <color rgb="FF000000"/>
            <rFont val="Aptos Narrow"/>
          </rPr>
          <t>Focal contrast label – A unique label should be created by concatenating the comparison ID (</t>
        </r>
        <r>
          <rPr>
            <i/>
            <sz val="10"/>
            <color rgb="FF000000"/>
            <rFont val="Aptos Narrow"/>
          </rPr>
          <t>c_id</t>
        </r>
        <r>
          <rPr>
            <sz val="10"/>
            <color rgb="FF000000"/>
            <rFont val="Aptos Narrow"/>
          </rPr>
          <t>) and the experiment ID (</t>
        </r>
        <r>
          <rPr>
            <i/>
            <sz val="10"/>
            <color rgb="FF000000"/>
            <rFont val="Aptos Narrow"/>
          </rPr>
          <t>ex_id</t>
        </r>
        <r>
          <rPr>
            <sz val="10"/>
            <color rgb="FF000000"/>
            <rFont val="Aptos Narrow"/>
          </rPr>
          <t xml:space="preserve">). For example: </t>
        </r>
        <r>
          <rPr>
            <i/>
            <sz val="10"/>
            <color rgb="FF000000"/>
            <rFont val="Aptos Narrow"/>
          </rPr>
          <t>control_chronicnoise</t>
        </r>
        <r>
          <rPr>
            <sz val="10"/>
            <color rgb="FF000000"/>
            <rFont val="Aptos Narrow"/>
          </rPr>
          <t xml:space="preserve"> </t>
        </r>
      </text>
    </comment>
    <comment ref="AT1" authorId="0" shapeId="0" xr:uid="{950AF4F6-EFB5-AD45-BB99-F59E979D5DB8}">
      <text>
        <r>
          <rPr>
            <b/>
            <sz val="10"/>
            <color rgb="FF000000"/>
            <rFont val="Tahoma"/>
            <family val="2"/>
          </rPr>
          <t>Anna Lenz:</t>
        </r>
        <r>
          <rPr>
            <sz val="10"/>
            <color rgb="FF000000"/>
            <rFont val="Tahoma"/>
            <family val="2"/>
          </rPr>
          <t xml:space="preserve">
</t>
        </r>
        <r>
          <rPr>
            <sz val="10"/>
            <color rgb="FF000000"/>
            <rFont val="Aptos Narrow"/>
          </rPr>
          <t>Direction of outcome measurement – Indicates whether a higher mean value reflects lower levels of anxiety/depression. Options: “</t>
        </r>
        <r>
          <rPr>
            <i/>
            <sz val="10"/>
            <color rgb="FF000000"/>
            <rFont val="Aptos Narrow"/>
          </rPr>
          <t>Yes”</t>
        </r>
        <r>
          <rPr>
            <sz val="10"/>
            <color rgb="FF000000"/>
            <rFont val="Aptos Narrow"/>
          </rPr>
          <t xml:space="preserve"> – Higher mean = less anxiety/depression; “</t>
        </r>
        <r>
          <rPr>
            <i/>
            <sz val="10"/>
            <color rgb="FF000000"/>
            <rFont val="Aptos Narrow"/>
          </rPr>
          <t>No”</t>
        </r>
        <r>
          <rPr>
            <sz val="10"/>
            <color rgb="FF000000"/>
            <rFont val="Aptos Narrow"/>
          </rPr>
          <t xml:space="preserve"> – Higher mean = more anxiety/depression </t>
        </r>
      </text>
    </comment>
    <comment ref="AU1" authorId="0" shapeId="0" xr:uid="{6FF42A74-2F5F-E84E-B0AE-154A8779215F}">
      <text>
        <r>
          <rPr>
            <b/>
            <sz val="10"/>
            <color rgb="FF000000"/>
            <rFont val="Tahoma"/>
            <family val="2"/>
          </rPr>
          <t>Anna Lenz:</t>
        </r>
        <r>
          <rPr>
            <sz val="10"/>
            <color rgb="FF000000"/>
            <rFont val="Tahoma"/>
            <family val="2"/>
          </rPr>
          <t xml:space="preserve">
</t>
        </r>
        <r>
          <rPr>
            <sz val="10"/>
            <color rgb="FF000000"/>
            <rFont val="Aptos Narrow"/>
          </rPr>
          <t xml:space="preserve">Notes on the direction of outcome measurement </t>
        </r>
      </text>
    </comment>
    <comment ref="AV1" authorId="0" shapeId="0" xr:uid="{2D0E488A-4A38-074E-B2C6-C7BF4774AAE3}">
      <text>
        <r>
          <rPr>
            <b/>
            <sz val="10"/>
            <color rgb="FF000000"/>
            <rFont val="Tahoma"/>
            <family val="2"/>
          </rPr>
          <t>Anna Lenz:</t>
        </r>
        <r>
          <rPr>
            <sz val="10"/>
            <color rgb="FF000000"/>
            <rFont val="Tahoma"/>
            <family val="2"/>
          </rPr>
          <t xml:space="preserve">
</t>
        </r>
        <r>
          <rPr>
            <sz val="10"/>
            <color rgb="FF000000"/>
            <rFont val="Aptos Narrow"/>
          </rPr>
          <t xml:space="preserve">Average outcome measure of control group measure </t>
        </r>
      </text>
    </comment>
    <comment ref="AW1" authorId="0" shapeId="0" xr:uid="{4FF9C2A7-39F0-F04B-AC6A-CF4E2FDF4FA8}">
      <text>
        <r>
          <rPr>
            <b/>
            <sz val="10"/>
            <color rgb="FF000000"/>
            <rFont val="Tahoma"/>
            <family val="2"/>
          </rPr>
          <t>Anna Lenz:</t>
        </r>
        <r>
          <rPr>
            <sz val="10"/>
            <color rgb="FF000000"/>
            <rFont val="Tahoma"/>
            <family val="2"/>
          </rPr>
          <t xml:space="preserve">
</t>
        </r>
        <r>
          <rPr>
            <sz val="10"/>
            <color rgb="FF000000"/>
            <rFont val="Aptos Narrow"/>
          </rPr>
          <t xml:space="preserve">Standard deviation of the control group outcome measure </t>
        </r>
      </text>
    </comment>
    <comment ref="AX1" authorId="0" shapeId="0" xr:uid="{1474499B-C68C-C249-8ACF-A91179CD5B07}">
      <text>
        <r>
          <rPr>
            <b/>
            <sz val="10"/>
            <color rgb="FF000000"/>
            <rFont val="Tahoma"/>
            <family val="2"/>
          </rPr>
          <t>Anna Lenz:</t>
        </r>
        <r>
          <rPr>
            <sz val="10"/>
            <color rgb="FF000000"/>
            <rFont val="Tahoma"/>
            <family val="2"/>
          </rPr>
          <t xml:space="preserve">
</t>
        </r>
        <r>
          <rPr>
            <sz val="10"/>
            <color rgb="FF000000"/>
            <rFont val="Aptos Narrow"/>
          </rPr>
          <t xml:space="preserve">Sample size of the offspring control group (number of animals not exposed to noise in utero) </t>
        </r>
      </text>
    </comment>
    <comment ref="AY1" authorId="0" shapeId="0" xr:uid="{A421E0FC-2F11-5642-AEDB-EE6CC16EAF43}">
      <text>
        <r>
          <rPr>
            <b/>
            <sz val="10"/>
            <color rgb="FF000000"/>
            <rFont val="Tahoma"/>
            <family val="2"/>
          </rPr>
          <t>Anna Lenz:</t>
        </r>
        <r>
          <rPr>
            <sz val="10"/>
            <color rgb="FF000000"/>
            <rFont val="Tahoma"/>
            <family val="2"/>
          </rPr>
          <t xml:space="preserve">
</t>
        </r>
        <r>
          <rPr>
            <sz val="10"/>
            <color rgb="FF000000"/>
            <rFont val="Aptos Narrow"/>
          </rPr>
          <t xml:space="preserve">Standard error of the control group outcome measure </t>
        </r>
      </text>
    </comment>
    <comment ref="AZ1" authorId="0" shapeId="0" xr:uid="{CE38A8DD-CDED-3F48-A63A-B08E87643B5D}">
      <text>
        <r>
          <rPr>
            <b/>
            <sz val="10"/>
            <color rgb="FF000000"/>
            <rFont val="Tahoma"/>
            <family val="2"/>
          </rPr>
          <t>Anna Lenz:</t>
        </r>
        <r>
          <rPr>
            <sz val="10"/>
            <color rgb="FF000000"/>
            <rFont val="Tahoma"/>
            <family val="2"/>
          </rPr>
          <t xml:space="preserve">
</t>
        </r>
        <r>
          <rPr>
            <sz val="10"/>
            <color rgb="FF000000"/>
            <rFont val="Aptos Narrow"/>
          </rPr>
          <t xml:space="preserve">Confidence intervals of the control group outcome measure; if reported they will be transformed to SE and noted in the stat_comment column </t>
        </r>
      </text>
    </comment>
    <comment ref="BA1" authorId="0" shapeId="0" xr:uid="{78DAD6A4-A17E-AD42-A333-B39CC2DA96EA}">
      <text>
        <r>
          <rPr>
            <b/>
            <sz val="10"/>
            <color rgb="FF000000"/>
            <rFont val="Tahoma"/>
            <family val="2"/>
          </rPr>
          <t>Anna Lenz:</t>
        </r>
        <r>
          <rPr>
            <sz val="10"/>
            <color rgb="FF000000"/>
            <rFont val="Tahoma"/>
            <family val="2"/>
          </rPr>
          <t xml:space="preserve">
</t>
        </r>
        <r>
          <rPr>
            <sz val="10"/>
            <color rgb="FF000000"/>
            <rFont val="Aptos Narrow"/>
          </rPr>
          <t xml:space="preserve">Average of experimental group outcome measure </t>
        </r>
      </text>
    </comment>
    <comment ref="BB1" authorId="0" shapeId="0" xr:uid="{9D21ECF9-3C38-C74E-98AB-E055E08FA75E}">
      <text>
        <r>
          <rPr>
            <b/>
            <sz val="10"/>
            <color rgb="FF000000"/>
            <rFont val="Tahoma"/>
            <family val="2"/>
          </rPr>
          <t>Anna Lenz:</t>
        </r>
        <r>
          <rPr>
            <sz val="10"/>
            <color rgb="FF000000"/>
            <rFont val="Tahoma"/>
            <family val="2"/>
          </rPr>
          <t xml:space="preserve">
</t>
        </r>
        <r>
          <rPr>
            <sz val="10"/>
            <color rgb="FF000000"/>
            <rFont val="Aptos Narrow"/>
          </rPr>
          <t xml:space="preserve">Standard deviation of the experimental group outcome measure </t>
        </r>
      </text>
    </comment>
    <comment ref="BC1" authorId="0" shapeId="0" xr:uid="{A1470DAB-44C7-8C48-A097-156EA9FD9166}">
      <text>
        <r>
          <rPr>
            <b/>
            <sz val="10"/>
            <color rgb="FF000000"/>
            <rFont val="Tahoma"/>
            <family val="2"/>
          </rPr>
          <t>Anna Lenz:</t>
        </r>
        <r>
          <rPr>
            <sz val="10"/>
            <color rgb="FF000000"/>
            <rFont val="Tahoma"/>
            <family val="2"/>
          </rPr>
          <t xml:space="preserve">
</t>
        </r>
        <r>
          <rPr>
            <sz val="10"/>
            <color rgb="FF000000"/>
            <rFont val="Aptos Narrow"/>
          </rPr>
          <t xml:space="preserve">Sample size of the offspring experimental group (number of animals exposed to noise in utero) </t>
        </r>
      </text>
    </comment>
    <comment ref="BD1" authorId="0" shapeId="0" xr:uid="{0E2DD40D-2DC0-8740-999D-11041023443B}">
      <text>
        <r>
          <rPr>
            <b/>
            <sz val="10"/>
            <color rgb="FF000000"/>
            <rFont val="Tahoma"/>
            <family val="2"/>
          </rPr>
          <t>Anna Lenz:</t>
        </r>
        <r>
          <rPr>
            <sz val="10"/>
            <color rgb="FF000000"/>
            <rFont val="Tahoma"/>
            <family val="2"/>
          </rPr>
          <t xml:space="preserve">
</t>
        </r>
        <r>
          <rPr>
            <sz val="10"/>
            <color rgb="FF000000"/>
            <rFont val="Aptos Narrow"/>
          </rPr>
          <t>Standard error of the experimental group outcome measure</t>
        </r>
      </text>
    </comment>
    <comment ref="BE1" authorId="0" shapeId="0" xr:uid="{43560215-5CD1-2D4A-BF0B-064C2CAEE3B2}">
      <text>
        <r>
          <rPr>
            <b/>
            <sz val="10"/>
            <color rgb="FF000000"/>
            <rFont val="Tahoma"/>
            <family val="2"/>
          </rPr>
          <t>Anna Lenz:</t>
        </r>
        <r>
          <rPr>
            <sz val="10"/>
            <color rgb="FF000000"/>
            <rFont val="Tahoma"/>
            <family val="2"/>
          </rPr>
          <t xml:space="preserve">
</t>
        </r>
        <r>
          <rPr>
            <sz val="10"/>
            <color rgb="FF000000"/>
            <rFont val="Aptos Narrow"/>
          </rPr>
          <t xml:space="preserve">Confidence intervals of the experimental group outcome measure; if reported they will be transformed to SE and noted in the stat_comment column </t>
        </r>
      </text>
    </comment>
    <comment ref="BF1" authorId="0" shapeId="0" xr:uid="{46D0A39D-0ED6-1742-94FC-BEEAE4D8FD04}">
      <text>
        <r>
          <rPr>
            <b/>
            <sz val="10"/>
            <color rgb="FF000000"/>
            <rFont val="Tahoma"/>
            <family val="2"/>
          </rPr>
          <t>Anna Lenz:</t>
        </r>
        <r>
          <rPr>
            <sz val="10"/>
            <color rgb="FF000000"/>
            <rFont val="Tahoma"/>
            <family val="2"/>
          </rPr>
          <t xml:space="preserve">
</t>
        </r>
        <r>
          <rPr>
            <sz val="10"/>
            <color rgb="FF000000"/>
            <rFont val="Aptos Narrow"/>
          </rPr>
          <t xml:space="preserve">Notes regarding descriptive statistics for the outcome measure </t>
        </r>
      </text>
    </comment>
    <comment ref="V11" authorId="1" shapeId="0" xr:uid="{6EECF968-78D2-4EE0-9895-AD1F5FD9E8FA}">
      <text>
        <t>[Threaded comment]
Your version of Excel allows you to read this threaded comment; however, any edits to it will get removed if the file is opened in a newer version of Excel. Learn more: https://go.microsoft.com/fwlink/?linkid=870924
Comment:
    from Saeed: 5min</t>
      </text>
    </comment>
    <comment ref="AC11" authorId="2" shapeId="0" xr:uid="{A290C4DE-1012-40B7-91EC-3FE0E447A2FE}">
      <text>
        <t>[Threaded comment]
Your version of Excel allows you to read this threaded comment; however, any edits to it will get removed if the file is opened in a newer version of Excel. Learn more: https://go.microsoft.com/fwlink/?linkid=870924
Comment:
    both sexes</t>
      </text>
    </comment>
    <comment ref="V12" authorId="3" shapeId="0" xr:uid="{E72A2126-37EC-45B6-A096-3031C81AD351}">
      <text>
        <t>[Threaded comment]
Your version of Excel allows you to read this threaded comment; however, any edits to it will get removed if the file is opened in a newer version of Excel. Learn more: https://go.microsoft.com/fwlink/?linkid=870924
Comment:
    from Saeed: 5min</t>
      </text>
    </comment>
    <comment ref="AC12" authorId="4" shapeId="0" xr:uid="{19D7FDC9-9535-4D97-8473-30C4255A9C45}">
      <text>
        <t>[Threaded comment]
Your version of Excel allows you to read this threaded comment; however, any edits to it will get removed if the file is opened in a newer version of Excel. Learn more: https://go.microsoft.com/fwlink/?linkid=870924
Comment:
    both sexes</t>
      </text>
    </comment>
    <comment ref="V13" authorId="5" shapeId="0" xr:uid="{0287395B-0474-452E-AB2D-F9892862EE4B}">
      <text>
        <t>[Threaded comment]
Your version of Excel allows you to read this threaded comment; however, any edits to it will get removed if the file is opened in a newer version of Excel. Learn more: https://go.microsoft.com/fwlink/?linkid=870924
Comment:
    from Saeed: 5min</t>
      </text>
    </comment>
    <comment ref="AC13" authorId="6" shapeId="0" xr:uid="{44CDFBB0-EBB2-4426-B6B1-65B909916502}">
      <text>
        <t>[Threaded comment]
Your version of Excel allows you to read this threaded comment; however, any edits to it will get removed if the file is opened in a newer version of Excel. Learn more: https://go.microsoft.com/fwlink/?linkid=870924
Comment:
    both sexes</t>
      </text>
    </comment>
  </commentList>
</comments>
</file>

<file path=xl/sharedStrings.xml><?xml version="1.0" encoding="utf-8"?>
<sst xmlns="http://schemas.openxmlformats.org/spreadsheetml/2006/main" count="7727" uniqueCount="1275">
  <si>
    <t>study_id</t>
  </si>
  <si>
    <t>ex_cohort_id</t>
  </si>
  <si>
    <t>con_cohort_id</t>
  </si>
  <si>
    <t>outcome_id</t>
  </si>
  <si>
    <t>es_id</t>
  </si>
  <si>
    <t>shared_control</t>
  </si>
  <si>
    <t>id_notes</t>
  </si>
  <si>
    <t>title</t>
  </si>
  <si>
    <t>doi</t>
  </si>
  <si>
    <t>publish_in</t>
  </si>
  <si>
    <t>outcome_id_notes</t>
  </si>
  <si>
    <t>sp_latin</t>
  </si>
  <si>
    <t>sp_common</t>
  </si>
  <si>
    <t>strain</t>
  </si>
  <si>
    <t>dam_age</t>
  </si>
  <si>
    <t>dam_age_notes</t>
  </si>
  <si>
    <t>gest_stage_ex</t>
  </si>
  <si>
    <t>gest_stage_ex_notes</t>
  </si>
  <si>
    <t>exposure_span_d</t>
  </si>
  <si>
    <t>exposure_type</t>
  </si>
  <si>
    <t>exposure_session_duration_h</t>
  </si>
  <si>
    <t>ex_session_duration_notes</t>
  </si>
  <si>
    <t>noise_type</t>
  </si>
  <si>
    <t>loudness_dB</t>
  </si>
  <si>
    <t>frequency_Hz</t>
  </si>
  <si>
    <t>control_conditions</t>
  </si>
  <si>
    <t>control_loudness</t>
  </si>
  <si>
    <t>control_notes</t>
  </si>
  <si>
    <t>offspring_sex</t>
  </si>
  <si>
    <t>offspring_age_d</t>
  </si>
  <si>
    <t>offspring_age_notes</t>
  </si>
  <si>
    <t>experimental_procedures</t>
  </si>
  <si>
    <t>experimental_procedures_notes</t>
  </si>
  <si>
    <t>outcome_type</t>
  </si>
  <si>
    <t>assay_type</t>
  </si>
  <si>
    <t>assay_type_notes</t>
  </si>
  <si>
    <t>measurement_variable</t>
  </si>
  <si>
    <t>data_type</t>
  </si>
  <si>
    <t>data_units</t>
  </si>
  <si>
    <t>measurement_timing</t>
  </si>
  <si>
    <t>data_source</t>
  </si>
  <si>
    <t>data_file</t>
  </si>
  <si>
    <t>c_a_id</t>
  </si>
  <si>
    <t>ex_a_id</t>
  </si>
  <si>
    <t>comparison</t>
  </si>
  <si>
    <t>higher_better</t>
  </si>
  <si>
    <t>higher_better_notes</t>
  </si>
  <si>
    <t>c_mean</t>
  </si>
  <si>
    <t>c_sd</t>
  </si>
  <si>
    <t>offspring_c_n</t>
  </si>
  <si>
    <t>c_se</t>
  </si>
  <si>
    <t>c_ci</t>
  </si>
  <si>
    <t>ex_mean</t>
  </si>
  <si>
    <t>ex_sd</t>
  </si>
  <si>
    <t>offspring_ex_n</t>
  </si>
  <si>
    <t>ex_se</t>
  </si>
  <si>
    <t>ex_ci</t>
  </si>
  <si>
    <t>stat_comment</t>
  </si>
  <si>
    <t>general_comment</t>
  </si>
  <si>
    <t>time</t>
  </si>
  <si>
    <t>c_median</t>
  </si>
  <si>
    <t>c_q1</t>
  </si>
  <si>
    <t>c_q3</t>
  </si>
  <si>
    <t>ex_median</t>
  </si>
  <si>
    <t>ex_q1</t>
  </si>
  <si>
    <t>ex_q3</t>
  </si>
  <si>
    <t>uygur_2010_aphyhun</t>
  </si>
  <si>
    <t>ex001</t>
  </si>
  <si>
    <t>con001</t>
  </si>
  <si>
    <t>out001</t>
  </si>
  <si>
    <t>es001</t>
  </si>
  <si>
    <t>Yes</t>
  </si>
  <si>
    <t xml:space="preserve">One control and one treatment </t>
  </si>
  <si>
    <t>Effects of chronic stress on cognitive functions and anxiety related behaviors in rats</t>
  </si>
  <si>
    <t>10.1556/APhysiol.97.2010.3.6</t>
  </si>
  <si>
    <t>Acta Physiologica Hungarica</t>
  </si>
  <si>
    <t>Only one assay for anxiety</t>
  </si>
  <si>
    <t>Rattus norvegicus</t>
  </si>
  <si>
    <t>albino rat</t>
  </si>
  <si>
    <t>Sprague-Dawley</t>
  </si>
  <si>
    <t>not reported</t>
  </si>
  <si>
    <t>late</t>
  </si>
  <si>
    <t>day 14-21</t>
  </si>
  <si>
    <t>Intermitent</t>
  </si>
  <si>
    <t>45 min</t>
  </si>
  <si>
    <t>White noise</t>
  </si>
  <si>
    <t>Unclear</t>
  </si>
  <si>
    <t>They carried the cages to the other room too, but without any noise exposure</t>
  </si>
  <si>
    <t>male</t>
  </si>
  <si>
    <t xml:space="preserve">70 days of age </t>
  </si>
  <si>
    <t>none</t>
  </si>
  <si>
    <t>Anxiety</t>
  </si>
  <si>
    <t>Defensive withdrawal test (DWT)</t>
  </si>
  <si>
    <t>Latency to exit the dark box with all four paws for the first time</t>
  </si>
  <si>
    <t>Time</t>
  </si>
  <si>
    <t>s</t>
  </si>
  <si>
    <t>light phase</t>
  </si>
  <si>
    <t>Table II</t>
  </si>
  <si>
    <t>uygur_2010_table2</t>
  </si>
  <si>
    <t>CON_lat</t>
  </si>
  <si>
    <t>PSN_lat</t>
  </si>
  <si>
    <t>con_psn_lat</t>
  </si>
  <si>
    <t>No</t>
  </si>
  <si>
    <t>Not specified</t>
  </si>
  <si>
    <t>out002</t>
  </si>
  <si>
    <t>es002</t>
  </si>
  <si>
    <t>Exits from dark box</t>
  </si>
  <si>
    <t>Count</t>
  </si>
  <si>
    <t>CON_ex</t>
  </si>
  <si>
    <t>PSN_ex</t>
  </si>
  <si>
    <t>con_psn_ex</t>
  </si>
  <si>
    <t>out003</t>
  </si>
  <si>
    <t>es003</t>
  </si>
  <si>
    <t>Time in open field</t>
  </si>
  <si>
    <t>CON_oat</t>
  </si>
  <si>
    <t>PSN_oat</t>
  </si>
  <si>
    <t>con_psn_oat</t>
  </si>
  <si>
    <t>barzegar_2014_hippo</t>
  </si>
  <si>
    <t>ex002</t>
  </si>
  <si>
    <t>con002</t>
  </si>
  <si>
    <t>out004</t>
  </si>
  <si>
    <t>es004</t>
  </si>
  <si>
    <t>They tested 1 h daily exposure duration</t>
  </si>
  <si>
    <t>10.1002/hipo.22363</t>
  </si>
  <si>
    <t>Hippocampus</t>
  </si>
  <si>
    <t>brown rat</t>
  </si>
  <si>
    <t>Wistar rat</t>
  </si>
  <si>
    <t>at the third trimester</t>
  </si>
  <si>
    <t>h</t>
  </si>
  <si>
    <t>Control pregnant animals was kept in the noise chamber for the same period of time without noise exposure</t>
  </si>
  <si>
    <t xml:space="preserve">42-50 daysof age </t>
  </si>
  <si>
    <t>Elevated Plus Maze (EPM)</t>
  </si>
  <si>
    <t>Evaluated spatial anxiety in rats. As a convention, an entry was defined as having all four paws in the arm.</t>
  </si>
  <si>
    <t>Entries into open arms (OAE)</t>
  </si>
  <si>
    <t>Proportion</t>
  </si>
  <si>
    <t>%</t>
  </si>
  <si>
    <t>Not reported</t>
  </si>
  <si>
    <t>Figure 2A</t>
  </si>
  <si>
    <t>barzegar_2014_figure2</t>
  </si>
  <si>
    <t>CON_oae</t>
  </si>
  <si>
    <t>N1_oae</t>
  </si>
  <si>
    <t>con_n1_oae</t>
  </si>
  <si>
    <t>out005</t>
  </si>
  <si>
    <t>es005</t>
  </si>
  <si>
    <t>Prenatal Exposure to Noise Stress: Anxiety, Impaired Spatial Memory, and Deteriorated Hippocampal Plasticity in Postnatal Life</t>
  </si>
  <si>
    <t xml:space="preserve">Evaluated spatial anxiety in rats </t>
  </si>
  <si>
    <t>Time in open arms (OAT)</t>
  </si>
  <si>
    <t>Figure 2B</t>
  </si>
  <si>
    <t>N1_oat</t>
  </si>
  <si>
    <t>con_n1_oat</t>
  </si>
  <si>
    <t>ex003</t>
  </si>
  <si>
    <t>es006</t>
  </si>
  <si>
    <t>They tested 2 h daily exposure duration</t>
  </si>
  <si>
    <t>N2_oae</t>
  </si>
  <si>
    <t>con_n2_oae</t>
  </si>
  <si>
    <t>es007</t>
  </si>
  <si>
    <t>N2_oat</t>
  </si>
  <si>
    <t>con_n2_oat</t>
  </si>
  <si>
    <t>ex004</t>
  </si>
  <si>
    <t>es008</t>
  </si>
  <si>
    <t>They tested 4 h daily exposure duration</t>
  </si>
  <si>
    <t>N4_oae</t>
  </si>
  <si>
    <t>con_n4_oae</t>
  </si>
  <si>
    <t>es009</t>
  </si>
  <si>
    <t>barzegar_2014_figure2b</t>
  </si>
  <si>
    <t>N4_oat</t>
  </si>
  <si>
    <t>con_n4_oat</t>
  </si>
  <si>
    <t>hassanvand_2012_phyphar</t>
  </si>
  <si>
    <t>ex005</t>
  </si>
  <si>
    <t>con003</t>
  </si>
  <si>
    <t>out006</t>
  </si>
  <si>
    <t>es010</t>
  </si>
  <si>
    <t>Only one experiment</t>
  </si>
  <si>
    <t>Alterations in dopamine related behavior of the offspring of pregnant Wistar
rats exposed to noise pollution stress</t>
  </si>
  <si>
    <t>http://ppj.phypha.ir/article-1-805-en.html</t>
  </si>
  <si>
    <t>Physiology and Pharmacology</t>
  </si>
  <si>
    <t xml:space="preserve">Only one assay </t>
  </si>
  <si>
    <t>not reported 200g also 250-300g</t>
  </si>
  <si>
    <t>early, mid</t>
  </si>
  <si>
    <t>day 1-14</t>
  </si>
  <si>
    <t>15 min</t>
  </si>
  <si>
    <t>Traffic</t>
  </si>
  <si>
    <t>Standard laboratory conditions = Environment without noise"محیط بی سر و صدا"</t>
  </si>
  <si>
    <t>3 months</t>
  </si>
  <si>
    <t xml:space="preserve">They used a car alarm </t>
  </si>
  <si>
    <t>Open Field Test (OFT)</t>
  </si>
  <si>
    <t>Locomotor and exploratory behaviour</t>
  </si>
  <si>
    <t>Sniffing</t>
  </si>
  <si>
    <t>Figure 2</t>
  </si>
  <si>
    <t>hassanvand_2012_phyphar_Figure2</t>
  </si>
  <si>
    <t>Control_sniff</t>
  </si>
  <si>
    <t>Expn_sniff</t>
  </si>
  <si>
    <t>control_exp_sniff</t>
  </si>
  <si>
    <t>out007</t>
  </si>
  <si>
    <t>es011</t>
  </si>
  <si>
    <t>Rearing</t>
  </si>
  <si>
    <t>Control_rear</t>
  </si>
  <si>
    <t>Exp_rear</t>
  </si>
  <si>
    <t>control_exp_rear</t>
  </si>
  <si>
    <t>out008</t>
  </si>
  <si>
    <t>es012</t>
  </si>
  <si>
    <t>Line crossing</t>
  </si>
  <si>
    <t>Control_loco</t>
  </si>
  <si>
    <t>Exp_loco</t>
  </si>
  <si>
    <t>control_exp_loco</t>
  </si>
  <si>
    <t>arjunan_2023_stress</t>
  </si>
  <si>
    <t>ex006</t>
  </si>
  <si>
    <t>con004</t>
  </si>
  <si>
    <t>out009</t>
  </si>
  <si>
    <t>es013</t>
  </si>
  <si>
    <t>3 experimental groups: Early gestational, late gestational and full-term gestational</t>
  </si>
  <si>
    <t>Impacts of Maternal Noise Exposure on Risk of Stillbirth
and Oxidative Stress-Induced Neurobehavioral Changes
in Offspring</t>
  </si>
  <si>
    <t>10.3390/stresses3030037</t>
  </si>
  <si>
    <t>Stresses</t>
  </si>
  <si>
    <t>Wistar albino rat</t>
  </si>
  <si>
    <t>not reported 160-180g</t>
  </si>
  <si>
    <t>day 1-10</t>
  </si>
  <si>
    <t>Ultrasound</t>
  </si>
  <si>
    <t>0-2,000</t>
  </si>
  <si>
    <t>locomotion and emotional status</t>
  </si>
  <si>
    <t>Time in central square</t>
  </si>
  <si>
    <t>Figure 3B</t>
  </si>
  <si>
    <t>arjunan_2023_stress_fig3B_cen</t>
  </si>
  <si>
    <t>Con_cen</t>
  </si>
  <si>
    <t>Egs_cen</t>
  </si>
  <si>
    <t>con_egs_cen</t>
  </si>
  <si>
    <t>reduced time spent in the central square indicated
the fear and anxiety-like behavior</t>
  </si>
  <si>
    <t>out010</t>
  </si>
  <si>
    <t>es014</t>
  </si>
  <si>
    <t>Time in periferal square</t>
  </si>
  <si>
    <t>arjunan_2023_stress_fig3B_per</t>
  </si>
  <si>
    <t>Con_per</t>
  </si>
  <si>
    <t>Egs_per</t>
  </si>
  <si>
    <t>con_egs_per</t>
  </si>
  <si>
    <t>ex007</t>
  </si>
  <si>
    <t>es015</t>
  </si>
  <si>
    <t>day 11-21</t>
  </si>
  <si>
    <t>Lgs_cen</t>
  </si>
  <si>
    <t>con_lgs_cen</t>
  </si>
  <si>
    <t>es016</t>
  </si>
  <si>
    <t>Lgs_per</t>
  </si>
  <si>
    <t>con_lgs_per</t>
  </si>
  <si>
    <t>ex008</t>
  </si>
  <si>
    <t>es017</t>
  </si>
  <si>
    <t>early, mid, late</t>
  </si>
  <si>
    <t>day 1-21</t>
  </si>
  <si>
    <t>Fgs_cen</t>
  </si>
  <si>
    <t>con_fgs_cen</t>
  </si>
  <si>
    <t>es018</t>
  </si>
  <si>
    <t>Fgs_per</t>
  </si>
  <si>
    <t>con_fgs_per</t>
  </si>
  <si>
    <t>hadizadeh_2018_irjbamedsci</t>
  </si>
  <si>
    <t>ex009</t>
  </si>
  <si>
    <t>con005</t>
  </si>
  <si>
    <t>out011</t>
  </si>
  <si>
    <t>es019</t>
  </si>
  <si>
    <t>one control, one treatment for females and males</t>
  </si>
  <si>
    <t>Probiotic supplementation improves the cognitive function and
the anxiety-like behaviors in the stressed rats</t>
  </si>
  <si>
    <t>10.22038/ijbms.2019.33956.8078</t>
  </si>
  <si>
    <t>Iranian Journal of Basic Medical Sciences</t>
  </si>
  <si>
    <t>third trimester</t>
  </si>
  <si>
    <t>The control: kept in the noise chamber for the
same period of time without noise exposure</t>
  </si>
  <si>
    <t>The CON and ST groups received drinking water as vehicle</t>
  </si>
  <si>
    <t>hadizadeh_2018_irjbamedsci_fig2A</t>
  </si>
  <si>
    <t>CON_en</t>
  </si>
  <si>
    <t>ST_en</t>
  </si>
  <si>
    <t>CON_ST_en</t>
  </si>
  <si>
    <t>declined the anxiety-like behavior where the number of open arm entries increased</t>
  </si>
  <si>
    <t>out012</t>
  </si>
  <si>
    <t>es020</t>
  </si>
  <si>
    <t>hadizadeh_2018_irjbamedsci_fig2B</t>
  </si>
  <si>
    <t>CON_ti</t>
  </si>
  <si>
    <t>ST_ti</t>
  </si>
  <si>
    <t>CON_ST_ti</t>
  </si>
  <si>
    <t>abramova_2024_devneur</t>
  </si>
  <si>
    <t>ex010</t>
  </si>
  <si>
    <t>con006</t>
  </si>
  <si>
    <t>out013</t>
  </si>
  <si>
    <t>es021</t>
  </si>
  <si>
    <t>Ultrasound-Induced Prenatal Stress: New Possibilities for Modeling Mental Disorders</t>
  </si>
  <si>
    <t>10.1159/000534687</t>
  </si>
  <si>
    <t>Developmental Neuroscience</t>
  </si>
  <si>
    <t>permanently during the
whole period of gestation (21 days)</t>
  </si>
  <si>
    <t>Continuous</t>
  </si>
  <si>
    <t xml:space="preserve">Expossed to continuous variable frequencies </t>
  </si>
  <si>
    <t>20,000-45,000</t>
  </si>
  <si>
    <t>Ambient sound</t>
  </si>
  <si>
    <t>No noise, standars housing conditions</t>
  </si>
  <si>
    <t>female</t>
  </si>
  <si>
    <t xml:space="preserve">They divided in two groups </t>
  </si>
  <si>
    <t>Fig. 2. a</t>
  </si>
  <si>
    <t>abramova_2024_devneur_fig2a</t>
  </si>
  <si>
    <t>Con_f_oa</t>
  </si>
  <si>
    <t>PS_f_oa</t>
  </si>
  <si>
    <t>Con_PS_f_oa</t>
  </si>
  <si>
    <t>For sucrose preference, they only reported significance</t>
  </si>
  <si>
    <t>ex011</t>
  </si>
  <si>
    <t>con007</t>
  </si>
  <si>
    <t>es022</t>
  </si>
  <si>
    <t>Con_m_oa</t>
  </si>
  <si>
    <t>PS_m_oa</t>
  </si>
  <si>
    <t>Con_PS_m_oa</t>
  </si>
  <si>
    <t>out014</t>
  </si>
  <si>
    <t>es023</t>
  </si>
  <si>
    <t>Head-dipping</t>
  </si>
  <si>
    <t>Fig. 2. b</t>
  </si>
  <si>
    <t>abramova_2024_devneur_fig2b</t>
  </si>
  <si>
    <t>Con_f_hd</t>
  </si>
  <si>
    <t>PS_f_hd</t>
  </si>
  <si>
    <t>Con_PS_f_hd</t>
  </si>
  <si>
    <t>es024</t>
  </si>
  <si>
    <t>Con_m_hd</t>
  </si>
  <si>
    <t>PS_m_hd</t>
  </si>
  <si>
    <t>Con_PS_m_hd</t>
  </si>
  <si>
    <t>out015</t>
  </si>
  <si>
    <t>es025</t>
  </si>
  <si>
    <t>Freezing</t>
  </si>
  <si>
    <t>Fig. 2. c</t>
  </si>
  <si>
    <t>abramova_2024_devneur_fig2c</t>
  </si>
  <si>
    <t>Con_f_fr</t>
  </si>
  <si>
    <t>PS_f_fr</t>
  </si>
  <si>
    <t>Con_PS_f_fr</t>
  </si>
  <si>
    <t>es026</t>
  </si>
  <si>
    <t>Con_m_fr</t>
  </si>
  <si>
    <t>PS_m_fr</t>
  </si>
  <si>
    <t>Con_PS_m_fr</t>
  </si>
  <si>
    <t>out016</t>
  </si>
  <si>
    <t>es027</t>
  </si>
  <si>
    <t>Grooming duration</t>
  </si>
  <si>
    <t>Fig. 2. d</t>
  </si>
  <si>
    <t>abramova_2024_devneur_fig2d</t>
  </si>
  <si>
    <t>Con_f_gd</t>
  </si>
  <si>
    <t>PS_f_gd</t>
  </si>
  <si>
    <t>Con_PS_f_gd</t>
  </si>
  <si>
    <t>es028</t>
  </si>
  <si>
    <t>Con_m_gd</t>
  </si>
  <si>
    <t>PS_m_gd</t>
  </si>
  <si>
    <t>Con_PS_m_gd</t>
  </si>
  <si>
    <t>out017</t>
  </si>
  <si>
    <t>es029</t>
  </si>
  <si>
    <t>Mean grooming duration</t>
  </si>
  <si>
    <t>Fig. 2. e</t>
  </si>
  <si>
    <t>abramova_2024_devneur_fig2e</t>
  </si>
  <si>
    <t>Con_f_mg</t>
  </si>
  <si>
    <t>PS_f_mg</t>
  </si>
  <si>
    <t>Con_PS_f_mg</t>
  </si>
  <si>
    <t>es030</t>
  </si>
  <si>
    <t>Con_m_mg</t>
  </si>
  <si>
    <t>PS_m_mg</t>
  </si>
  <si>
    <t>Con_PS_m_mg</t>
  </si>
  <si>
    <t>out018</t>
  </si>
  <si>
    <t>es031</t>
  </si>
  <si>
    <t>Center entries</t>
  </si>
  <si>
    <t>Fig. 3. a</t>
  </si>
  <si>
    <t>abramova_2024_devneur_fig3a</t>
  </si>
  <si>
    <t>Con_f_ce</t>
  </si>
  <si>
    <t>PS_f_ce</t>
  </si>
  <si>
    <t>Con_PS_f_ce</t>
  </si>
  <si>
    <t>es032</t>
  </si>
  <si>
    <t>Con_m_ce</t>
  </si>
  <si>
    <t>PS_m_ce</t>
  </si>
  <si>
    <t>Con_PS_m_ce</t>
  </si>
  <si>
    <t>out019</t>
  </si>
  <si>
    <t>es033</t>
  </si>
  <si>
    <t>Fig. 3. b</t>
  </si>
  <si>
    <t>abramova_2024_devneur_fig3b</t>
  </si>
  <si>
    <t>Con_f_re</t>
  </si>
  <si>
    <t>PS_f_re</t>
  </si>
  <si>
    <t>Con_PS_f_re</t>
  </si>
  <si>
    <t>es034</t>
  </si>
  <si>
    <t>Con_m_re</t>
  </si>
  <si>
    <t>PS_m_re</t>
  </si>
  <si>
    <t>Con_PS_m_re</t>
  </si>
  <si>
    <t>out020</t>
  </si>
  <si>
    <t>es035</t>
  </si>
  <si>
    <t>Number of crossed squares</t>
  </si>
  <si>
    <t>Fig. 3. c</t>
  </si>
  <si>
    <t>abramova_2024_devneur_fig3c</t>
  </si>
  <si>
    <t>Con_f_cs</t>
  </si>
  <si>
    <t>PS_f_cs</t>
  </si>
  <si>
    <t>Con_PS_f_cs</t>
  </si>
  <si>
    <t>es036</t>
  </si>
  <si>
    <t>Con_m_cs</t>
  </si>
  <si>
    <t>PS_m_cs</t>
  </si>
  <si>
    <t>Con_PS_m_cs</t>
  </si>
  <si>
    <t>out021</t>
  </si>
  <si>
    <t>es037</t>
  </si>
  <si>
    <t>Total time freezing</t>
  </si>
  <si>
    <t>Fig. 3. d</t>
  </si>
  <si>
    <t>abramova_2024_devneur_fig3d</t>
  </si>
  <si>
    <t>es038</t>
  </si>
  <si>
    <t>out022</t>
  </si>
  <si>
    <t>es039</t>
  </si>
  <si>
    <t>Fig. 3. e</t>
  </si>
  <si>
    <t>abramova_2024_devneur_fig3e</t>
  </si>
  <si>
    <t>Con_f_grd</t>
  </si>
  <si>
    <t>PS_f_grd</t>
  </si>
  <si>
    <t>Con_PS_f_grd</t>
  </si>
  <si>
    <t>es040</t>
  </si>
  <si>
    <t>Con_m_grd</t>
  </si>
  <si>
    <t>PS_m_grd</t>
  </si>
  <si>
    <t>Con_PS_m_grd</t>
  </si>
  <si>
    <t>out023</t>
  </si>
  <si>
    <t>es041</t>
  </si>
  <si>
    <t>Grooming frequency</t>
  </si>
  <si>
    <t>Fig. 3. f</t>
  </si>
  <si>
    <t>abramova_2024_devneur_fig3f</t>
  </si>
  <si>
    <t>Con_f_gf</t>
  </si>
  <si>
    <t>PS_f_gf</t>
  </si>
  <si>
    <t>Con_PS_f_gf</t>
  </si>
  <si>
    <t>es042</t>
  </si>
  <si>
    <t>Con_m_gf</t>
  </si>
  <si>
    <t>PS_m_gf</t>
  </si>
  <si>
    <t>Con_PS_m_gf</t>
  </si>
  <si>
    <t>out024</t>
  </si>
  <si>
    <t>es043</t>
  </si>
  <si>
    <t>Depression</t>
  </si>
  <si>
    <t>Forced Swimming Test (FST)</t>
  </si>
  <si>
    <t>Total immobility time</t>
  </si>
  <si>
    <t>Fig.4.</t>
  </si>
  <si>
    <t>abramova_2024_devneur_fig4a</t>
  </si>
  <si>
    <t>Con_f_ti</t>
  </si>
  <si>
    <t>PS_f_ti</t>
  </si>
  <si>
    <t>Con_PS_f_ti</t>
  </si>
  <si>
    <t>es044</t>
  </si>
  <si>
    <t>Con_m_ti</t>
  </si>
  <si>
    <t>PS_m_ti</t>
  </si>
  <si>
    <t>Con_PS_m_ti</t>
  </si>
  <si>
    <t>out025</t>
  </si>
  <si>
    <t>es045</t>
  </si>
  <si>
    <t>Sucrose Preference Test (SPT)</t>
  </si>
  <si>
    <t>Sucrose preference index (A)</t>
  </si>
  <si>
    <t>author's email</t>
  </si>
  <si>
    <t>Con_f_su</t>
  </si>
  <si>
    <t>PS_f_su</t>
  </si>
  <si>
    <t>Con_PS_f_su</t>
  </si>
  <si>
    <t>They reported significance in the paper, the author send me the stats output</t>
  </si>
  <si>
    <t>es046</t>
  </si>
  <si>
    <t>Con_m_su</t>
  </si>
  <si>
    <t>PS_m_su</t>
  </si>
  <si>
    <t>Con_PS_m_su</t>
  </si>
  <si>
    <t>oliveira_2015_jbehavbraisci</t>
  </si>
  <si>
    <t>ex012</t>
  </si>
  <si>
    <t>con008</t>
  </si>
  <si>
    <t>out026</t>
  </si>
  <si>
    <t>es047</t>
  </si>
  <si>
    <t>They used the elevated T Maze, where they measured anxiety in 3 days trials, and fear from anxiety in one trial</t>
  </si>
  <si>
    <t>Intrauterine Exposure to Chronic 22 kHz Sound Affects Inhibitory Avoidance and Serotonergic Parameters in Forebrain Areas of Dams and Rat Offspring</t>
  </si>
  <si>
    <t>10.4236/jbbs.2015.52003</t>
  </si>
  <si>
    <t>Journal of Behavioral and Brain Science</t>
  </si>
  <si>
    <t>Silence</t>
  </si>
  <si>
    <t>Control placed in an acoustical isolation box for the same period of time</t>
  </si>
  <si>
    <t>Elevated T Maze (ETM)</t>
  </si>
  <si>
    <t>Multiple time points</t>
  </si>
  <si>
    <t>Avoidance latency</t>
  </si>
  <si>
    <t>Figure 2. b</t>
  </si>
  <si>
    <t>oliveira_2015_jbehavbraisci_fig2b</t>
  </si>
  <si>
    <t>C_BL</t>
  </si>
  <si>
    <t>IE_BL</t>
  </si>
  <si>
    <t>C_IE_BL</t>
  </si>
  <si>
    <t>es048</t>
  </si>
  <si>
    <t>C_A1</t>
  </si>
  <si>
    <t>IE_A1</t>
  </si>
  <si>
    <t>C_IE_A1</t>
  </si>
  <si>
    <t>es049</t>
  </si>
  <si>
    <t>C_A2</t>
  </si>
  <si>
    <t>IE_A2</t>
  </si>
  <si>
    <t>C_IE_A2</t>
  </si>
  <si>
    <t>out027</t>
  </si>
  <si>
    <t>es050</t>
  </si>
  <si>
    <t>Multiple time points: escape latency (time in open arms)</t>
  </si>
  <si>
    <t>Escape latency</t>
  </si>
  <si>
    <t>Figure 3. b</t>
  </si>
  <si>
    <t>oliveira_2015_jbehavbraisci_fig3b</t>
  </si>
  <si>
    <t>C_F1</t>
  </si>
  <si>
    <t>IE_F1</t>
  </si>
  <si>
    <t>C_IE_F1</t>
  </si>
  <si>
    <t>es051</t>
  </si>
  <si>
    <t>C_F2</t>
  </si>
  <si>
    <t>IE_F2</t>
  </si>
  <si>
    <t>C_IE_F2</t>
  </si>
  <si>
    <t>es052</t>
  </si>
  <si>
    <t>C_F3</t>
  </si>
  <si>
    <t>IE_F3</t>
  </si>
  <si>
    <t>C_IE_F3</t>
  </si>
  <si>
    <t>pavlov_2023_molsci</t>
  </si>
  <si>
    <t>ex013</t>
  </si>
  <si>
    <t>con009</t>
  </si>
  <si>
    <t>out028</t>
  </si>
  <si>
    <t>es053</t>
  </si>
  <si>
    <t>Maternal Chronic Ultrasound Stress Provokes Immune
Activation and Behavioral Deficits in the Offspring: A Mouse
Model of Neurodevelopmental Pathology</t>
  </si>
  <si>
    <t xml:space="preserve">10.3390/ijms241411712 </t>
  </si>
  <si>
    <t>International Journal of Molecular Sciences</t>
  </si>
  <si>
    <t>Mus musculus</t>
  </si>
  <si>
    <t>albino house mouse</t>
  </si>
  <si>
    <t>BALB/c mice</t>
  </si>
  <si>
    <t>Varying frequencies. Mice in an accustically isolated room</t>
  </si>
  <si>
    <t>2 months</t>
  </si>
  <si>
    <t>Sucrose preference</t>
  </si>
  <si>
    <t>dark phase</t>
  </si>
  <si>
    <t>Figure 4A</t>
  </si>
  <si>
    <t>pavlov_2023_molsci_Fig4A</t>
  </si>
  <si>
    <t>NonSt_su</t>
  </si>
  <si>
    <t>US_su</t>
  </si>
  <si>
    <t>NonSt_US_su</t>
  </si>
  <si>
    <t>Visual estimations: you can't see the median in the violin plot</t>
  </si>
  <si>
    <t>out029</t>
  </si>
  <si>
    <t>es054</t>
  </si>
  <si>
    <t>Figure 4C</t>
  </si>
  <si>
    <t>pavlov_2023_molsci_Fig4C</t>
  </si>
  <si>
    <t>NonSt_sq</t>
  </si>
  <si>
    <t>US_sq</t>
  </si>
  <si>
    <t>NonSt_US_sq</t>
  </si>
  <si>
    <t>out030</t>
  </si>
  <si>
    <t>es055</t>
  </si>
  <si>
    <t>Figure 4D</t>
  </si>
  <si>
    <t>pavlov_2023_molsci_Fig4D</t>
  </si>
  <si>
    <t>NonSt_csq</t>
  </si>
  <si>
    <t>US_csq</t>
  </si>
  <si>
    <t>NonSt_US_csq</t>
  </si>
  <si>
    <t>out031</t>
  </si>
  <si>
    <t>es056</t>
  </si>
  <si>
    <t>Figure 4E</t>
  </si>
  <si>
    <t>pavlov_2023_molsci_Fig4E</t>
  </si>
  <si>
    <t>NonSt_oat</t>
  </si>
  <si>
    <t>US_oat</t>
  </si>
  <si>
    <t>NonSt_US_oat</t>
  </si>
  <si>
    <t>out032</t>
  </si>
  <si>
    <t>es057</t>
  </si>
  <si>
    <t>Figure 4F</t>
  </si>
  <si>
    <t>pavlov_2023_molsci_Fig4F</t>
  </si>
  <si>
    <t>NonSt_oae</t>
  </si>
  <si>
    <t>US_oae</t>
  </si>
  <si>
    <t>NonSt_US_oae</t>
  </si>
  <si>
    <t>nishio_2006_intjdevlneur</t>
  </si>
  <si>
    <t>con010</t>
  </si>
  <si>
    <t>out033</t>
  </si>
  <si>
    <t>es058</t>
  </si>
  <si>
    <t>one female, one male and one control group per sex</t>
  </si>
  <si>
    <t>Effects of perinatal stress on the anxiety-related behavior of  the adolescence mouse</t>
  </si>
  <si>
    <t>10.1016/j.ijdevneu.2006.02.003</t>
  </si>
  <si>
    <t>International Journal of Developemental Neuroscience</t>
  </si>
  <si>
    <t>ddY mice</t>
  </si>
  <si>
    <t>mid, late</t>
  </si>
  <si>
    <t xml:space="preserve">day 10 to 18 </t>
  </si>
  <si>
    <t>Other/Unclear</t>
  </si>
  <si>
    <t>No information</t>
  </si>
  <si>
    <t>5 weeks</t>
  </si>
  <si>
    <t>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t>
  </si>
  <si>
    <t>Time in open/total arms</t>
  </si>
  <si>
    <t>Fig. 2a</t>
  </si>
  <si>
    <t>nishio_2006_intjdevlneur_fig2a</t>
  </si>
  <si>
    <t>pre_n_m_oat</t>
  </si>
  <si>
    <t>pre_so_m_oat</t>
  </si>
  <si>
    <t>con011</t>
  </si>
  <si>
    <t>es059</t>
  </si>
  <si>
    <t>pre_n_f_oat</t>
  </si>
  <si>
    <t>pre_so_f_oat</t>
  </si>
  <si>
    <t>out034</t>
  </si>
  <si>
    <t>es060</t>
  </si>
  <si>
    <t>Entries to open/total arms</t>
  </si>
  <si>
    <t>Fig. 2b</t>
  </si>
  <si>
    <t>nishio_2006_intjdevlneur_fig2b</t>
  </si>
  <si>
    <t>pre_n_m_oae</t>
  </si>
  <si>
    <t>pre_so_m_oae</t>
  </si>
  <si>
    <t>es061</t>
  </si>
  <si>
    <t>pre_n_f_oae</t>
  </si>
  <si>
    <t>pre_so_f_oae</t>
  </si>
  <si>
    <t>out035</t>
  </si>
  <si>
    <t>es062</t>
  </si>
  <si>
    <t>Entries to closed arms</t>
  </si>
  <si>
    <t>Fig. 2c</t>
  </si>
  <si>
    <t>nishio_2006_intjdevlneur_fig2c</t>
  </si>
  <si>
    <t>pre_n_m_cae</t>
  </si>
  <si>
    <t>pre_so_m_cae</t>
  </si>
  <si>
    <t>es063</t>
  </si>
  <si>
    <t>pre_n_f_cae</t>
  </si>
  <si>
    <t>pre_so_f_cae</t>
  </si>
  <si>
    <t>uygur_2011_ankarauniv</t>
  </si>
  <si>
    <t>ex014</t>
  </si>
  <si>
    <t>con012</t>
  </si>
  <si>
    <t>out036</t>
  </si>
  <si>
    <t>es064</t>
  </si>
  <si>
    <t>One treatmentent group and one control</t>
  </si>
  <si>
    <t>Investigation of the long term effects of chronic white noise stress on learning in radial arm maze and behaviors in forced swim test</t>
  </si>
  <si>
    <t>10.1501/Vetfak_0000002481</t>
  </si>
  <si>
    <t>Ankara Üniv Vet Fak Derg</t>
  </si>
  <si>
    <t>205±3 g body weight</t>
  </si>
  <si>
    <t>day 14 to 21</t>
  </si>
  <si>
    <t>PC group remained undisturbed</t>
  </si>
  <si>
    <t>Placed individually into cylinder, swam 15 min first day, 5 mins second day</t>
  </si>
  <si>
    <t>In paper: Table 2.</t>
  </si>
  <si>
    <t>uygur_2011_ankarauniv.pdf</t>
  </si>
  <si>
    <t>CON_in</t>
  </si>
  <si>
    <t>PSN_in</t>
  </si>
  <si>
    <t>CON_PSN_in1</t>
  </si>
  <si>
    <t>No figures</t>
  </si>
  <si>
    <t>es065</t>
  </si>
  <si>
    <t>CON_PSN_in2</t>
  </si>
  <si>
    <t>out037</t>
  </si>
  <si>
    <t>es066</t>
  </si>
  <si>
    <t>Total swimming time</t>
  </si>
  <si>
    <t>CON_sw</t>
  </si>
  <si>
    <t>PSN_sw</t>
  </si>
  <si>
    <t>CON_PSN_sw1</t>
  </si>
  <si>
    <t>es067</t>
  </si>
  <si>
    <t>CON_PSN_sw2</t>
  </si>
  <si>
    <t>out038</t>
  </si>
  <si>
    <t>es068</t>
  </si>
  <si>
    <t>Total diving time</t>
  </si>
  <si>
    <t>CON_di</t>
  </si>
  <si>
    <t>PSN_di</t>
  </si>
  <si>
    <t>CON_PSN_di1</t>
  </si>
  <si>
    <t>es069</t>
  </si>
  <si>
    <t>CON_PSN_di2</t>
  </si>
  <si>
    <t>out039</t>
  </si>
  <si>
    <t>es070</t>
  </si>
  <si>
    <t>Total jumping time</t>
  </si>
  <si>
    <t>CON_ju</t>
  </si>
  <si>
    <t>PSN_ju</t>
  </si>
  <si>
    <t>CON_PSN_ju1</t>
  </si>
  <si>
    <t>es071</t>
  </si>
  <si>
    <t>CON_PSN_ju2</t>
  </si>
  <si>
    <t>morra_1965_physiolrec</t>
  </si>
  <si>
    <t>ex015</t>
  </si>
  <si>
    <t>con013</t>
  </si>
  <si>
    <t>out040</t>
  </si>
  <si>
    <t>es072</t>
  </si>
  <si>
    <t>PRENATAL SOUND STIMULATION ON POSTNATAL RAT OFFSPRING OPEN FIELD BEHAVIORS</t>
  </si>
  <si>
    <t>10.1007/BF03393632</t>
  </si>
  <si>
    <t>The psychological Record</t>
  </si>
  <si>
    <t xml:space="preserve">120-140 days </t>
  </si>
  <si>
    <t>day 12-20</t>
  </si>
  <si>
    <t>There was a noise of 3.25 sec. duration produced bya door buzzer. for eight consecutive days. Each animal received three trials, twice daily, with an interblock interval of approximately one hour.</t>
  </si>
  <si>
    <t>Door bell</t>
  </si>
  <si>
    <t>Same manipulation with no door bell, but they don't mention anything about noise conditions</t>
  </si>
  <si>
    <t>mixed</t>
  </si>
  <si>
    <t>Axiety</t>
  </si>
  <si>
    <t>Table 2 and text</t>
  </si>
  <si>
    <t>GIII_csq</t>
  </si>
  <si>
    <t>GII_csq</t>
  </si>
  <si>
    <t>GIII_GII_csq</t>
  </si>
  <si>
    <t>No SE or CI</t>
  </si>
  <si>
    <t>out041</t>
  </si>
  <si>
    <t>es073</t>
  </si>
  <si>
    <t>Initial latency to move</t>
  </si>
  <si>
    <t>GIII_il</t>
  </si>
  <si>
    <t>GII_il</t>
  </si>
  <si>
    <t>GIII_GII_il</t>
  </si>
  <si>
    <t>abramova_2021_front</t>
  </si>
  <si>
    <t>ex016</t>
  </si>
  <si>
    <t>con014</t>
  </si>
  <si>
    <t>out042</t>
  </si>
  <si>
    <t>es074</t>
  </si>
  <si>
    <t>One control female, one male and one experimental female and one male</t>
  </si>
  <si>
    <t>The Behavior and Postnatal Development in Infant and Juvenile Rats After Ultrasound-Induced Chronic Prenatal Stress</t>
  </si>
  <si>
    <t>10.3389/fphys.2021.659366</t>
  </si>
  <si>
    <t>Frontiers in Physiology</t>
  </si>
  <si>
    <t>3 weeks</t>
  </si>
  <si>
    <t>"normal conditions without ultrasound"</t>
  </si>
  <si>
    <t>Square arena on PND20</t>
  </si>
  <si>
    <t>Figure 2a</t>
  </si>
  <si>
    <t>OF-pups-abramova2015</t>
  </si>
  <si>
    <t>C_f_sq</t>
  </si>
  <si>
    <t>PS_f_sq</t>
  </si>
  <si>
    <t>C_PS_f_sq</t>
  </si>
  <si>
    <t>Extracted all from raw data</t>
  </si>
  <si>
    <t>ex017</t>
  </si>
  <si>
    <t>con015</t>
  </si>
  <si>
    <t>es075</t>
  </si>
  <si>
    <t>OF-pups-abramova2016</t>
  </si>
  <si>
    <t>C_m_sq</t>
  </si>
  <si>
    <t>PS_m_sq</t>
  </si>
  <si>
    <t>C_PS_m_sq</t>
  </si>
  <si>
    <t>out043</t>
  </si>
  <si>
    <t>es076</t>
  </si>
  <si>
    <t>Rearing frequency</t>
  </si>
  <si>
    <t>Figure 2b</t>
  </si>
  <si>
    <t>OF-pups-abramova2017</t>
  </si>
  <si>
    <t>C_f_re</t>
  </si>
  <si>
    <t>C_PS_f_re</t>
  </si>
  <si>
    <t>es077</t>
  </si>
  <si>
    <t>OF-pups-abramova2018</t>
  </si>
  <si>
    <t>C_m_re</t>
  </si>
  <si>
    <t>C_PS_m_re</t>
  </si>
  <si>
    <t>out044</t>
  </si>
  <si>
    <t>es078</t>
  </si>
  <si>
    <t>Center entries (crossing)</t>
  </si>
  <si>
    <t>Raw data</t>
  </si>
  <si>
    <t>OF-pups-abramova2019</t>
  </si>
  <si>
    <t>C_f_cen</t>
  </si>
  <si>
    <t>PS_f_cen</t>
  </si>
  <si>
    <t>C_PS_f_cen</t>
  </si>
  <si>
    <t>es079</t>
  </si>
  <si>
    <t>OF-pups-abramova2020</t>
  </si>
  <si>
    <t>C_m_cen</t>
  </si>
  <si>
    <t>PS_m_cen</t>
  </si>
  <si>
    <t>C_PS_m_cen</t>
  </si>
  <si>
    <t>out045</t>
  </si>
  <si>
    <t>es080</t>
  </si>
  <si>
    <t>Center total time</t>
  </si>
  <si>
    <t>OF-pups-abramova2021</t>
  </si>
  <si>
    <t>C_f_centt</t>
  </si>
  <si>
    <t>PS_f_centt</t>
  </si>
  <si>
    <t>C_PS_f_centt</t>
  </si>
  <si>
    <t>es081</t>
  </si>
  <si>
    <t>OF-pups-abramova2022</t>
  </si>
  <si>
    <t>C_m_centt</t>
  </si>
  <si>
    <t>PS_m_centt</t>
  </si>
  <si>
    <t>C_PS_m_centt</t>
  </si>
  <si>
    <t>out046</t>
  </si>
  <si>
    <t>es082</t>
  </si>
  <si>
    <t>OF-pups-abramova2023</t>
  </si>
  <si>
    <t>C_f_gfr</t>
  </si>
  <si>
    <t>PS_f_gfr</t>
  </si>
  <si>
    <t>C_PS_f_gfr</t>
  </si>
  <si>
    <t>es083</t>
  </si>
  <si>
    <t>OF-pups-abramova2024</t>
  </si>
  <si>
    <t>C_m_gfr</t>
  </si>
  <si>
    <t>PS_m_gfr</t>
  </si>
  <si>
    <t>C_PS_m_gfr</t>
  </si>
  <si>
    <t>out047</t>
  </si>
  <si>
    <t>es084</t>
  </si>
  <si>
    <t>Grooming total time</t>
  </si>
  <si>
    <t>OF-pups-abramova2025</t>
  </si>
  <si>
    <t>C_f_gtt</t>
  </si>
  <si>
    <t>PS_f_gtt</t>
  </si>
  <si>
    <t>C_PS_f_gtt</t>
  </si>
  <si>
    <t>es085</t>
  </si>
  <si>
    <t>OF-pups-abramova2026</t>
  </si>
  <si>
    <t>C_m_gtt</t>
  </si>
  <si>
    <t>PS_m_gtt</t>
  </si>
  <si>
    <t>C_PS_m_gtt</t>
  </si>
  <si>
    <t>out048</t>
  </si>
  <si>
    <t>es086</t>
  </si>
  <si>
    <t>total freezing time</t>
  </si>
  <si>
    <t>Figure 2c</t>
  </si>
  <si>
    <t>OF-pups-abramova2027</t>
  </si>
  <si>
    <t>C_f_frtt</t>
  </si>
  <si>
    <t>C_PS_f_fr</t>
  </si>
  <si>
    <t>es087</t>
  </si>
  <si>
    <t>OF-pups-abramova2028</t>
  </si>
  <si>
    <t>C_m_ftt</t>
  </si>
  <si>
    <t>C_PS_m_fr</t>
  </si>
  <si>
    <t>badache_2017_stress</t>
  </si>
  <si>
    <t>ex018</t>
  </si>
  <si>
    <t>con016</t>
  </si>
  <si>
    <t>out049</t>
  </si>
  <si>
    <t>es088</t>
  </si>
  <si>
    <t>Prenatal noise and restraint stress interact to alter exploratory behavior and balance in juvenile rats, and mixed stress reverses these effects</t>
  </si>
  <si>
    <t>10.1080/10253890.2017.1307962</t>
  </si>
  <si>
    <t>Stress</t>
  </si>
  <si>
    <t>90 days</t>
  </si>
  <si>
    <t>day 11-19</t>
  </si>
  <si>
    <t>3 mins per day.  HELLA twintone Horn, car horn</t>
  </si>
  <si>
    <t>Time in corners</t>
  </si>
  <si>
    <t>Figure 5a</t>
  </si>
  <si>
    <t>badache_2017_stress_5a</t>
  </si>
  <si>
    <t>Cn_cor</t>
  </si>
  <si>
    <t>Ns_cor</t>
  </si>
  <si>
    <t>Cn_Ns_cor</t>
  </si>
  <si>
    <t>out050</t>
  </si>
  <si>
    <t>es089</t>
  </si>
  <si>
    <t>Figure 5b</t>
  </si>
  <si>
    <t>badache_2017_stress_5b</t>
  </si>
  <si>
    <t>Cn_sq</t>
  </si>
  <si>
    <t>Ns_sq</t>
  </si>
  <si>
    <t>Cn_Ns_sq</t>
  </si>
  <si>
    <t>out051</t>
  </si>
  <si>
    <t>es090</t>
  </si>
  <si>
    <t>Figure 5c</t>
  </si>
  <si>
    <t>badache_2017_stress_5c</t>
  </si>
  <si>
    <t>Cn_cen</t>
  </si>
  <si>
    <t>Ns_cen</t>
  </si>
  <si>
    <t>Cn_Ns_cen</t>
  </si>
  <si>
    <t>out052</t>
  </si>
  <si>
    <t>es091</t>
  </si>
  <si>
    <t>Figure 5d</t>
  </si>
  <si>
    <t>badache_2017_stress_5d</t>
  </si>
  <si>
    <t>Cn_re</t>
  </si>
  <si>
    <t>Ns_re</t>
  </si>
  <si>
    <t>Cn_Ns_re</t>
  </si>
  <si>
    <t>out053</t>
  </si>
  <si>
    <t>es092</t>
  </si>
  <si>
    <t>Figure 6a</t>
  </si>
  <si>
    <t>badache_2017_stress_6a</t>
  </si>
  <si>
    <t>Cn_oat</t>
  </si>
  <si>
    <t>Ns_oat</t>
  </si>
  <si>
    <t>Cn_Ns_oat</t>
  </si>
  <si>
    <t>out054</t>
  </si>
  <si>
    <t>es093</t>
  </si>
  <si>
    <t>Cross-Fostered</t>
  </si>
  <si>
    <t>Figure 6b</t>
  </si>
  <si>
    <t>badache_2017_stress_6b</t>
  </si>
  <si>
    <t>Cn_rt</t>
  </si>
  <si>
    <t>Ns_rt</t>
  </si>
  <si>
    <t>Cn_Ns_rt</t>
  </si>
  <si>
    <t>whitlow_1978_thesis</t>
  </si>
  <si>
    <t>ex019</t>
  </si>
  <si>
    <t>con017</t>
  </si>
  <si>
    <t>out055</t>
  </si>
  <si>
    <t>es094</t>
  </si>
  <si>
    <t>They had two experimental groups, 65dB and 85dB, they did 3 trials, one per day of the OFT</t>
  </si>
  <si>
    <t>THE EFFECT OF SOUND STIMULATION DURING GESTATION  ON THE BEHAVIOR OF RAT OFFSPRING</t>
  </si>
  <si>
    <t>Thesis</t>
  </si>
  <si>
    <t>hooded rat</t>
  </si>
  <si>
    <t>Lister rat</t>
  </si>
  <si>
    <t>day 12-19</t>
  </si>
  <si>
    <t>18 seconds per day. It was a tone</t>
  </si>
  <si>
    <t>In the pilot they used a "2 . 5 KHz tone of 3 second duration at  an intensity of 85 dB (re 20 4 N/m~)." but they don't explicitly mention they used the same for final experiment</t>
  </si>
  <si>
    <t>No noise, moved into experimental sound cage</t>
  </si>
  <si>
    <t>Circular open-field, duration 3 minutes and repeated in 3 consecutive days</t>
  </si>
  <si>
    <t>Sections crossed</t>
  </si>
  <si>
    <t>whitlow_1978_thesis_fig2</t>
  </si>
  <si>
    <t>HNoN_1_sq</t>
  </si>
  <si>
    <t>HN_1_sq</t>
  </si>
  <si>
    <t>HNoN_HN_1_sq</t>
  </si>
  <si>
    <t xml:space="preserve">Foster mothers with no noise exposure. We also used the HNoN control, which were manipulated the same way as the noise treatment, but no noise </t>
  </si>
  <si>
    <t>ex020</t>
  </si>
  <si>
    <t>es095</t>
  </si>
  <si>
    <t>HLN_1_sq</t>
  </si>
  <si>
    <t>HNoN_HLN_1_sq</t>
  </si>
  <si>
    <t>The author stated "hooded rat," we assumed "lister rat"</t>
  </si>
  <si>
    <t>es096</t>
  </si>
  <si>
    <t>HNoN_2_sq</t>
  </si>
  <si>
    <t>HN_2_sq</t>
  </si>
  <si>
    <t>HNoN_HN_2_sq</t>
  </si>
  <si>
    <t>es097</t>
  </si>
  <si>
    <t>HLN_2_sq</t>
  </si>
  <si>
    <t>HNoN_HLN_2_sq</t>
  </si>
  <si>
    <t>es098</t>
  </si>
  <si>
    <t>HNoN_3_sq</t>
  </si>
  <si>
    <t>HN_3_sq</t>
  </si>
  <si>
    <t>HNoN_HN_3_sq</t>
  </si>
  <si>
    <t>es099</t>
  </si>
  <si>
    <t>HLN_3_sq</t>
  </si>
  <si>
    <t>HNoN_HLN_3_sq</t>
  </si>
  <si>
    <t>out056</t>
  </si>
  <si>
    <t>es100</t>
  </si>
  <si>
    <t>Figure 4</t>
  </si>
  <si>
    <t>whitlow_1978_thesis_fig4</t>
  </si>
  <si>
    <t>HNoN_1_gr</t>
  </si>
  <si>
    <t>HN_1_gr</t>
  </si>
  <si>
    <t>HNoN_HN_1_gr</t>
  </si>
  <si>
    <t>es101</t>
  </si>
  <si>
    <t>HLN_1_gr</t>
  </si>
  <si>
    <t>HNoN_HLN_1_gr</t>
  </si>
  <si>
    <t>es102</t>
  </si>
  <si>
    <t>HNoN_2_gr</t>
  </si>
  <si>
    <t>HN_2_gr</t>
  </si>
  <si>
    <t>HNoN_HN_2_gr</t>
  </si>
  <si>
    <t>es103</t>
  </si>
  <si>
    <t>HLN_2_gr</t>
  </si>
  <si>
    <t>HNoN_HLN_2_gr</t>
  </si>
  <si>
    <t>es104</t>
  </si>
  <si>
    <t>HNoN_3_gr</t>
  </si>
  <si>
    <t>HN_3_gr</t>
  </si>
  <si>
    <t>HNoN_HN_3_gr</t>
  </si>
  <si>
    <t>es105</t>
  </si>
  <si>
    <t>HLN_3_gr</t>
  </si>
  <si>
    <t>HNoN_HLN_3_gr</t>
  </si>
  <si>
    <t>out057</t>
  </si>
  <si>
    <t>es106</t>
  </si>
  <si>
    <t>Defecation ammount</t>
  </si>
  <si>
    <t>Figure 5</t>
  </si>
  <si>
    <t>whitlow_1978_thesis_fig5</t>
  </si>
  <si>
    <t>HNoN_1_de</t>
  </si>
  <si>
    <t>HN_1_de</t>
  </si>
  <si>
    <t>HNoN_HN_1_de</t>
  </si>
  <si>
    <t>es107</t>
  </si>
  <si>
    <t>HLN_1_de</t>
  </si>
  <si>
    <t>HNoN_HLN_1_de</t>
  </si>
  <si>
    <t>es108</t>
  </si>
  <si>
    <t>HNoN_2_de</t>
  </si>
  <si>
    <t>HN_2_de</t>
  </si>
  <si>
    <t>HNoN_HN_2_de</t>
  </si>
  <si>
    <t>es109</t>
  </si>
  <si>
    <t>HLN_2_de</t>
  </si>
  <si>
    <t>HNoN_HLN_2_de</t>
  </si>
  <si>
    <t>es110</t>
  </si>
  <si>
    <t>HNoN_3_de</t>
  </si>
  <si>
    <t>HN_3_de</t>
  </si>
  <si>
    <t>HNoN_HN_3_de</t>
  </si>
  <si>
    <t>es111</t>
  </si>
  <si>
    <t>HLN_3_de</t>
  </si>
  <si>
    <t>HNoN_HLN_3_de</t>
  </si>
  <si>
    <t>con018</t>
  </si>
  <si>
    <t>out058</t>
  </si>
  <si>
    <t>es112</t>
  </si>
  <si>
    <t>C_1_sq</t>
  </si>
  <si>
    <t>C_HN_1_sq</t>
  </si>
  <si>
    <t>es113</t>
  </si>
  <si>
    <t>C_HLN_1_sq</t>
  </si>
  <si>
    <t>es114</t>
  </si>
  <si>
    <t>C_2_sq</t>
  </si>
  <si>
    <t>C_HN_2_sq</t>
  </si>
  <si>
    <t>es115</t>
  </si>
  <si>
    <t>C_HLN_2_sq</t>
  </si>
  <si>
    <t>es116</t>
  </si>
  <si>
    <t>C_3_sq</t>
  </si>
  <si>
    <t>C_HN_3_sq</t>
  </si>
  <si>
    <t>es117</t>
  </si>
  <si>
    <t>C_HLN_3_sq</t>
  </si>
  <si>
    <t>out059</t>
  </si>
  <si>
    <t>es118</t>
  </si>
  <si>
    <t>No noise, left in cage</t>
  </si>
  <si>
    <t>C_1_gr</t>
  </si>
  <si>
    <t>C_HN_1_gr</t>
  </si>
  <si>
    <t>es119</t>
  </si>
  <si>
    <t>C_HLN_1_gr</t>
  </si>
  <si>
    <t>es120</t>
  </si>
  <si>
    <t>C_2_gr</t>
  </si>
  <si>
    <t>C_HN_2_gr</t>
  </si>
  <si>
    <t>es121</t>
  </si>
  <si>
    <t>C_HLN_2_gr</t>
  </si>
  <si>
    <t>es122</t>
  </si>
  <si>
    <t>C_3_gr</t>
  </si>
  <si>
    <t>C_HN_3_gr</t>
  </si>
  <si>
    <t>es123</t>
  </si>
  <si>
    <t>C_HLN_3_gr</t>
  </si>
  <si>
    <t>out060</t>
  </si>
  <si>
    <t>es124</t>
  </si>
  <si>
    <t>C_1_de</t>
  </si>
  <si>
    <t>C_HN_1_de</t>
  </si>
  <si>
    <t>es125</t>
  </si>
  <si>
    <t>C_HLN_1_de</t>
  </si>
  <si>
    <t>es126</t>
  </si>
  <si>
    <t>C_2_de</t>
  </si>
  <si>
    <t>C_HN_2_de</t>
  </si>
  <si>
    <t>es127</t>
  </si>
  <si>
    <t>C_HLN_2_de</t>
  </si>
  <si>
    <t>es128</t>
  </si>
  <si>
    <t>C_3_de</t>
  </si>
  <si>
    <t>C_HN_3_de</t>
  </si>
  <si>
    <t>es129</t>
  </si>
  <si>
    <t>C_HLN_3_de</t>
  </si>
  <si>
    <t>abramova_2020_genpath</t>
  </si>
  <si>
    <t>ex021</t>
  </si>
  <si>
    <t>con019</t>
  </si>
  <si>
    <t>out061</t>
  </si>
  <si>
    <t>es130</t>
  </si>
  <si>
    <t>They had one level of exposure, and two experimental groups, female and males, and one control per group</t>
  </si>
  <si>
    <t>Social and Cognitive Impairments in Rat Offspring after Ultrasound-Induced Prenatal Stress</t>
  </si>
  <si>
    <t>10.1007/s10517-020-04790-0</t>
  </si>
  <si>
    <t>General Pathology and Pathophysiology</t>
  </si>
  <si>
    <t>albino lab rat</t>
  </si>
  <si>
    <t>all gestation</t>
  </si>
  <si>
    <t>Ambiet sound</t>
  </si>
  <si>
    <t>"under normal conditions without ultrasound"</t>
  </si>
  <si>
    <t>square crossing</t>
  </si>
  <si>
    <t>raw data</t>
  </si>
  <si>
    <t>KO-m-sq</t>
  </si>
  <si>
    <t>US-m-g1-sq</t>
  </si>
  <si>
    <t>KO_US_m_sq</t>
  </si>
  <si>
    <t>ex022</t>
  </si>
  <si>
    <t>con020</t>
  </si>
  <si>
    <t>es131</t>
  </si>
  <si>
    <t>squares crossed</t>
  </si>
  <si>
    <t>CO-f-sq</t>
  </si>
  <si>
    <t>US-f-g1-sq</t>
  </si>
  <si>
    <t>CO_US_f_sq</t>
  </si>
  <si>
    <t>out062</t>
  </si>
  <si>
    <t>es132</t>
  </si>
  <si>
    <t>rearing frequency</t>
  </si>
  <si>
    <t>KO-m-rea</t>
  </si>
  <si>
    <t>US-m-g1-rea</t>
  </si>
  <si>
    <t>KO_US_m_rea</t>
  </si>
  <si>
    <t>es133</t>
  </si>
  <si>
    <t>CO-f-rea</t>
  </si>
  <si>
    <t>US-f-g1-rea</t>
  </si>
  <si>
    <t>CO_US_f_rea</t>
  </si>
  <si>
    <t>out063</t>
  </si>
  <si>
    <t>es134</t>
  </si>
  <si>
    <t>center entries</t>
  </si>
  <si>
    <t>KO-m-cen</t>
  </si>
  <si>
    <t>US-m-g1-cen</t>
  </si>
  <si>
    <t>KO_US_m_cen</t>
  </si>
  <si>
    <t>es135</t>
  </si>
  <si>
    <t>CO-f-cen</t>
  </si>
  <si>
    <t>US-f-g1-cen</t>
  </si>
  <si>
    <t>CO_US_f_cen</t>
  </si>
  <si>
    <t>out064</t>
  </si>
  <si>
    <t>es136</t>
  </si>
  <si>
    <t>total grooming time</t>
  </si>
  <si>
    <t>KO-m-grt</t>
  </si>
  <si>
    <t>US-m-g1-grt</t>
  </si>
  <si>
    <t>KO_US_m_grt</t>
  </si>
  <si>
    <t>es137</t>
  </si>
  <si>
    <t>CO-f-grt</t>
  </si>
  <si>
    <t>US-f-g1-grt</t>
  </si>
  <si>
    <t>CO_US_f_grt</t>
  </si>
  <si>
    <t>out065</t>
  </si>
  <si>
    <t>es138</t>
  </si>
  <si>
    <t>freezing time</t>
  </si>
  <si>
    <t>KO-m-fr</t>
  </si>
  <si>
    <t>US-m-fr</t>
  </si>
  <si>
    <t>KO_US_m_fr</t>
  </si>
  <si>
    <t>es139</t>
  </si>
  <si>
    <t>CO-f-fr</t>
  </si>
  <si>
    <t>US-f-g1-fr</t>
  </si>
  <si>
    <t>CO_US_f_fr</t>
  </si>
  <si>
    <t>out066</t>
  </si>
  <si>
    <t>es140</t>
  </si>
  <si>
    <t>grooming frequency</t>
  </si>
  <si>
    <t>KO-m-grf</t>
  </si>
  <si>
    <t>US-m-g1-grf</t>
  </si>
  <si>
    <t>KO_US_m_grf</t>
  </si>
  <si>
    <t>es141</t>
  </si>
  <si>
    <t>CO-f-grf</t>
  </si>
  <si>
    <t>US-f-g1-grf</t>
  </si>
  <si>
    <t>KO_US_f_grf</t>
  </si>
  <si>
    <t>out067</t>
  </si>
  <si>
    <t>es142</t>
  </si>
  <si>
    <t>Total time in dark</t>
  </si>
  <si>
    <t>US-m-g1</t>
  </si>
  <si>
    <t>KO_US_m_d</t>
  </si>
  <si>
    <t>es143</t>
  </si>
  <si>
    <t>US-f-g1</t>
  </si>
  <si>
    <t>CO_US_f_d</t>
  </si>
  <si>
    <t>out068</t>
  </si>
  <si>
    <t>es144</t>
  </si>
  <si>
    <t>Total time in light</t>
  </si>
  <si>
    <t>KO-m-d</t>
  </si>
  <si>
    <t>KO_US_m_li</t>
  </si>
  <si>
    <t>es145</t>
  </si>
  <si>
    <t>KO-f-d</t>
  </si>
  <si>
    <t>CO_US_f_li</t>
  </si>
  <si>
    <t>out069</t>
  </si>
  <si>
    <t>es146</t>
  </si>
  <si>
    <t>Transitions to centre</t>
  </si>
  <si>
    <t>KO-m-l</t>
  </si>
  <si>
    <t>KO_US_m_tr</t>
  </si>
  <si>
    <t>es147</t>
  </si>
  <si>
    <t>KO-f-l</t>
  </si>
  <si>
    <t>KO_US_f_tr</t>
  </si>
  <si>
    <t>out070</t>
  </si>
  <si>
    <t>es148</t>
  </si>
  <si>
    <t>head-out inspections</t>
  </si>
  <si>
    <t>KO-m-tr</t>
  </si>
  <si>
    <t>KO_US_m_ho</t>
  </si>
  <si>
    <t>es149</t>
  </si>
  <si>
    <t>KO-f-tr</t>
  </si>
  <si>
    <t>KO_US_f_ho</t>
  </si>
  <si>
    <t>out071</t>
  </si>
  <si>
    <t>es150</t>
  </si>
  <si>
    <t>Overhangs</t>
  </si>
  <si>
    <t>KO-m-hea</t>
  </si>
  <si>
    <t>KO_US_m_oh</t>
  </si>
  <si>
    <t>es151</t>
  </si>
  <si>
    <t>KO-f-hea</t>
  </si>
  <si>
    <t>KO_US_f_oh</t>
  </si>
  <si>
    <t>out072</t>
  </si>
  <si>
    <t>es152</t>
  </si>
  <si>
    <t>Total grooming time</t>
  </si>
  <si>
    <t>KO-m-tgt</t>
  </si>
  <si>
    <t>KO_US_m_tgt</t>
  </si>
  <si>
    <t>es153</t>
  </si>
  <si>
    <t>KO-f-tgt</t>
  </si>
  <si>
    <t>KO_US_f_tgt</t>
  </si>
  <si>
    <t>out073</t>
  </si>
  <si>
    <t>es154</t>
  </si>
  <si>
    <t>KO_US_m_rf</t>
  </si>
  <si>
    <t>es155</t>
  </si>
  <si>
    <t>KO-f-rea</t>
  </si>
  <si>
    <t>KO_US_f_rf</t>
  </si>
  <si>
    <t>out074</t>
  </si>
  <si>
    <t>es156</t>
  </si>
  <si>
    <t>KO_US_m_tft</t>
  </si>
  <si>
    <t>es157</t>
  </si>
  <si>
    <t>KO_US_f_tft</t>
  </si>
  <si>
    <t>out075</t>
  </si>
  <si>
    <t>es158</t>
  </si>
  <si>
    <t>es159</t>
  </si>
  <si>
    <t>out076</t>
  </si>
  <si>
    <t>es160</t>
  </si>
  <si>
    <t>Forced Swim Test (FST)</t>
  </si>
  <si>
    <t>inmobility time</t>
  </si>
  <si>
    <t>con_m_inm</t>
  </si>
  <si>
    <t>ex_m_inm</t>
  </si>
  <si>
    <t>con_ex_m_inm</t>
  </si>
  <si>
    <t>es161</t>
  </si>
  <si>
    <t>con_f_inm</t>
  </si>
  <si>
    <t>ex_f_inm</t>
  </si>
  <si>
    <t>con_ex_f_inm</t>
  </si>
  <si>
    <t>out077</t>
  </si>
  <si>
    <t>es162</t>
  </si>
  <si>
    <t>Sucrosse preference index</t>
  </si>
  <si>
    <t>con_m_liq</t>
  </si>
  <si>
    <t>ex_m_liq</t>
  </si>
  <si>
    <t>con_ex_m_liq</t>
  </si>
  <si>
    <t>es163</t>
  </si>
  <si>
    <t>abramova_2020_genpath.xlsx</t>
  </si>
  <si>
    <t>con_f_liq</t>
  </si>
  <si>
    <t>ex_f_liq</t>
  </si>
  <si>
    <t>con_ex_f_liq</t>
  </si>
  <si>
    <t>abramova_2023_biopsy</t>
  </si>
  <si>
    <t>ex023</t>
  </si>
  <si>
    <t>con021</t>
  </si>
  <si>
    <t>out078</t>
  </si>
  <si>
    <t>es164</t>
  </si>
  <si>
    <t>Blood BDNF and neuropeptide concentrations as potential biomarkers of behavioral impairments in rats with prenatal ultrasound stress experience</t>
  </si>
  <si>
    <t>Российский психиатрический журнал</t>
  </si>
  <si>
    <t>16 weeks</t>
  </si>
  <si>
    <t>Early, mid, late</t>
  </si>
  <si>
    <t>"all females with their pups were kept in individual cages under standard conditions without experimental intervention"</t>
  </si>
  <si>
    <t>Square crossing</t>
  </si>
  <si>
    <t>paper Table 1</t>
  </si>
  <si>
    <t>abramova_2023_biopsy_data.xlsx</t>
  </si>
  <si>
    <t>KON_m_</t>
  </si>
  <si>
    <t>PS_m_</t>
  </si>
  <si>
    <t>KON_PS_m_</t>
  </si>
  <si>
    <t>Mean±SEM</t>
  </si>
  <si>
    <t>ex024</t>
  </si>
  <si>
    <t>con022</t>
  </si>
  <si>
    <t>es165</t>
  </si>
  <si>
    <t>KON_f_</t>
  </si>
  <si>
    <t>PS_f_</t>
  </si>
  <si>
    <t>KON_PS_f_</t>
  </si>
  <si>
    <t>out079</t>
  </si>
  <si>
    <t>es166</t>
  </si>
  <si>
    <t>es167</t>
  </si>
  <si>
    <t>out080</t>
  </si>
  <si>
    <t>es168</t>
  </si>
  <si>
    <t>Median(Q1;Q3)</t>
  </si>
  <si>
    <t>es169</t>
  </si>
  <si>
    <t>out081</t>
  </si>
  <si>
    <t>es170</t>
  </si>
  <si>
    <t>Total freezing time</t>
  </si>
  <si>
    <t>es171</t>
  </si>
  <si>
    <t>out082</t>
  </si>
  <si>
    <t>es172</t>
  </si>
  <si>
    <t>Grooming time</t>
  </si>
  <si>
    <t>es173</t>
  </si>
  <si>
    <t>out083</t>
  </si>
  <si>
    <t>es174</t>
  </si>
  <si>
    <t>es175</t>
  </si>
  <si>
    <t>out084</t>
  </si>
  <si>
    <t>es176</t>
  </si>
  <si>
    <t>es177</t>
  </si>
  <si>
    <t>out085</t>
  </si>
  <si>
    <t>es178</t>
  </si>
  <si>
    <t>es179</t>
  </si>
  <si>
    <t>out086</t>
  </si>
  <si>
    <t>es180</t>
  </si>
  <si>
    <t>es181</t>
  </si>
  <si>
    <t>out087</t>
  </si>
  <si>
    <t>es182</t>
  </si>
  <si>
    <t>es183</t>
  </si>
  <si>
    <t>out088</t>
  </si>
  <si>
    <t>es184</t>
  </si>
  <si>
    <t>es185</t>
  </si>
  <si>
    <t>out089</t>
  </si>
  <si>
    <t>es186</t>
  </si>
  <si>
    <t>es187</t>
  </si>
  <si>
    <t>out090</t>
  </si>
  <si>
    <t>es188</t>
  </si>
  <si>
    <t>es189</t>
  </si>
  <si>
    <t>out091</t>
  </si>
  <si>
    <t>es190</t>
  </si>
  <si>
    <t>es191</t>
  </si>
  <si>
    <t>out092</t>
  </si>
  <si>
    <t>es192</t>
  </si>
  <si>
    <t>Total Grooming time</t>
  </si>
  <si>
    <t>es193</t>
  </si>
  <si>
    <t>out093</t>
  </si>
  <si>
    <t>es194</t>
  </si>
  <si>
    <t>es195</t>
  </si>
  <si>
    <t>out094</t>
  </si>
  <si>
    <t>es196</t>
  </si>
  <si>
    <t>es197</t>
  </si>
  <si>
    <t>out095</t>
  </si>
  <si>
    <t>es198</t>
  </si>
  <si>
    <t>es199</t>
  </si>
  <si>
    <t>out096</t>
  </si>
  <si>
    <t>es200</t>
  </si>
  <si>
    <t>Total Inmobility time</t>
  </si>
  <si>
    <t>es201</t>
  </si>
  <si>
    <t>Total Inmobility</t>
  </si>
  <si>
    <t>out097</t>
  </si>
  <si>
    <t>es202</t>
  </si>
  <si>
    <t>Total passive swimming</t>
  </si>
  <si>
    <t>es203</t>
  </si>
  <si>
    <t>out098</t>
  </si>
  <si>
    <t>es204</t>
  </si>
  <si>
    <t>Total active swimming</t>
  </si>
  <si>
    <t>es205</t>
  </si>
  <si>
    <t>out099</t>
  </si>
  <si>
    <t>es206</t>
  </si>
  <si>
    <t>Number of dives</t>
  </si>
  <si>
    <t>es207</t>
  </si>
  <si>
    <t>Items</t>
  </si>
  <si>
    <t>Descriptions</t>
  </si>
  <si>
    <t>Study information</t>
  </si>
  <si>
    <t>Unique identifier for the study. The format will be, in lower case, “first author_year_journal abbreviation.” E.g., smith_2023_jneurosc, with letters added for any non-unique IDs.</t>
  </si>
  <si>
    <t>Unique identifier for each independent experiment involving unique cohorts of animals within a study (e.g., one group exposed to 1 h of noise, another group exposed to 2 hours of noise), using a sequential numerical format (e.g., ex001, ex002). E.g., if a single cohort of animals is assessed using multiple different assays this is still considered a single experiment (ex001) with multiple outcome measures.</t>
  </si>
  <si>
    <t>Unique identifier for each independent control cohort of animals within a study (e.g., male control group and female control group). using a sequential numerical format (e.g., con001, con002). E.g., if a single cohort of animals is assessed using multiple different assays this is still considered a single experiment (con001) with multiple outcome measures.</t>
  </si>
  <si>
    <t>Unique identifier for each measurement assay or outcome reported for a specific cohort (e.g., out001, out002).</t>
  </si>
  <si>
    <t>Effect size ID – A unique identifier for each control–experimental pair of measurements (exposure-control) used to calculate an effect size (e.g., es0001).</t>
  </si>
  <si>
    <t>Indicate if extracted ex_cohort_id shares a control group (e.i. c_a_id—see definition below) with another extracted effect size. Code “Yes” if they share a control group.</t>
  </si>
  <si>
    <t>Notes regarding the identifier for experimental cohorts of animals or other recorded IDs.</t>
  </si>
  <si>
    <t>Title of the study.</t>
  </si>
  <si>
    <t>Short form DOI of the study (starting with “10.”).</t>
  </si>
  <si>
    <t>published_in</t>
  </si>
  <si>
    <t>The full name of the publisher. For journal articles, this will be the journal name; for theses, the university name.</t>
  </si>
  <si>
    <t>study_notes</t>
  </si>
  <si>
    <t>Comments regarding the study (e.g. atypical or complex study design requiring additional explanations).</t>
  </si>
  <si>
    <t>Population</t>
  </si>
  <si>
    <r>
      <t xml:space="preserve">Latin binomial of the animal model used in the study (e.g., </t>
    </r>
    <r>
      <rPr>
        <i/>
        <sz val="12"/>
        <color rgb="FF000000"/>
        <rFont val="Calibri"/>
        <family val="2"/>
      </rPr>
      <t>Rattus norvegicus, Mus musculus domesticus</t>
    </r>
    <r>
      <rPr>
        <sz val="12"/>
        <color rgb="FF000000"/>
        <rFont val="Calibri"/>
        <family val="2"/>
      </rPr>
      <t>).</t>
    </r>
  </si>
  <si>
    <t>The common name of the animal model used in teh study (e.g. brown rat, house mouse)</t>
  </si>
  <si>
    <t>Strain/breed of the animal model used in the study (e.g., Wistar, Balb-6)</t>
  </si>
  <si>
    <t>Dam</t>
  </si>
  <si>
    <t>The dam’s age at the start of the gestation, measured in weeks. Only numbers, if they provide a range of numbers, write the mid-point (e.g., 4-6 weeks = 5 weeks).</t>
  </si>
  <si>
    <t>Any observations related to the dam’s age, (e.g. mid-point recorded from the range 4-6 weeks).</t>
  </si>
  <si>
    <t>Gestation stage when the dams were exposed to chronic noise. For rats and mice, we will use the following categories: “early” stage (Day 0-7), “mid” gestation (Day 8-14), “late” gestation (Day 15 to term), or combination of these values. If not reported or unclear, code as “Not reported” or “Unclear”, respectively. For other rodent species, we will categorize post-extraction according to their appropriate developmental stages.</t>
  </si>
  <si>
    <t>gest_stage_ex _notes</t>
  </si>
  <si>
    <t>Notes concerning the gestation stages at which the dams were exposed to chronic noise.</t>
  </si>
  <si>
    <t>exposure_span</t>
  </si>
  <si>
    <t>Total number of days the dam was exposed to the chronic noise. If it is not specified, code as “Not Specified”.</t>
  </si>
  <si>
    <t>Code the noise exposure as “Intermittent” if they played noise for some hours per days, or “Continuous” if they never turn the noise off during the total exposure duration.</t>
  </si>
  <si>
    <t>exposure_session_duration</t>
  </si>
  <si>
    <t>Only if the exposure was intermittent, is the number of daily hours of exposure (convert minutes to hour fraction, e.g., 30 min is 0.5 h).</t>
  </si>
  <si>
    <t>ex_session_duration _notes</t>
  </si>
  <si>
    <t>Notes related to the exposure timing (e.g., if the authors provided duration in minutes, write it here).</t>
  </si>
  <si>
    <t>State the type of noise they used as the author states (synthetic noise, traffic playback, ultrasonic, other). For “other” add explanation in the noise_notes field.</t>
  </si>
  <si>
    <t>loudness</t>
  </si>
  <si>
    <t>Loudness of the noise in decibels. Leave blank if not reported.</t>
  </si>
  <si>
    <t>frequency</t>
  </si>
  <si>
    <t>Frequency of the speakers used, in hertz. Leave blank if not reported.</t>
  </si>
  <si>
    <t>noise_notes</t>
  </si>
  <si>
    <t>Notes related to exposure conditions.</t>
  </si>
  <si>
    <t>Conditions under which the control animals were kept during the noise exposure phase: silence, ambient sound; white noise; other. For “other” add explanation in the control_notes field.</t>
  </si>
  <si>
    <t>Loudness of the control conditions in decibels, if provided.</t>
  </si>
  <si>
    <t>Notes related to control conditions (e.g. no description provided).</t>
  </si>
  <si>
    <t>Offspring</t>
  </si>
  <si>
    <t>Sex of the offspring investigated: male, female, mixed, not reported. If not reported, the cell will be coded as “not reported”.</t>
  </si>
  <si>
    <t>offspring_age</t>
  </si>
  <si>
    <t>Age in days from the parturition of offspring at the start of a behavioural test. If they state, the age as days post conception (DPC), subtract 21 days. If they give a range of days, use the mid-point (e.g. 40-60 days, use 50 and add a note). If not reported or unclear, code as “not reported” or “unclear”, respectively.</t>
  </si>
  <si>
    <t>Notes concerning the age classes at which the animals went through the behavioural tests (e.g., if they provided a range of age, write it here).</t>
  </si>
  <si>
    <t>Identifies if a sham control was used for a surgical or pharmacological intervention in the extracted groups of animals. Code as: “None” if no such intervention was performed. Code as “Sham”, if a placebo procedure was used as the control (e.g., saline injection, mock surgery).</t>
  </si>
  <si>
    <t>Notes on the experimental procedures (e.g., type of sham procedure).</t>
  </si>
  <si>
    <r>
      <t xml:space="preserve">The primary behavioural construct to standardize whether an assay measures anxiety, depression, or both. For any assay listed in </t>
    </r>
    <r>
      <rPr>
        <b/>
        <sz val="12"/>
        <color rgb="FF000000"/>
        <rFont val="Calibri"/>
        <family val="2"/>
      </rPr>
      <t>Appendix 2</t>
    </r>
    <r>
      <rPr>
        <sz val="12"/>
        <color rgb="FF000000"/>
        <rFont val="Calibri"/>
        <family val="2"/>
      </rPr>
      <t xml:space="preserve">, the outcome will be coded as either “Anxiety” or 'Depression” as specified in that table (e.g., the Elevated Plus Maze is coded as “Anxiety”). If an assay is not in </t>
    </r>
    <r>
      <rPr>
        <b/>
        <sz val="12"/>
        <color rgb="FF000000"/>
        <rFont val="Calibri"/>
        <family val="2"/>
      </rPr>
      <t>Appendix 2</t>
    </r>
    <r>
      <rPr>
        <sz val="12"/>
        <color rgb="FF000000"/>
        <rFont val="Calibri"/>
        <family val="2"/>
      </rPr>
      <t>, the classification explicitly provided by the study's authors will be used; in this case, the outcome can be coded as “Anxiety”, “Depression”, or “Both” based on their statement.</t>
    </r>
  </si>
  <si>
    <r>
      <t xml:space="preserve">Type of assay used to measure anxiety or depression-like behaviours as listed in </t>
    </r>
    <r>
      <rPr>
        <b/>
        <sz val="12"/>
        <color rgb="FF000000"/>
        <rFont val="Calibri"/>
        <family val="2"/>
      </rPr>
      <t>Appendix 2</t>
    </r>
    <r>
      <rPr>
        <sz val="12"/>
        <color rgb="FF000000"/>
        <rFont val="Calibri"/>
        <family val="2"/>
      </rPr>
      <t>. Examples include Open Field Test, Tail Suspension Test, Elevated Plus Maze, Forced Swim Test, Sucrose Preference Test, Novelty Suppressed Feeding, Light-Dark Box.</t>
    </r>
  </si>
  <si>
    <t>Notes on the assay (e.g., variations from a typical protocol for a given assay type).</t>
  </si>
  <si>
    <t>The timing of the behavioural test. The value should be “Light Phase”, “Dark Phase”, or “Not Reported” if the information is not provided in the study.</t>
  </si>
  <si>
    <t>measurment_variable</t>
  </si>
  <si>
    <t>The specific behavioural phenomenon quantified in the assay. Examples include “Time in open arms,” “Sucrose preference”, “'Total distance travelled”, or “Immobility time”.</t>
  </si>
  <si>
    <t>data type</t>
  </si>
  <si>
    <t>The data type category of the measurement recorded. Examples include “Time,” “Percentage,” “Distance”, “Count”, or “Latency”.</t>
  </si>
  <si>
    <t>The specific unit for the measurement. For some data types like “Count”, this may not be applicable (e.g., seconds “s”, or centimetres “cm”).</t>
  </si>
  <si>
    <t>Location of extracted data in the publication. Indicate where the data (sample sizes, averages, measures of dispersion) were reported (e.g., main text, table, figure, or supplementary material). If the source is a table or figure, specify its number (e.g., Table 1, Figure 1).</t>
  </si>
  <si>
    <t>Name of the file where a screenshot of the figure with the extracted data is saved. If the data (sample sizes, averages, measures of dispersion) was shown in a figure, the screenshot should be saved in the format: First author_year_fig_number</t>
  </si>
  <si>
    <t>co_a_id</t>
  </si>
  <si>
    <r>
      <t xml:space="preserve">Label given to the relevant </t>
    </r>
    <r>
      <rPr>
        <b/>
        <sz val="12"/>
        <color rgb="FF000000"/>
        <rFont val="Calibri"/>
        <family val="2"/>
      </rPr>
      <t>control group</t>
    </r>
    <r>
      <rPr>
        <sz val="12"/>
        <color rgb="FF000000"/>
        <rFont val="Calibri"/>
        <family val="2"/>
      </rPr>
      <t xml:space="preserve"> (not exposed to noise in utero) </t>
    </r>
    <r>
      <rPr>
        <b/>
        <sz val="12"/>
        <color rgb="FF000000"/>
        <rFont val="Calibri"/>
        <family val="2"/>
      </rPr>
      <t>by the authors</t>
    </r>
    <r>
      <rPr>
        <sz val="12"/>
        <color rgb="FF000000"/>
        <rFont val="Calibri"/>
        <family val="2"/>
      </rPr>
      <t xml:space="preserve"> (e.g., label used in a plot presenting the measured behavioural outcome).</t>
    </r>
  </si>
  <si>
    <r>
      <t xml:space="preserve">Label given to the relevant noise </t>
    </r>
    <r>
      <rPr>
        <b/>
        <sz val="12"/>
        <color rgb="FF000000"/>
        <rFont val="Calibri"/>
        <family val="2"/>
      </rPr>
      <t>exposed group by the authors</t>
    </r>
    <r>
      <rPr>
        <sz val="12"/>
        <color rgb="FF000000"/>
        <rFont val="Calibri"/>
        <family val="2"/>
      </rPr>
      <t xml:space="preserve"> (e.g., label given in a plot presenting the measured behavioural outcome) .</t>
    </r>
  </si>
  <si>
    <r>
      <t>Focal contrast label – A unique label should be created by concatenating the comparison ID (</t>
    </r>
    <r>
      <rPr>
        <i/>
        <sz val="12"/>
        <color rgb="FF000000"/>
        <rFont val="Calibri"/>
        <family val="2"/>
      </rPr>
      <t>co_id</t>
    </r>
    <r>
      <rPr>
        <sz val="12"/>
        <color rgb="FF000000"/>
        <rFont val="Calibri"/>
        <family val="2"/>
      </rPr>
      <t>) and the experiment ID (</t>
    </r>
    <r>
      <rPr>
        <i/>
        <sz val="12"/>
        <color rgb="FF000000"/>
        <rFont val="Calibri"/>
        <family val="2"/>
      </rPr>
      <t>ex_id</t>
    </r>
    <r>
      <rPr>
        <sz val="12"/>
        <color rgb="FF000000"/>
        <rFont val="Calibri"/>
        <family val="2"/>
      </rPr>
      <t xml:space="preserve">). For example: </t>
    </r>
    <r>
      <rPr>
        <i/>
        <sz val="12"/>
        <color rgb="FF000000"/>
        <rFont val="Calibri"/>
        <family val="2"/>
      </rPr>
      <t>control_chronicnoise.</t>
    </r>
  </si>
  <si>
    <r>
      <t xml:space="preserve">Direction of outcome measurement – Indicates whether a higher mean value reflects lower levels of anxiety/depression. Options: </t>
    </r>
    <r>
      <rPr>
        <i/>
        <sz val="12"/>
        <color rgb="FF000000"/>
        <rFont val="Calibri"/>
        <family val="2"/>
      </rPr>
      <t>“</t>
    </r>
    <r>
      <rPr>
        <sz val="12"/>
        <color rgb="FF000000"/>
        <rFont val="Calibri"/>
        <family val="2"/>
      </rPr>
      <t xml:space="preserve">Yes” – Higher mean = less anxiety/depression; </t>
    </r>
    <r>
      <rPr>
        <i/>
        <sz val="12"/>
        <color rgb="FF000000"/>
        <rFont val="Calibri"/>
        <family val="2"/>
      </rPr>
      <t>“No”</t>
    </r>
    <r>
      <rPr>
        <sz val="12"/>
        <color rgb="FF000000"/>
        <rFont val="Calibri"/>
        <family val="2"/>
      </rPr>
      <t xml:space="preserve"> – Higher mean = more anxiety/depression.</t>
    </r>
  </si>
  <si>
    <t>Notes on the direction of outcome measurement (e.g. shorter latency is better = less anxiety).</t>
  </si>
  <si>
    <t>co_mean</t>
  </si>
  <si>
    <t>Mean outcome measure for the offspring control group.</t>
  </si>
  <si>
    <t>co_sd</t>
  </si>
  <si>
    <t>Standard deviation for the offspring control group outcome measure.</t>
  </si>
  <si>
    <t>co_n</t>
  </si>
  <si>
    <t>Sample size for the offspring control group.</t>
  </si>
  <si>
    <t>co_se</t>
  </si>
  <si>
    <t>Standard error for the offspring control group outcome measure.</t>
  </si>
  <si>
    <t>co_ci</t>
  </si>
  <si>
    <t>Confidence intervals for the offspring control group outcome measure. If only CI are reported, they will be transformed to SE and noted in the stat_comment column.</t>
  </si>
  <si>
    <t>Mean for the offspring experimental group outcome measure.</t>
  </si>
  <si>
    <t>Standard deviation for the offspring experimental group outcome measure.</t>
  </si>
  <si>
    <t>ex_n</t>
  </si>
  <si>
    <t>Sample size for the offspring experimental group.</t>
  </si>
  <si>
    <t>Standard error for the offspring experimental group outcome measure</t>
  </si>
  <si>
    <t>Confidence intervals for the offspring experimental group outcome measure. If only CI are reported, they will be transformed to SE and noted in the stat_comment column.</t>
  </si>
  <si>
    <t>Notes regarding statistics extracted for the outcome measures.</t>
  </si>
  <si>
    <t>Any relevant overall notes for the extracted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</si>
</sst>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Calibri"/>
      <family val="2"/>
    </font>
    <font>
      <i/>
      <sz val="12"/>
      <color rgb="FF000000"/>
      <name val="Calibri"/>
      <family val="2"/>
    </font>
    <font>
      <b/>
      <sz val="10"/>
      <color rgb="FF000000"/>
      <name val="Tahoma"/>
      <family val="2"/>
    </font>
    <font>
      <sz val="10"/>
      <color rgb="FF000000"/>
      <name val="Tahoma"/>
      <family val="2"/>
    </font>
    <font>
      <sz val="10"/>
      <color rgb="FF000000"/>
      <name val="Aptos Narrow"/>
    </font>
    <font>
      <sz val="10"/>
      <color rgb="FF000000"/>
      <name val="Aptos Narrow"/>
      <scheme val="minor"/>
    </font>
    <font>
      <sz val="12"/>
      <color rgb="FF000000"/>
      <name val="Calibri"/>
      <family val="34"/>
    </font>
    <font>
      <b/>
      <sz val="9"/>
      <color rgb="FF000000"/>
      <name val="Tahoma"/>
      <family val="2"/>
    </font>
    <font>
      <b/>
      <sz val="10"/>
      <color rgb="FF000000"/>
      <name val="Aptos Narrow"/>
    </font>
    <font>
      <i/>
      <sz val="10"/>
      <color rgb="FF000000"/>
      <name val="Aptos Narrow"/>
    </font>
    <font>
      <sz val="10"/>
      <color theme="1"/>
      <name val="Arial"/>
      <family val="2"/>
    </font>
    <font>
      <sz val="9"/>
      <color rgb="FF000000"/>
      <name val="Aptos Narrow"/>
    </font>
    <font>
      <sz val="8"/>
      <name val="Aptos Narrow"/>
      <family val="2"/>
      <scheme val="minor"/>
    </font>
    <font>
      <sz val="12"/>
      <color rgb="FF000000"/>
      <name val="Calibri"/>
      <family val="2"/>
    </font>
    <font>
      <sz val="12"/>
      <color theme="1"/>
      <name val="Aptos Narrow"/>
      <scheme val="minor"/>
    </font>
    <font>
      <i/>
      <sz val="12"/>
      <color theme="1"/>
      <name val="Aptos Narrow"/>
      <scheme val="minor"/>
    </font>
    <font>
      <sz val="12"/>
      <color rgb="FF000000"/>
      <name val="Aptos Narrow"/>
      <family val="2"/>
      <scheme val="minor"/>
    </font>
    <font>
      <sz val="11"/>
      <color rgb="FF000000"/>
      <name val="Calibri"/>
      <family val="2"/>
      <charset val="204"/>
    </font>
    <font>
      <b/>
      <sz val="12"/>
      <color theme="1"/>
      <name val="Aptos Narrow"/>
      <family val="2"/>
      <scheme val="minor"/>
    </font>
    <font>
      <sz val="11"/>
      <color theme="1"/>
      <name val="Aptos Narrow"/>
      <scheme val="minor"/>
    </font>
    <font>
      <b/>
      <sz val="12"/>
      <color theme="1"/>
      <name val="Calibri"/>
      <family val="2"/>
    </font>
    <font>
      <sz val="12"/>
      <color rgb="FF222222"/>
      <name val="Arial"/>
      <family val="2"/>
    </font>
    <font>
      <b/>
      <sz val="12"/>
      <color rgb="FF000000"/>
      <name val="Calibri"/>
      <family val="2"/>
    </font>
    <font>
      <b/>
      <sz val="11"/>
      <color theme="1"/>
      <name val="Calibri"/>
      <family val="2"/>
    </font>
    <font>
      <sz val="12"/>
      <color rgb="FFFF0000"/>
      <name val="Calibri"/>
      <family val="2"/>
    </font>
    <font>
      <sz val="12"/>
      <color rgb="FF00B050"/>
      <name val="Calibri"/>
      <family val="2"/>
    </font>
  </fonts>
  <fills count="9">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C000"/>
        <bgColor indexed="64"/>
      </patternFill>
    </fill>
    <fill>
      <patternFill patternType="solid">
        <fgColor rgb="FFBBC3EA"/>
        <bgColor indexed="64"/>
      </patternFill>
    </fill>
    <fill>
      <patternFill patternType="solid">
        <fgColor theme="8" tint="0.79998168889431442"/>
        <bgColor indexed="64"/>
      </patternFill>
    </fill>
    <fill>
      <patternFill patternType="solid">
        <fgColor theme="8"/>
        <bgColor indexed="64"/>
      </patternFill>
    </fill>
  </fills>
  <borders count="6">
    <border>
      <left/>
      <right/>
      <top/>
      <bottom/>
      <diagonal/>
    </border>
    <border>
      <left style="thin">
        <color rgb="FFA6A6A6"/>
      </left>
      <right style="thin">
        <color rgb="FFA6A6A6"/>
      </right>
      <top style="thin">
        <color rgb="FFA6A6A6"/>
      </top>
      <bottom style="thin">
        <color rgb="FFA6A6A6"/>
      </bottom>
      <diagonal/>
    </border>
    <border>
      <left/>
      <right/>
      <top style="thick">
        <color indexed="64"/>
      </top>
      <bottom style="thick">
        <color indexed="64"/>
      </bottom>
      <diagonal/>
    </border>
    <border>
      <left/>
      <right/>
      <top style="medium">
        <color indexed="64"/>
      </top>
      <bottom/>
      <diagonal/>
    </border>
    <border>
      <left/>
      <right/>
      <top/>
      <bottom style="medium">
        <color indexed="64"/>
      </bottom>
      <diagonal/>
    </border>
    <border>
      <left/>
      <right/>
      <top style="thick">
        <color indexed="64"/>
      </top>
      <bottom/>
      <diagonal/>
    </border>
  </borders>
  <cellStyleXfs count="1">
    <xf numFmtId="0" fontId="0" fillId="0" borderId="0"/>
  </cellStyleXfs>
  <cellXfs count="57">
    <xf numFmtId="0" fontId="0" fillId="0" borderId="0" xfId="0"/>
    <xf numFmtId="0" fontId="0" fillId="0" borderId="0" xfId="0" applyAlignment="1">
      <alignment vertical="top"/>
    </xf>
    <xf numFmtId="0" fontId="1" fillId="0" borderId="0" xfId="0" applyFont="1" applyAlignment="1">
      <alignment horizontal="left" vertical="top"/>
    </xf>
    <xf numFmtId="0" fontId="1" fillId="0" borderId="0" xfId="0" applyFont="1" applyAlignment="1">
      <alignment vertical="top"/>
    </xf>
    <xf numFmtId="0" fontId="11" fillId="0" borderId="0" xfId="0" applyFont="1" applyAlignment="1">
      <alignment vertical="top"/>
    </xf>
    <xf numFmtId="0" fontId="2" fillId="0" borderId="0" xfId="0" applyFont="1" applyAlignment="1">
      <alignment vertical="top"/>
    </xf>
    <xf numFmtId="2" fontId="1" fillId="0" borderId="0" xfId="0" applyNumberFormat="1" applyFont="1" applyAlignment="1">
      <alignment horizontal="right" vertical="top"/>
    </xf>
    <xf numFmtId="2" fontId="1" fillId="4" borderId="0" xfId="0" applyNumberFormat="1" applyFont="1" applyFill="1" applyAlignment="1">
      <alignment horizontal="right" vertical="top"/>
    </xf>
    <xf numFmtId="1" fontId="1" fillId="0" borderId="0" xfId="0" applyNumberFormat="1" applyFont="1" applyAlignment="1">
      <alignment horizontal="right" vertical="top"/>
    </xf>
    <xf numFmtId="2" fontId="1" fillId="0" borderId="0" xfId="0" applyNumberFormat="1" applyFont="1" applyAlignment="1">
      <alignment horizontal="left" vertical="top"/>
    </xf>
    <xf numFmtId="20" fontId="1" fillId="0" borderId="0" xfId="0" applyNumberFormat="1" applyFont="1" applyAlignment="1">
      <alignment horizontal="left" vertical="top"/>
    </xf>
    <xf numFmtId="2" fontId="1" fillId="0" borderId="0" xfId="0" applyNumberFormat="1" applyFont="1" applyAlignment="1">
      <alignment vertical="top"/>
    </xf>
    <xf numFmtId="2" fontId="0" fillId="0" borderId="0" xfId="0" applyNumberFormat="1" applyAlignment="1">
      <alignment vertical="top"/>
    </xf>
    <xf numFmtId="1" fontId="0" fillId="0" borderId="0" xfId="0" applyNumberFormat="1" applyAlignment="1">
      <alignment vertical="top"/>
    </xf>
    <xf numFmtId="20" fontId="0" fillId="0" borderId="0" xfId="0" applyNumberFormat="1" applyAlignment="1">
      <alignment vertical="top"/>
    </xf>
    <xf numFmtId="16" fontId="1" fillId="0" borderId="0" xfId="0" applyNumberFormat="1" applyFont="1" applyAlignment="1">
      <alignment horizontal="left" vertical="top"/>
    </xf>
    <xf numFmtId="16" fontId="0" fillId="0" borderId="0" xfId="0" applyNumberFormat="1" applyAlignment="1">
      <alignment vertical="top"/>
    </xf>
    <xf numFmtId="0" fontId="14" fillId="0" borderId="0" xfId="0" applyFont="1" applyAlignment="1">
      <alignment horizontal="left" vertical="top"/>
    </xf>
    <xf numFmtId="0" fontId="15" fillId="0" borderId="0" xfId="0" applyFont="1" applyAlignment="1">
      <alignment vertical="top"/>
    </xf>
    <xf numFmtId="0" fontId="0" fillId="4" borderId="0" xfId="0" applyFill="1" applyAlignment="1">
      <alignment vertical="top"/>
    </xf>
    <xf numFmtId="0" fontId="19" fillId="0" borderId="0" xfId="0" applyFont="1" applyAlignment="1">
      <alignment vertical="top"/>
    </xf>
    <xf numFmtId="0" fontId="16" fillId="0" borderId="0" xfId="0" applyFont="1" applyAlignment="1">
      <alignment vertical="top"/>
    </xf>
    <xf numFmtId="0" fontId="14" fillId="0" borderId="0" xfId="0" applyFont="1" applyAlignment="1">
      <alignment vertical="top"/>
    </xf>
    <xf numFmtId="0" fontId="17" fillId="0" borderId="0" xfId="0" applyFont="1" applyAlignment="1">
      <alignment vertical="top"/>
    </xf>
    <xf numFmtId="0" fontId="18" fillId="0" borderId="0" xfId="0" applyFont="1" applyAlignment="1">
      <alignment vertical="top"/>
    </xf>
    <xf numFmtId="0" fontId="20" fillId="0" borderId="0" xfId="0" applyFont="1" applyAlignment="1">
      <alignment vertical="top"/>
    </xf>
    <xf numFmtId="0" fontId="1" fillId="0" borderId="0" xfId="0" applyFont="1" applyAlignment="1">
      <alignment horizontal="right" vertical="top"/>
    </xf>
    <xf numFmtId="0" fontId="0" fillId="0" borderId="0" xfId="0" applyAlignment="1">
      <alignment horizontal="right" vertical="top"/>
    </xf>
    <xf numFmtId="0" fontId="15" fillId="0" borderId="0" xfId="0" applyFont="1" applyAlignment="1">
      <alignment horizontal="right" vertical="top"/>
    </xf>
    <xf numFmtId="3" fontId="0" fillId="0" borderId="0" xfId="0" applyNumberFormat="1" applyAlignment="1">
      <alignment horizontal="right" vertical="top"/>
    </xf>
    <xf numFmtId="0" fontId="21" fillId="2" borderId="0" xfId="0" applyFont="1" applyFill="1" applyAlignment="1">
      <alignment horizontal="left" vertical="top"/>
    </xf>
    <xf numFmtId="0" fontId="21" fillId="3" borderId="0" xfId="0" applyFont="1" applyFill="1" applyAlignment="1">
      <alignment horizontal="right" vertical="top"/>
    </xf>
    <xf numFmtId="0" fontId="21" fillId="3" borderId="0" xfId="0" applyFont="1" applyFill="1" applyAlignment="1">
      <alignment horizontal="left" vertical="top"/>
    </xf>
    <xf numFmtId="0" fontId="21" fillId="2" borderId="0" xfId="0" applyFont="1" applyFill="1" applyAlignment="1">
      <alignment horizontal="right" vertical="top"/>
    </xf>
    <xf numFmtId="0" fontId="0" fillId="0" borderId="1" xfId="0" applyBorder="1" applyAlignment="1">
      <alignment horizontal="left" vertical="top"/>
    </xf>
    <xf numFmtId="0" fontId="22" fillId="0" borderId="0" xfId="0" applyFont="1"/>
    <xf numFmtId="0" fontId="0" fillId="5" borderId="0" xfId="0" applyFill="1" applyAlignment="1">
      <alignment horizontal="right" vertical="top"/>
    </xf>
    <xf numFmtId="0" fontId="14" fillId="6" borderId="4" xfId="0" applyFont="1" applyFill="1" applyBorder="1" applyAlignment="1">
      <alignment vertical="center" wrapText="1"/>
    </xf>
    <xf numFmtId="0" fontId="23" fillId="6" borderId="2" xfId="0" applyFont="1" applyFill="1" applyBorder="1" applyAlignment="1">
      <alignment horizontal="left" vertical="center" wrapText="1" indent="1"/>
    </xf>
    <xf numFmtId="0" fontId="23" fillId="6" borderId="2" xfId="0" applyFont="1" applyFill="1" applyBorder="1" applyAlignment="1">
      <alignment vertical="center" wrapText="1"/>
    </xf>
    <xf numFmtId="0" fontId="14" fillId="0" borderId="0" xfId="0" applyFont="1" applyAlignment="1">
      <alignment horizontal="left" vertical="center" wrapText="1" indent="1"/>
    </xf>
    <xf numFmtId="0" fontId="14" fillId="0" borderId="0" xfId="0" applyFont="1" applyAlignment="1">
      <alignment vertical="center" wrapText="1"/>
    </xf>
    <xf numFmtId="0" fontId="14" fillId="0" borderId="3" xfId="0" applyFont="1" applyBorder="1" applyAlignment="1">
      <alignment horizontal="left" vertical="center" wrapText="1" indent="1"/>
    </xf>
    <xf numFmtId="0" fontId="14" fillId="0" borderId="3" xfId="0" applyFont="1" applyBorder="1" applyAlignment="1">
      <alignment vertical="center" wrapText="1"/>
    </xf>
    <xf numFmtId="0" fontId="2" fillId="6" borderId="4" xfId="0" applyFont="1" applyFill="1" applyBorder="1" applyAlignment="1">
      <alignment horizontal="left" vertical="center" wrapText="1" indent="1"/>
    </xf>
    <xf numFmtId="0" fontId="14" fillId="0" borderId="4" xfId="0" applyFont="1" applyBorder="1" applyAlignment="1">
      <alignment horizontal="left" vertical="center" wrapText="1" indent="1"/>
    </xf>
    <xf numFmtId="0" fontId="14" fillId="0" borderId="4" xfId="0" applyFont="1" applyBorder="1" applyAlignment="1">
      <alignment vertical="center" wrapText="1"/>
    </xf>
    <xf numFmtId="0" fontId="24" fillId="7" borderId="1" xfId="0" applyFont="1" applyFill="1" applyBorder="1" applyAlignment="1">
      <alignment horizontal="center" vertical="center" wrapText="1"/>
    </xf>
    <xf numFmtId="0" fontId="21" fillId="8" borderId="0" xfId="0" applyFont="1" applyFill="1" applyAlignment="1">
      <alignment horizontal="left" vertical="top"/>
    </xf>
    <xf numFmtId="0" fontId="1" fillId="8" borderId="0" xfId="0" applyFont="1" applyFill="1" applyAlignment="1">
      <alignment horizontal="left" vertical="top"/>
    </xf>
    <xf numFmtId="0" fontId="14" fillId="8" borderId="0" xfId="0" applyFont="1" applyFill="1" applyAlignment="1">
      <alignment horizontal="left" vertical="top"/>
    </xf>
    <xf numFmtId="0" fontId="0" fillId="8" borderId="0" xfId="0" applyFill="1" applyAlignment="1">
      <alignment vertical="top"/>
    </xf>
    <xf numFmtId="0" fontId="25" fillId="0" borderId="0" xfId="0" applyFont="1" applyAlignment="1">
      <alignment horizontal="left" vertical="top"/>
    </xf>
    <xf numFmtId="0" fontId="26" fillId="0" borderId="0" xfId="0" applyFont="1" applyAlignment="1">
      <alignment horizontal="left" vertical="top"/>
    </xf>
    <xf numFmtId="0" fontId="14" fillId="6" borderId="5" xfId="0" applyFont="1" applyFill="1" applyBorder="1" applyAlignment="1">
      <alignment horizontal="left" vertical="center" wrapText="1" indent="1"/>
    </xf>
    <xf numFmtId="0" fontId="23" fillId="6" borderId="4" xfId="0" applyFont="1" applyFill="1" applyBorder="1" applyAlignment="1">
      <alignment horizontal="left" vertical="center" wrapText="1" indent="1"/>
    </xf>
    <xf numFmtId="0" fontId="2" fillId="6" borderId="4"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osia Lagisz" id="{E297DF0A-CE85-4FEA-92DE-33C5F840A058}" userId="S::mnakaga1@ualberta.ca::ee946fa4-55c0-475d-8ebb-afedcb76ab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V11" dT="2026-02-06T01:35:34.79" personId="{E297DF0A-CE85-4FEA-92DE-33C5F840A058}" id="{6EECF968-78D2-4EE0-9895-AD1F5FD9E8FA}">
    <text>from Saeed: 5min</text>
  </threadedComment>
  <threadedComment ref="AC11" dT="2026-02-06T14:29:29.18" personId="{E297DF0A-CE85-4FEA-92DE-33C5F840A058}" id="{A290C4DE-1012-40B7-91EC-3FE0E447A2FE}">
    <text>both sexes</text>
  </threadedComment>
  <threadedComment ref="V12" dT="2026-02-06T01:35:43.44" personId="{E297DF0A-CE85-4FEA-92DE-33C5F840A058}" id="{E72A2126-37EC-45B6-A096-3031C81AD351}">
    <text>from Saeed: 5min</text>
  </threadedComment>
  <threadedComment ref="AC12" dT="2026-02-06T14:29:35.40" personId="{E297DF0A-CE85-4FEA-92DE-33C5F840A058}" id="{19D7FDC9-9535-4D97-8473-30C4255A9C45}">
    <text>both sexes</text>
  </threadedComment>
  <threadedComment ref="V13" dT="2026-02-06T01:35:48.27" personId="{E297DF0A-CE85-4FEA-92DE-33C5F840A058}" id="{0287395B-0474-452E-AB2D-F9892862EE4B}">
    <text>from Saeed: 5min</text>
  </threadedComment>
  <threadedComment ref="AC13" dT="2026-02-06T14:29:35.40" personId="{E297DF0A-CE85-4FEA-92DE-33C5F840A058}" id="{44CDFBB0-EBB2-4426-B6B1-65B909916502}">
    <text>both sexes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4FE9D-B8C0-6B41-BA58-7241A99B346B}">
  <dimension ref="A1:BX230"/>
  <sheetViews>
    <sheetView tabSelected="1" zoomScale="87" zoomScaleNormal="87" workbookViewId="0">
      <pane xSplit="1" ySplit="1" topLeftCell="AQ184" activePane="bottomRight" state="frozen"/>
      <selection pane="topRight" activeCell="B1" sqref="B1"/>
      <selection pane="bottomLeft" activeCell="A2" sqref="A2"/>
      <selection pane="bottomRight" activeCell="BK100" sqref="BK100"/>
    </sheetView>
  </sheetViews>
  <sheetFormatPr baseColWidth="10" defaultColWidth="10.83203125" defaultRowHeight="16" x14ac:dyDescent="0.2"/>
  <cols>
    <col min="1" max="1" width="26.6640625" style="1" customWidth="1"/>
    <col min="2" max="2" width="13.33203125" style="1" customWidth="1"/>
    <col min="3" max="3" width="12.83203125" style="1" customWidth="1"/>
    <col min="4" max="4" width="10.83203125" style="51"/>
    <col min="5" max="6" width="10.83203125" style="1"/>
    <col min="7" max="7" width="24.5" style="1" customWidth="1"/>
    <col min="8" max="10" width="10.83203125" style="1"/>
    <col min="11" max="11" width="27.83203125" style="1" customWidth="1"/>
    <col min="12" max="14" width="10.83203125" style="1"/>
    <col min="15" max="15" width="10.83203125" style="27"/>
    <col min="16" max="16" width="10.83203125" style="1"/>
    <col min="17" max="17" width="19.33203125" style="1" customWidth="1"/>
    <col min="18" max="18" width="10.83203125" style="1"/>
    <col min="19" max="19" width="10.83203125" style="27"/>
    <col min="20" max="23" width="10.83203125" style="1"/>
    <col min="24" max="24" width="10.83203125" style="27"/>
    <col min="25" max="25" width="17" style="27" customWidth="1"/>
    <col min="26" max="26" width="16.1640625" style="1" customWidth="1"/>
    <col min="27" max="27" width="18" style="1" customWidth="1"/>
    <col min="28" max="29" width="10.83203125" style="1"/>
    <col min="30" max="30" width="10.83203125" style="27"/>
    <col min="31" max="34" width="10.83203125" style="1"/>
    <col min="35" max="35" width="25.83203125" style="1" customWidth="1"/>
    <col min="36" max="36" width="17" style="1" customWidth="1"/>
    <col min="37" max="37" width="21.5" style="1" customWidth="1"/>
    <col min="38" max="42" width="10.83203125" style="1"/>
    <col min="43" max="43" width="19.33203125" style="1" customWidth="1"/>
    <col min="44" max="44" width="10.83203125" style="1"/>
    <col min="45" max="45" width="15.1640625" style="1" customWidth="1"/>
    <col min="46" max="49" width="10.83203125" style="1"/>
    <col min="50" max="50" width="16.5" style="1" customWidth="1"/>
    <col min="51" max="57" width="10.83203125" style="1"/>
    <col min="58" max="58" width="10.83203125" style="1" customWidth="1"/>
    <col min="59" max="59" width="10.83203125" style="1"/>
    <col min="60" max="60" width="29.33203125" style="1" customWidth="1"/>
    <col min="61" max="63" width="10.83203125" style="1"/>
    <col min="64" max="64" width="9.6640625" style="1" customWidth="1"/>
    <col min="65" max="65" width="13.5" style="1" customWidth="1"/>
    <col min="66" max="66" width="10.83203125" style="1"/>
    <col min="67" max="67" width="16" style="1" customWidth="1"/>
    <col min="68" max="68" width="10.83203125" style="1"/>
    <col min="69" max="69" width="12.5" style="1" customWidth="1"/>
    <col min="70" max="70" width="16.33203125" style="1" customWidth="1"/>
    <col min="71" max="16384" width="10.83203125" style="1"/>
  </cols>
  <sheetData>
    <row r="1" spans="1:66" s="2" customFormat="1" x14ac:dyDescent="0.2">
      <c r="A1" s="30" t="s">
        <v>0</v>
      </c>
      <c r="B1" s="30" t="s">
        <v>1</v>
      </c>
      <c r="C1" s="30" t="s">
        <v>2</v>
      </c>
      <c r="D1" s="48" t="s">
        <v>3</v>
      </c>
      <c r="E1" s="30" t="s">
        <v>4</v>
      </c>
      <c r="F1" s="30" t="s">
        <v>5</v>
      </c>
      <c r="G1" s="30" t="s">
        <v>6</v>
      </c>
      <c r="H1" s="30" t="s">
        <v>7</v>
      </c>
      <c r="I1" s="30" t="s">
        <v>8</v>
      </c>
      <c r="J1" s="30" t="s">
        <v>9</v>
      </c>
      <c r="K1" s="30" t="s">
        <v>10</v>
      </c>
      <c r="L1" s="30" t="s">
        <v>11</v>
      </c>
      <c r="M1" s="30" t="s">
        <v>12</v>
      </c>
      <c r="N1" s="30" t="s">
        <v>13</v>
      </c>
      <c r="O1" s="31" t="s">
        <v>14</v>
      </c>
      <c r="P1" s="32" t="s">
        <v>15</v>
      </c>
      <c r="Q1" s="32" t="s">
        <v>16</v>
      </c>
      <c r="R1" s="32" t="s">
        <v>17</v>
      </c>
      <c r="S1" s="31" t="s">
        <v>18</v>
      </c>
      <c r="T1" s="32" t="s">
        <v>19</v>
      </c>
      <c r="U1" s="32" t="s">
        <v>20</v>
      </c>
      <c r="V1" s="32" t="s">
        <v>21</v>
      </c>
      <c r="W1" s="32" t="s">
        <v>22</v>
      </c>
      <c r="X1" s="31" t="s">
        <v>23</v>
      </c>
      <c r="Y1" s="31" t="s">
        <v>24</v>
      </c>
      <c r="Z1" s="32" t="s">
        <v>25</v>
      </c>
      <c r="AA1" s="32" t="s">
        <v>26</v>
      </c>
      <c r="AB1" s="32" t="s">
        <v>27</v>
      </c>
      <c r="AC1" s="30" t="s">
        <v>28</v>
      </c>
      <c r="AD1" s="33" t="s">
        <v>29</v>
      </c>
      <c r="AE1" s="30" t="s">
        <v>30</v>
      </c>
      <c r="AF1" s="30" t="s">
        <v>31</v>
      </c>
      <c r="AG1" s="30" t="s">
        <v>32</v>
      </c>
      <c r="AH1" s="30" t="s">
        <v>33</v>
      </c>
      <c r="AI1" s="30" t="s">
        <v>34</v>
      </c>
      <c r="AJ1" s="30" t="s">
        <v>35</v>
      </c>
      <c r="AK1" s="30" t="s">
        <v>36</v>
      </c>
      <c r="AL1" s="30" t="s">
        <v>37</v>
      </c>
      <c r="AM1" s="30" t="s">
        <v>38</v>
      </c>
      <c r="AN1" s="30" t="s">
        <v>39</v>
      </c>
      <c r="AO1" s="30" t="s">
        <v>40</v>
      </c>
      <c r="AP1" s="30" t="s">
        <v>41</v>
      </c>
      <c r="AQ1" s="30" t="s">
        <v>42</v>
      </c>
      <c r="AR1" s="30" t="s">
        <v>43</v>
      </c>
      <c r="AS1" s="30" t="s">
        <v>44</v>
      </c>
      <c r="AT1" s="30" t="s">
        <v>45</v>
      </c>
      <c r="AU1" s="30" t="s">
        <v>46</v>
      </c>
      <c r="AV1" s="30" t="s">
        <v>47</v>
      </c>
      <c r="AW1" s="30" t="s">
        <v>48</v>
      </c>
      <c r="AX1" s="30" t="s">
        <v>49</v>
      </c>
      <c r="AY1" s="30" t="s">
        <v>50</v>
      </c>
      <c r="AZ1" s="30" t="s">
        <v>51</v>
      </c>
      <c r="BA1" s="30" t="s">
        <v>52</v>
      </c>
      <c r="BB1" s="30" t="s">
        <v>53</v>
      </c>
      <c r="BC1" s="30" t="s">
        <v>54</v>
      </c>
      <c r="BD1" s="30" t="s">
        <v>55</v>
      </c>
      <c r="BE1" s="30" t="s">
        <v>56</v>
      </c>
      <c r="BF1" s="30" t="s">
        <v>57</v>
      </c>
      <c r="BG1" s="30" t="s">
        <v>58</v>
      </c>
      <c r="BH1" s="30" t="s">
        <v>59</v>
      </c>
      <c r="BI1" s="47" t="s">
        <v>60</v>
      </c>
      <c r="BJ1" s="47" t="s">
        <v>61</v>
      </c>
      <c r="BK1" s="47" t="s">
        <v>62</v>
      </c>
      <c r="BL1" s="47" t="s">
        <v>63</v>
      </c>
      <c r="BM1" s="47" t="s">
        <v>64</v>
      </c>
      <c r="BN1" s="47" t="s">
        <v>65</v>
      </c>
    </row>
    <row r="2" spans="1:66" s="2" customFormat="1" x14ac:dyDescent="0.2">
      <c r="A2" s="4" t="s">
        <v>66</v>
      </c>
      <c r="B2" s="2" t="s">
        <v>67</v>
      </c>
      <c r="C2" s="2" t="s">
        <v>68</v>
      </c>
      <c r="D2" s="49" t="s">
        <v>69</v>
      </c>
      <c r="E2" s="2" t="s">
        <v>70</v>
      </c>
      <c r="F2" s="2" t="s">
        <v>71</v>
      </c>
      <c r="G2" s="2" t="s">
        <v>72</v>
      </c>
      <c r="H2" s="2" t="s">
        <v>73</v>
      </c>
      <c r="I2" s="2" t="s">
        <v>74</v>
      </c>
      <c r="J2" s="2" t="s">
        <v>75</v>
      </c>
      <c r="K2" s="2" t="s">
        <v>76</v>
      </c>
      <c r="L2" s="5" t="s">
        <v>77</v>
      </c>
      <c r="M2" s="2" t="s">
        <v>78</v>
      </c>
      <c r="N2" s="2" t="s">
        <v>79</v>
      </c>
      <c r="O2" s="26"/>
      <c r="P2" s="2" t="s">
        <v>80</v>
      </c>
      <c r="Q2" s="2" t="s">
        <v>81</v>
      </c>
      <c r="R2" s="2" t="s">
        <v>82</v>
      </c>
      <c r="S2" s="26">
        <v>8</v>
      </c>
      <c r="T2" s="2" t="s">
        <v>83</v>
      </c>
      <c r="U2" s="2">
        <v>0.66</v>
      </c>
      <c r="V2" s="2" t="s">
        <v>84</v>
      </c>
      <c r="W2" s="2" t="s">
        <v>85</v>
      </c>
      <c r="X2" s="26">
        <v>100</v>
      </c>
      <c r="Y2" s="26"/>
      <c r="Z2" s="2" t="s">
        <v>86</v>
      </c>
      <c r="AB2" s="2" t="s">
        <v>87</v>
      </c>
      <c r="AC2" s="2" t="s">
        <v>88</v>
      </c>
      <c r="AD2" s="26">
        <v>70</v>
      </c>
      <c r="AE2" s="2" t="s">
        <v>89</v>
      </c>
      <c r="AF2" s="2" t="s">
        <v>90</v>
      </c>
      <c r="AH2" s="2" t="s">
        <v>91</v>
      </c>
      <c r="AI2" s="2" t="s">
        <v>92</v>
      </c>
      <c r="AK2" s="2" t="s">
        <v>93</v>
      </c>
      <c r="AL2" s="2" t="s">
        <v>94</v>
      </c>
      <c r="AM2" s="2" t="s">
        <v>95</v>
      </c>
      <c r="AN2" s="2" t="s">
        <v>96</v>
      </c>
      <c r="AO2" s="2" t="s">
        <v>97</v>
      </c>
      <c r="AP2" s="2" t="s">
        <v>98</v>
      </c>
      <c r="AQ2" s="2" t="s">
        <v>99</v>
      </c>
      <c r="AR2" s="2" t="s">
        <v>100</v>
      </c>
      <c r="AS2" s="2" t="s">
        <v>101</v>
      </c>
      <c r="AT2" s="2" t="s">
        <v>102</v>
      </c>
      <c r="AU2" s="2" t="s">
        <v>103</v>
      </c>
      <c r="AV2" s="6">
        <v>90.9</v>
      </c>
      <c r="AW2" s="7">
        <f>AY2*SQRT(AX2)</f>
        <v>176.07</v>
      </c>
      <c r="AX2" s="8">
        <v>9</v>
      </c>
      <c r="AY2" s="6">
        <v>58.69</v>
      </c>
      <c r="AZ2" s="6"/>
      <c r="BA2" s="6">
        <v>137</v>
      </c>
      <c r="BB2" s="7">
        <f>BD2*SQRT(BC2)</f>
        <v>211.55637546526461</v>
      </c>
      <c r="BC2" s="6">
        <v>10</v>
      </c>
      <c r="BD2" s="6">
        <v>66.900000000000006</v>
      </c>
      <c r="BE2" s="9"/>
      <c r="BH2" s="10">
        <v>4.1666666666666664E-2</v>
      </c>
    </row>
    <row r="3" spans="1:66" s="2" customFormat="1" x14ac:dyDescent="0.2">
      <c r="A3" s="4" t="s">
        <v>66</v>
      </c>
      <c r="B3" s="2" t="s">
        <v>67</v>
      </c>
      <c r="C3" s="2" t="s">
        <v>68</v>
      </c>
      <c r="D3" s="49" t="s">
        <v>104</v>
      </c>
      <c r="E3" s="2" t="s">
        <v>105</v>
      </c>
      <c r="F3" s="2" t="s">
        <v>71</v>
      </c>
      <c r="G3" s="2" t="s">
        <v>72</v>
      </c>
      <c r="H3" s="2" t="s">
        <v>73</v>
      </c>
      <c r="I3" s="2" t="s">
        <v>74</v>
      </c>
      <c r="J3" s="2" t="s">
        <v>75</v>
      </c>
      <c r="K3" s="2" t="s">
        <v>76</v>
      </c>
      <c r="L3" s="5" t="s">
        <v>77</v>
      </c>
      <c r="M3" s="2" t="s">
        <v>78</v>
      </c>
      <c r="N3" s="2" t="s">
        <v>79</v>
      </c>
      <c r="O3" s="26"/>
      <c r="P3" s="2" t="s">
        <v>80</v>
      </c>
      <c r="Q3" s="2" t="s">
        <v>81</v>
      </c>
      <c r="R3" s="2" t="s">
        <v>82</v>
      </c>
      <c r="S3" s="26">
        <v>8</v>
      </c>
      <c r="T3" s="2" t="s">
        <v>83</v>
      </c>
      <c r="U3" s="2">
        <v>0.66</v>
      </c>
      <c r="V3" s="2" t="s">
        <v>84</v>
      </c>
      <c r="W3" s="2" t="s">
        <v>85</v>
      </c>
      <c r="X3" s="26">
        <v>100</v>
      </c>
      <c r="Y3" s="26"/>
      <c r="Z3" s="2" t="s">
        <v>86</v>
      </c>
      <c r="AB3" s="2" t="s">
        <v>87</v>
      </c>
      <c r="AC3" s="2" t="s">
        <v>88</v>
      </c>
      <c r="AD3" s="26">
        <v>70</v>
      </c>
      <c r="AE3" s="2" t="s">
        <v>89</v>
      </c>
      <c r="AF3" s="2" t="s">
        <v>90</v>
      </c>
      <c r="AH3" s="2" t="s">
        <v>91</v>
      </c>
      <c r="AI3" s="2" t="s">
        <v>92</v>
      </c>
      <c r="AK3" s="2" t="s">
        <v>106</v>
      </c>
      <c r="AL3" s="2" t="s">
        <v>107</v>
      </c>
      <c r="AM3" s="2" t="s">
        <v>107</v>
      </c>
      <c r="AN3" s="2" t="s">
        <v>96</v>
      </c>
      <c r="AO3" s="2" t="s">
        <v>97</v>
      </c>
      <c r="AP3" s="2" t="s">
        <v>98</v>
      </c>
      <c r="AQ3" s="2" t="s">
        <v>108</v>
      </c>
      <c r="AR3" s="2" t="s">
        <v>109</v>
      </c>
      <c r="AS3" s="2" t="s">
        <v>110</v>
      </c>
      <c r="AT3" s="2" t="s">
        <v>71</v>
      </c>
      <c r="AU3" s="2" t="s">
        <v>103</v>
      </c>
      <c r="AV3" s="6">
        <v>4.3</v>
      </c>
      <c r="AW3" s="7">
        <f t="shared" ref="AW3:AW4" si="0">AY3*SQRT(AX3)</f>
        <v>2.46</v>
      </c>
      <c r="AX3" s="8">
        <v>9</v>
      </c>
      <c r="AY3" s="6">
        <v>0.82</v>
      </c>
      <c r="AZ3" s="6"/>
      <c r="BA3" s="6">
        <v>3.67</v>
      </c>
      <c r="BB3" s="7">
        <f t="shared" ref="BB3:BB4" si="1">BD3*SQRT(BC3)</f>
        <v>2.3084626919229172</v>
      </c>
      <c r="BC3" s="6">
        <v>10</v>
      </c>
      <c r="BD3" s="6">
        <v>0.73</v>
      </c>
      <c r="BE3" s="9"/>
    </row>
    <row r="4" spans="1:66" s="2" customFormat="1" x14ac:dyDescent="0.2">
      <c r="A4" s="4" t="s">
        <v>66</v>
      </c>
      <c r="B4" s="2" t="s">
        <v>67</v>
      </c>
      <c r="C4" s="2" t="s">
        <v>68</v>
      </c>
      <c r="D4" s="49" t="s">
        <v>111</v>
      </c>
      <c r="E4" s="2" t="s">
        <v>112</v>
      </c>
      <c r="F4" s="2" t="s">
        <v>71</v>
      </c>
      <c r="G4" s="2" t="s">
        <v>72</v>
      </c>
      <c r="H4" s="2" t="s">
        <v>73</v>
      </c>
      <c r="I4" s="2" t="s">
        <v>74</v>
      </c>
      <c r="J4" s="2" t="s">
        <v>75</v>
      </c>
      <c r="K4" s="2" t="s">
        <v>76</v>
      </c>
      <c r="L4" s="5" t="s">
        <v>77</v>
      </c>
      <c r="M4" s="2" t="s">
        <v>78</v>
      </c>
      <c r="N4" s="2" t="s">
        <v>79</v>
      </c>
      <c r="O4" s="26"/>
      <c r="P4" s="2" t="s">
        <v>80</v>
      </c>
      <c r="Q4" s="2" t="s">
        <v>81</v>
      </c>
      <c r="R4" s="2" t="s">
        <v>82</v>
      </c>
      <c r="S4" s="26">
        <v>8</v>
      </c>
      <c r="T4" s="2" t="s">
        <v>83</v>
      </c>
      <c r="U4" s="2">
        <v>0.66</v>
      </c>
      <c r="V4" s="2" t="s">
        <v>84</v>
      </c>
      <c r="W4" s="2" t="s">
        <v>85</v>
      </c>
      <c r="X4" s="26">
        <v>100</v>
      </c>
      <c r="Y4" s="26"/>
      <c r="Z4" s="2" t="s">
        <v>86</v>
      </c>
      <c r="AB4" s="2" t="s">
        <v>87</v>
      </c>
      <c r="AC4" s="2" t="s">
        <v>88</v>
      </c>
      <c r="AD4" s="26">
        <v>70</v>
      </c>
      <c r="AE4" s="2" t="s">
        <v>89</v>
      </c>
      <c r="AF4" s="2" t="s">
        <v>90</v>
      </c>
      <c r="AH4" s="2" t="s">
        <v>91</v>
      </c>
      <c r="AI4" s="2" t="s">
        <v>92</v>
      </c>
      <c r="AK4" s="2" t="s">
        <v>113</v>
      </c>
      <c r="AL4" s="2" t="s">
        <v>94</v>
      </c>
      <c r="AM4" s="2" t="s">
        <v>95</v>
      </c>
      <c r="AN4" s="2" t="s">
        <v>96</v>
      </c>
      <c r="AO4" s="2" t="s">
        <v>97</v>
      </c>
      <c r="AP4" s="2" t="s">
        <v>98</v>
      </c>
      <c r="AQ4" s="2" t="s">
        <v>114</v>
      </c>
      <c r="AR4" s="2" t="s">
        <v>115</v>
      </c>
      <c r="AS4" s="2" t="s">
        <v>116</v>
      </c>
      <c r="AT4" s="2" t="s">
        <v>71</v>
      </c>
      <c r="AU4" s="2" t="s">
        <v>103</v>
      </c>
      <c r="AV4" s="6">
        <v>101.74</v>
      </c>
      <c r="AW4" s="7">
        <f t="shared" si="0"/>
        <v>75.75</v>
      </c>
      <c r="AX4" s="8">
        <v>9</v>
      </c>
      <c r="AY4" s="6">
        <v>25.25</v>
      </c>
      <c r="AZ4" s="6"/>
      <c r="BA4" s="6">
        <v>66.67</v>
      </c>
      <c r="BB4" s="7">
        <f t="shared" si="1"/>
        <v>53.347624127040568</v>
      </c>
      <c r="BC4" s="6">
        <v>10</v>
      </c>
      <c r="BD4" s="6">
        <v>16.87</v>
      </c>
      <c r="BE4" s="9"/>
    </row>
    <row r="5" spans="1:66" s="2" customFormat="1" x14ac:dyDescent="0.2">
      <c r="A5" s="4" t="s">
        <v>117</v>
      </c>
      <c r="B5" s="2" t="s">
        <v>118</v>
      </c>
      <c r="C5" s="2" t="s">
        <v>119</v>
      </c>
      <c r="D5" s="49" t="s">
        <v>120</v>
      </c>
      <c r="E5" s="2" t="s">
        <v>121</v>
      </c>
      <c r="F5" s="2" t="s">
        <v>71</v>
      </c>
      <c r="G5" s="2" t="s">
        <v>122</v>
      </c>
      <c r="H5" s="2" t="s">
        <v>73</v>
      </c>
      <c r="I5" s="2" t="s">
        <v>123</v>
      </c>
      <c r="J5" s="2" t="s">
        <v>124</v>
      </c>
      <c r="K5" s="2" t="s">
        <v>76</v>
      </c>
      <c r="L5" s="5" t="s">
        <v>77</v>
      </c>
      <c r="M5" s="2" t="s">
        <v>125</v>
      </c>
      <c r="N5" s="2" t="s">
        <v>126</v>
      </c>
      <c r="O5" s="26"/>
      <c r="P5" s="2" t="s">
        <v>80</v>
      </c>
      <c r="Q5" s="2" t="s">
        <v>81</v>
      </c>
      <c r="R5" s="2" t="s">
        <v>127</v>
      </c>
      <c r="S5" s="26">
        <v>7</v>
      </c>
      <c r="T5" s="2" t="s">
        <v>83</v>
      </c>
      <c r="U5" s="2">
        <v>1</v>
      </c>
      <c r="V5" s="2" t="s">
        <v>128</v>
      </c>
      <c r="W5" s="2" t="s">
        <v>85</v>
      </c>
      <c r="X5" s="26">
        <v>95</v>
      </c>
      <c r="Y5" s="26"/>
      <c r="Z5" s="2" t="s">
        <v>86</v>
      </c>
      <c r="AB5" s="2" t="s">
        <v>129</v>
      </c>
      <c r="AC5" s="2" t="s">
        <v>88</v>
      </c>
      <c r="AD5" s="26">
        <v>46</v>
      </c>
      <c r="AE5" s="2" t="s">
        <v>130</v>
      </c>
      <c r="AF5" s="2" t="s">
        <v>90</v>
      </c>
      <c r="AH5" s="2" t="s">
        <v>91</v>
      </c>
      <c r="AI5" s="2" t="s">
        <v>131</v>
      </c>
      <c r="AJ5" s="2" t="s">
        <v>132</v>
      </c>
      <c r="AK5" s="2" t="s">
        <v>133</v>
      </c>
      <c r="AL5" s="2" t="s">
        <v>134</v>
      </c>
      <c r="AM5" s="2" t="s">
        <v>135</v>
      </c>
      <c r="AN5" s="2" t="s">
        <v>136</v>
      </c>
      <c r="AO5" s="2" t="s">
        <v>137</v>
      </c>
      <c r="AP5" s="2" t="s">
        <v>138</v>
      </c>
      <c r="AQ5" s="2" t="s">
        <v>139</v>
      </c>
      <c r="AR5" s="2" t="s">
        <v>140</v>
      </c>
      <c r="AS5" s="2" t="s">
        <v>141</v>
      </c>
      <c r="AT5" s="2" t="s">
        <v>71</v>
      </c>
      <c r="AU5" s="2" t="s">
        <v>103</v>
      </c>
      <c r="AV5" s="6">
        <v>32.066666666666698</v>
      </c>
      <c r="AW5" s="6">
        <v>10.9625625552504</v>
      </c>
      <c r="AX5" s="8">
        <v>10</v>
      </c>
      <c r="AY5" s="6">
        <v>3.4666666666666801</v>
      </c>
      <c r="AZ5" s="6"/>
      <c r="BA5" s="6">
        <v>33.933333333333302</v>
      </c>
      <c r="BB5" s="6">
        <v>19.606121493043901</v>
      </c>
      <c r="BC5" s="6">
        <v>10</v>
      </c>
      <c r="BD5" s="6">
        <v>6.1999999999999904</v>
      </c>
      <c r="BE5" s="9"/>
      <c r="BH5" s="10">
        <v>3.9583333333333331E-2</v>
      </c>
    </row>
    <row r="6" spans="1:66" s="2" customFormat="1" x14ac:dyDescent="0.2">
      <c r="A6" s="4" t="s">
        <v>117</v>
      </c>
      <c r="B6" s="2" t="s">
        <v>118</v>
      </c>
      <c r="C6" s="2" t="s">
        <v>119</v>
      </c>
      <c r="D6" s="49" t="s">
        <v>142</v>
      </c>
      <c r="E6" s="2" t="s">
        <v>143</v>
      </c>
      <c r="F6" s="2" t="s">
        <v>71</v>
      </c>
      <c r="G6" s="2" t="s">
        <v>122</v>
      </c>
      <c r="H6" s="2" t="s">
        <v>144</v>
      </c>
      <c r="I6" s="2" t="s">
        <v>123</v>
      </c>
      <c r="J6" s="2" t="s">
        <v>124</v>
      </c>
      <c r="K6" s="2" t="s">
        <v>76</v>
      </c>
      <c r="L6" s="5" t="s">
        <v>77</v>
      </c>
      <c r="M6" s="2" t="s">
        <v>125</v>
      </c>
      <c r="N6" s="2" t="s">
        <v>126</v>
      </c>
      <c r="O6" s="26"/>
      <c r="P6" s="2" t="s">
        <v>80</v>
      </c>
      <c r="Q6" s="2" t="s">
        <v>81</v>
      </c>
      <c r="R6" s="2" t="s">
        <v>127</v>
      </c>
      <c r="S6" s="26">
        <v>7</v>
      </c>
      <c r="T6" s="2" t="s">
        <v>83</v>
      </c>
      <c r="U6" s="2">
        <v>1</v>
      </c>
      <c r="V6" s="2" t="s">
        <v>128</v>
      </c>
      <c r="W6" s="2" t="s">
        <v>85</v>
      </c>
      <c r="X6" s="26">
        <v>95</v>
      </c>
      <c r="Y6" s="26"/>
      <c r="Z6" s="2" t="s">
        <v>86</v>
      </c>
      <c r="AB6" s="2" t="s">
        <v>129</v>
      </c>
      <c r="AC6" s="2" t="s">
        <v>88</v>
      </c>
      <c r="AD6" s="26">
        <v>46</v>
      </c>
      <c r="AE6" s="2" t="s">
        <v>130</v>
      </c>
      <c r="AF6" s="2" t="s">
        <v>90</v>
      </c>
      <c r="AH6" s="2" t="s">
        <v>91</v>
      </c>
      <c r="AI6" s="2" t="s">
        <v>131</v>
      </c>
      <c r="AJ6" s="2" t="s">
        <v>145</v>
      </c>
      <c r="AK6" s="2" t="s">
        <v>146</v>
      </c>
      <c r="AL6" s="2" t="s">
        <v>134</v>
      </c>
      <c r="AM6" s="2" t="s">
        <v>135</v>
      </c>
      <c r="AN6" s="2" t="s">
        <v>136</v>
      </c>
      <c r="AO6" s="2" t="s">
        <v>147</v>
      </c>
      <c r="AP6" s="2" t="s">
        <v>138</v>
      </c>
      <c r="AQ6" s="2" t="s">
        <v>114</v>
      </c>
      <c r="AR6" s="2" t="s">
        <v>148</v>
      </c>
      <c r="AS6" s="2" t="s">
        <v>149</v>
      </c>
      <c r="AT6" s="2" t="s">
        <v>71</v>
      </c>
      <c r="AU6" s="2" t="s">
        <v>103</v>
      </c>
      <c r="AV6" s="6">
        <v>30.015649452269201</v>
      </c>
      <c r="AW6" s="6">
        <v>6.4086847729546701</v>
      </c>
      <c r="AX6" s="8">
        <v>10</v>
      </c>
      <c r="AY6" s="6">
        <v>2.0266040688575799</v>
      </c>
      <c r="AZ6" s="6"/>
      <c r="BA6" s="6">
        <v>30.782472613458499</v>
      </c>
      <c r="BB6" s="6">
        <v>4.3301924141585797</v>
      </c>
      <c r="BC6" s="6">
        <v>10</v>
      </c>
      <c r="BD6" s="6">
        <v>1.3693270735524301</v>
      </c>
      <c r="BE6" s="9"/>
    </row>
    <row r="7" spans="1:66" s="2" customFormat="1" x14ac:dyDescent="0.2">
      <c r="A7" s="4" t="s">
        <v>117</v>
      </c>
      <c r="B7" s="2" t="s">
        <v>150</v>
      </c>
      <c r="C7" s="2" t="s">
        <v>119</v>
      </c>
      <c r="D7" s="49" t="s">
        <v>120</v>
      </c>
      <c r="E7" s="2" t="s">
        <v>151</v>
      </c>
      <c r="F7" s="2" t="s">
        <v>71</v>
      </c>
      <c r="G7" s="2" t="s">
        <v>152</v>
      </c>
      <c r="H7" s="2" t="s">
        <v>144</v>
      </c>
      <c r="I7" s="2" t="s">
        <v>123</v>
      </c>
      <c r="J7" s="2" t="s">
        <v>124</v>
      </c>
      <c r="K7" s="2" t="s">
        <v>76</v>
      </c>
      <c r="L7" s="5" t="s">
        <v>77</v>
      </c>
      <c r="M7" s="2" t="s">
        <v>125</v>
      </c>
      <c r="N7" s="2" t="s">
        <v>126</v>
      </c>
      <c r="O7" s="26"/>
      <c r="P7" s="2" t="s">
        <v>80</v>
      </c>
      <c r="Q7" s="2" t="s">
        <v>81</v>
      </c>
      <c r="R7" s="2" t="s">
        <v>127</v>
      </c>
      <c r="S7" s="26">
        <v>7</v>
      </c>
      <c r="T7" s="2" t="s">
        <v>83</v>
      </c>
      <c r="U7" s="2">
        <v>2</v>
      </c>
      <c r="V7" s="2" t="s">
        <v>128</v>
      </c>
      <c r="W7" s="2" t="s">
        <v>85</v>
      </c>
      <c r="X7" s="26">
        <v>95</v>
      </c>
      <c r="Y7" s="26"/>
      <c r="Z7" s="2" t="s">
        <v>86</v>
      </c>
      <c r="AB7" s="2" t="s">
        <v>129</v>
      </c>
      <c r="AC7" s="2" t="s">
        <v>88</v>
      </c>
      <c r="AD7" s="26">
        <v>46</v>
      </c>
      <c r="AE7" s="2" t="s">
        <v>130</v>
      </c>
      <c r="AF7" s="2" t="s">
        <v>90</v>
      </c>
      <c r="AH7" s="2" t="s">
        <v>91</v>
      </c>
      <c r="AI7" s="2" t="s">
        <v>131</v>
      </c>
      <c r="AJ7" s="2" t="s">
        <v>145</v>
      </c>
      <c r="AK7" s="2" t="s">
        <v>133</v>
      </c>
      <c r="AL7" s="2" t="s">
        <v>134</v>
      </c>
      <c r="AM7" s="2" t="s">
        <v>135</v>
      </c>
      <c r="AN7" s="2" t="s">
        <v>136</v>
      </c>
      <c r="AO7" s="2" t="s">
        <v>137</v>
      </c>
      <c r="AP7" s="2" t="s">
        <v>138</v>
      </c>
      <c r="AQ7" s="2" t="s">
        <v>139</v>
      </c>
      <c r="AR7" s="2" t="s">
        <v>153</v>
      </c>
      <c r="AS7" s="2" t="s">
        <v>154</v>
      </c>
      <c r="AT7" s="2" t="s">
        <v>71</v>
      </c>
      <c r="AU7" s="2" t="s">
        <v>103</v>
      </c>
      <c r="AV7" s="6">
        <v>32.066666666666698</v>
      </c>
      <c r="AW7" s="6">
        <v>10.9625625552504</v>
      </c>
      <c r="AX7" s="8">
        <v>10</v>
      </c>
      <c r="AY7" s="6">
        <v>3.4666666666666801</v>
      </c>
      <c r="AZ7" s="6"/>
      <c r="BA7" s="11">
        <v>14.266666666666699</v>
      </c>
      <c r="BB7" s="11">
        <v>8.4327404271156805</v>
      </c>
      <c r="BC7" s="6">
        <v>10</v>
      </c>
      <c r="BD7" s="6">
        <v>8.4327404271156805</v>
      </c>
      <c r="BE7" s="9"/>
    </row>
    <row r="8" spans="1:66" s="2" customFormat="1" x14ac:dyDescent="0.2">
      <c r="A8" s="4" t="s">
        <v>117</v>
      </c>
      <c r="B8" s="2" t="s">
        <v>150</v>
      </c>
      <c r="C8" s="2" t="s">
        <v>119</v>
      </c>
      <c r="D8" s="49" t="s">
        <v>142</v>
      </c>
      <c r="E8" s="2" t="s">
        <v>155</v>
      </c>
      <c r="F8" s="2" t="s">
        <v>71</v>
      </c>
      <c r="G8" s="2" t="s">
        <v>152</v>
      </c>
      <c r="H8" s="2" t="s">
        <v>144</v>
      </c>
      <c r="I8" s="2" t="s">
        <v>123</v>
      </c>
      <c r="J8" s="2" t="s">
        <v>124</v>
      </c>
      <c r="K8" s="2" t="s">
        <v>76</v>
      </c>
      <c r="L8" s="5" t="s">
        <v>77</v>
      </c>
      <c r="M8" s="2" t="s">
        <v>125</v>
      </c>
      <c r="N8" s="2" t="s">
        <v>126</v>
      </c>
      <c r="O8" s="26"/>
      <c r="P8" s="2" t="s">
        <v>80</v>
      </c>
      <c r="Q8" s="2" t="s">
        <v>81</v>
      </c>
      <c r="R8" s="2" t="s">
        <v>127</v>
      </c>
      <c r="S8" s="26">
        <v>7</v>
      </c>
      <c r="T8" s="2" t="s">
        <v>83</v>
      </c>
      <c r="U8" s="2">
        <v>2</v>
      </c>
      <c r="V8" s="2" t="s">
        <v>128</v>
      </c>
      <c r="W8" s="2" t="s">
        <v>85</v>
      </c>
      <c r="X8" s="26">
        <v>95</v>
      </c>
      <c r="Y8" s="26"/>
      <c r="Z8" s="2" t="s">
        <v>86</v>
      </c>
      <c r="AB8" s="2" t="s">
        <v>129</v>
      </c>
      <c r="AC8" s="2" t="s">
        <v>88</v>
      </c>
      <c r="AD8" s="26">
        <v>46</v>
      </c>
      <c r="AE8" s="2" t="s">
        <v>130</v>
      </c>
      <c r="AF8" s="2" t="s">
        <v>90</v>
      </c>
      <c r="AH8" s="2" t="s">
        <v>91</v>
      </c>
      <c r="AI8" s="2" t="s">
        <v>131</v>
      </c>
      <c r="AJ8" s="2" t="s">
        <v>145</v>
      </c>
      <c r="AK8" s="2" t="s">
        <v>146</v>
      </c>
      <c r="AL8" s="2" t="s">
        <v>134</v>
      </c>
      <c r="AM8" s="2" t="s">
        <v>135</v>
      </c>
      <c r="AN8" s="2" t="s">
        <v>136</v>
      </c>
      <c r="AO8" s="2" t="s">
        <v>147</v>
      </c>
      <c r="AP8" s="2" t="s">
        <v>138</v>
      </c>
      <c r="AQ8" s="2" t="s">
        <v>114</v>
      </c>
      <c r="AR8" s="2" t="s">
        <v>156</v>
      </c>
      <c r="AS8" s="2" t="s">
        <v>157</v>
      </c>
      <c r="AT8" s="2" t="s">
        <v>71</v>
      </c>
      <c r="AU8" s="2" t="s">
        <v>103</v>
      </c>
      <c r="AV8" s="6">
        <v>30.015649452269201</v>
      </c>
      <c r="AW8" s="6">
        <v>6.4086847729546701</v>
      </c>
      <c r="AX8" s="8">
        <v>10</v>
      </c>
      <c r="AY8" s="6">
        <v>2.0266040688575799</v>
      </c>
      <c r="AZ8" s="6"/>
      <c r="BA8" s="6">
        <v>21.5258215962441</v>
      </c>
      <c r="BB8" s="6">
        <v>5.7158539866893197</v>
      </c>
      <c r="BC8" s="6">
        <v>10</v>
      </c>
      <c r="BD8" s="6">
        <v>1.8075117370892</v>
      </c>
      <c r="BE8" s="9"/>
    </row>
    <row r="9" spans="1:66" s="2" customFormat="1" x14ac:dyDescent="0.2">
      <c r="A9" s="4" t="s">
        <v>117</v>
      </c>
      <c r="B9" s="2" t="s">
        <v>158</v>
      </c>
      <c r="C9" s="2" t="s">
        <v>119</v>
      </c>
      <c r="D9" s="49" t="s">
        <v>120</v>
      </c>
      <c r="E9" s="2" t="s">
        <v>159</v>
      </c>
      <c r="F9" s="2" t="s">
        <v>71</v>
      </c>
      <c r="G9" s="2" t="s">
        <v>160</v>
      </c>
      <c r="H9" s="2" t="s">
        <v>144</v>
      </c>
      <c r="I9" s="2" t="s">
        <v>123</v>
      </c>
      <c r="J9" s="2" t="s">
        <v>124</v>
      </c>
      <c r="K9" s="2" t="s">
        <v>76</v>
      </c>
      <c r="L9" s="5" t="s">
        <v>77</v>
      </c>
      <c r="M9" s="2" t="s">
        <v>125</v>
      </c>
      <c r="N9" s="2" t="s">
        <v>126</v>
      </c>
      <c r="O9" s="26"/>
      <c r="P9" s="2" t="s">
        <v>80</v>
      </c>
      <c r="Q9" s="2" t="s">
        <v>81</v>
      </c>
      <c r="R9" s="2" t="s">
        <v>127</v>
      </c>
      <c r="S9" s="26">
        <v>7</v>
      </c>
      <c r="T9" s="2" t="s">
        <v>83</v>
      </c>
      <c r="U9" s="2">
        <v>4</v>
      </c>
      <c r="V9" s="2" t="s">
        <v>128</v>
      </c>
      <c r="W9" s="2" t="s">
        <v>85</v>
      </c>
      <c r="X9" s="26">
        <v>95</v>
      </c>
      <c r="Y9" s="26"/>
      <c r="Z9" s="2" t="s">
        <v>86</v>
      </c>
      <c r="AB9" s="2" t="s">
        <v>129</v>
      </c>
      <c r="AC9" s="2" t="s">
        <v>88</v>
      </c>
      <c r="AD9" s="26">
        <v>46</v>
      </c>
      <c r="AE9" s="2" t="s">
        <v>130</v>
      </c>
      <c r="AF9" s="2" t="s">
        <v>90</v>
      </c>
      <c r="AH9" s="2" t="s">
        <v>91</v>
      </c>
      <c r="AI9" s="2" t="s">
        <v>131</v>
      </c>
      <c r="AJ9" s="2" t="s">
        <v>145</v>
      </c>
      <c r="AK9" s="2" t="s">
        <v>133</v>
      </c>
      <c r="AL9" s="2" t="s">
        <v>134</v>
      </c>
      <c r="AM9" s="2" t="s">
        <v>135</v>
      </c>
      <c r="AN9" s="2" t="s">
        <v>136</v>
      </c>
      <c r="AO9" s="2" t="s">
        <v>137</v>
      </c>
      <c r="AP9" s="2" t="s">
        <v>138</v>
      </c>
      <c r="AQ9" s="2" t="s">
        <v>139</v>
      </c>
      <c r="AR9" s="2" t="s">
        <v>161</v>
      </c>
      <c r="AS9" s="2" t="s">
        <v>162</v>
      </c>
      <c r="AT9" s="2" t="s">
        <v>71</v>
      </c>
      <c r="AU9" s="2" t="s">
        <v>103</v>
      </c>
      <c r="AV9" s="6">
        <v>32.066666666666698</v>
      </c>
      <c r="AW9" s="6">
        <v>10.9625625552504</v>
      </c>
      <c r="AX9" s="8">
        <v>10</v>
      </c>
      <c r="AY9" s="6">
        <v>3.4666666666666801</v>
      </c>
      <c r="AZ9" s="6"/>
      <c r="BA9" s="6">
        <v>15.3333333333333</v>
      </c>
      <c r="BB9" s="6">
        <v>8.8543774484714799</v>
      </c>
      <c r="BC9" s="6">
        <v>10</v>
      </c>
      <c r="BD9" s="6">
        <v>2.8</v>
      </c>
      <c r="BE9" s="9"/>
    </row>
    <row r="10" spans="1:66" s="2" customFormat="1" x14ac:dyDescent="0.2">
      <c r="A10" s="4" t="s">
        <v>117</v>
      </c>
      <c r="B10" s="2" t="s">
        <v>158</v>
      </c>
      <c r="C10" s="2" t="s">
        <v>119</v>
      </c>
      <c r="D10" s="49" t="s">
        <v>142</v>
      </c>
      <c r="E10" s="2" t="s">
        <v>163</v>
      </c>
      <c r="F10" s="2" t="s">
        <v>71</v>
      </c>
      <c r="G10" s="2" t="s">
        <v>160</v>
      </c>
      <c r="H10" s="2" t="s">
        <v>144</v>
      </c>
      <c r="I10" s="2" t="s">
        <v>123</v>
      </c>
      <c r="J10" s="2" t="s">
        <v>124</v>
      </c>
      <c r="K10" s="2" t="s">
        <v>76</v>
      </c>
      <c r="L10" s="5" t="s">
        <v>77</v>
      </c>
      <c r="M10" s="2" t="s">
        <v>125</v>
      </c>
      <c r="N10" s="2" t="s">
        <v>126</v>
      </c>
      <c r="O10" s="26"/>
      <c r="P10" s="2" t="s">
        <v>80</v>
      </c>
      <c r="Q10" s="2" t="s">
        <v>81</v>
      </c>
      <c r="R10" s="2" t="s">
        <v>127</v>
      </c>
      <c r="S10" s="26">
        <v>7</v>
      </c>
      <c r="T10" s="2" t="s">
        <v>83</v>
      </c>
      <c r="U10" s="2">
        <v>4</v>
      </c>
      <c r="V10" s="2" t="s">
        <v>128</v>
      </c>
      <c r="W10" s="2" t="s">
        <v>85</v>
      </c>
      <c r="X10" s="26">
        <v>95</v>
      </c>
      <c r="Y10" s="26"/>
      <c r="Z10" s="2" t="s">
        <v>86</v>
      </c>
      <c r="AB10" s="2" t="s">
        <v>129</v>
      </c>
      <c r="AC10" s="2" t="s">
        <v>88</v>
      </c>
      <c r="AD10" s="26">
        <v>46</v>
      </c>
      <c r="AE10" s="2" t="s">
        <v>130</v>
      </c>
      <c r="AF10" s="2" t="s">
        <v>90</v>
      </c>
      <c r="AH10" s="2" t="s">
        <v>91</v>
      </c>
      <c r="AI10" s="2" t="s">
        <v>131</v>
      </c>
      <c r="AJ10" s="2" t="s">
        <v>145</v>
      </c>
      <c r="AK10" s="2" t="s">
        <v>146</v>
      </c>
      <c r="AL10" s="2" t="s">
        <v>134</v>
      </c>
      <c r="AM10" s="2" t="s">
        <v>135</v>
      </c>
      <c r="AN10" s="2" t="s">
        <v>136</v>
      </c>
      <c r="AO10" s="2" t="s">
        <v>147</v>
      </c>
      <c r="AP10" s="2" t="s">
        <v>164</v>
      </c>
      <c r="AQ10" s="2" t="s">
        <v>114</v>
      </c>
      <c r="AR10" s="2" t="s">
        <v>165</v>
      </c>
      <c r="AS10" s="2" t="s">
        <v>166</v>
      </c>
      <c r="AT10" s="2" t="s">
        <v>71</v>
      </c>
      <c r="AU10" s="2" t="s">
        <v>103</v>
      </c>
      <c r="AV10" s="6">
        <v>30.015649452269201</v>
      </c>
      <c r="AW10" s="6">
        <v>6.4086847729546701</v>
      </c>
      <c r="AX10" s="8">
        <v>10</v>
      </c>
      <c r="AY10" s="6">
        <v>2.0266040688575799</v>
      </c>
      <c r="AZ10" s="6"/>
      <c r="BA10" s="6">
        <v>16.924882629108001</v>
      </c>
      <c r="BB10" s="6">
        <v>8.31396943518447</v>
      </c>
      <c r="BC10" s="6">
        <v>10</v>
      </c>
      <c r="BD10" s="6">
        <v>2.6291079812206601</v>
      </c>
      <c r="BE10" s="9"/>
    </row>
    <row r="11" spans="1:66" x14ac:dyDescent="0.2">
      <c r="A11" s="4" t="s">
        <v>167</v>
      </c>
      <c r="B11" s="2" t="s">
        <v>168</v>
      </c>
      <c r="C11" s="2" t="s">
        <v>169</v>
      </c>
      <c r="D11" s="49" t="s">
        <v>170</v>
      </c>
      <c r="E11" s="2" t="s">
        <v>171</v>
      </c>
      <c r="F11" s="2" t="s">
        <v>71</v>
      </c>
      <c r="G11" s="2" t="s">
        <v>172</v>
      </c>
      <c r="H11" s="1" t="s">
        <v>173</v>
      </c>
      <c r="I11" s="1" t="s">
        <v>174</v>
      </c>
      <c r="J11" s="2" t="s">
        <v>175</v>
      </c>
      <c r="K11" s="2" t="s">
        <v>176</v>
      </c>
      <c r="L11" s="5" t="s">
        <v>77</v>
      </c>
      <c r="M11" s="2" t="s">
        <v>125</v>
      </c>
      <c r="N11" s="2" t="s">
        <v>126</v>
      </c>
      <c r="P11" s="53" t="s">
        <v>177</v>
      </c>
      <c r="Q11" s="2" t="s">
        <v>178</v>
      </c>
      <c r="R11" s="2" t="s">
        <v>179</v>
      </c>
      <c r="S11" s="26">
        <v>14</v>
      </c>
      <c r="T11" s="2" t="s">
        <v>83</v>
      </c>
      <c r="U11" s="2">
        <v>8.3000000000000004E-2</v>
      </c>
      <c r="V11" s="52" t="s">
        <v>180</v>
      </c>
      <c r="W11" s="2" t="s">
        <v>181</v>
      </c>
      <c r="X11" s="26">
        <v>125</v>
      </c>
      <c r="Z11" s="2" t="s">
        <v>86</v>
      </c>
      <c r="AB11" s="53" t="s">
        <v>182</v>
      </c>
      <c r="AC11" s="52" t="s">
        <v>88</v>
      </c>
      <c r="AD11" s="26">
        <v>90</v>
      </c>
      <c r="AE11" s="2" t="s">
        <v>183</v>
      </c>
      <c r="AF11" s="2" t="s">
        <v>90</v>
      </c>
      <c r="AG11" s="2" t="s">
        <v>184</v>
      </c>
      <c r="AH11" s="2" t="s">
        <v>91</v>
      </c>
      <c r="AI11" s="2" t="s">
        <v>185</v>
      </c>
      <c r="AJ11" s="2" t="s">
        <v>186</v>
      </c>
      <c r="AK11" s="2" t="s">
        <v>187</v>
      </c>
      <c r="AL11" s="2" t="s">
        <v>107</v>
      </c>
      <c r="AM11" s="2" t="s">
        <v>107</v>
      </c>
      <c r="AN11" s="2" t="s">
        <v>136</v>
      </c>
      <c r="AO11" s="2" t="s">
        <v>188</v>
      </c>
      <c r="AP11" s="1" t="s">
        <v>189</v>
      </c>
      <c r="AQ11" s="2" t="s">
        <v>190</v>
      </c>
      <c r="AR11" s="2" t="s">
        <v>191</v>
      </c>
      <c r="AS11" s="2" t="s">
        <v>192</v>
      </c>
      <c r="AT11" s="2" t="s">
        <v>71</v>
      </c>
      <c r="AU11" s="2" t="s">
        <v>103</v>
      </c>
      <c r="AV11" s="6">
        <v>44.003884050000003</v>
      </c>
      <c r="AW11" s="6">
        <v>2.1831185789999998</v>
      </c>
      <c r="AX11" s="8">
        <v>6</v>
      </c>
      <c r="AY11" s="6">
        <v>0.89125442799999999</v>
      </c>
      <c r="BA11" s="12">
        <v>38.3419689119171</v>
      </c>
      <c r="BB11" s="12">
        <v>2.7633851468048198</v>
      </c>
      <c r="BC11" s="6">
        <v>6</v>
      </c>
      <c r="BD11" s="6">
        <v>1.1281472619999999</v>
      </c>
    </row>
    <row r="12" spans="1:66" x14ac:dyDescent="0.2">
      <c r="A12" s="4" t="s">
        <v>167</v>
      </c>
      <c r="B12" s="2" t="s">
        <v>168</v>
      </c>
      <c r="C12" s="2" t="s">
        <v>169</v>
      </c>
      <c r="D12" s="49" t="s">
        <v>193</v>
      </c>
      <c r="E12" s="2" t="s">
        <v>194</v>
      </c>
      <c r="F12" s="2" t="s">
        <v>71</v>
      </c>
      <c r="G12" s="2" t="s">
        <v>172</v>
      </c>
      <c r="H12" s="1" t="s">
        <v>173</v>
      </c>
      <c r="I12" s="1" t="s">
        <v>174</v>
      </c>
      <c r="J12" s="2" t="s">
        <v>175</v>
      </c>
      <c r="K12" s="2" t="s">
        <v>176</v>
      </c>
      <c r="L12" s="5" t="s">
        <v>77</v>
      </c>
      <c r="M12" s="2" t="s">
        <v>125</v>
      </c>
      <c r="N12" s="2" t="s">
        <v>126</v>
      </c>
      <c r="P12" s="53" t="s">
        <v>177</v>
      </c>
      <c r="Q12" s="2" t="s">
        <v>178</v>
      </c>
      <c r="R12" s="2" t="s">
        <v>179</v>
      </c>
      <c r="S12" s="26">
        <v>14</v>
      </c>
      <c r="T12" s="2" t="s">
        <v>83</v>
      </c>
      <c r="U12" s="2">
        <v>8.3000000000000004E-2</v>
      </c>
      <c r="V12" s="52" t="s">
        <v>180</v>
      </c>
      <c r="W12" s="2" t="s">
        <v>181</v>
      </c>
      <c r="X12" s="26">
        <v>125</v>
      </c>
      <c r="Z12" s="2" t="s">
        <v>86</v>
      </c>
      <c r="AB12" s="53" t="s">
        <v>182</v>
      </c>
      <c r="AC12" s="52" t="s">
        <v>88</v>
      </c>
      <c r="AD12" s="26">
        <v>90</v>
      </c>
      <c r="AE12" s="2" t="s">
        <v>183</v>
      </c>
      <c r="AF12" s="2" t="s">
        <v>90</v>
      </c>
      <c r="AG12" s="2" t="s">
        <v>184</v>
      </c>
      <c r="AH12" s="2" t="s">
        <v>91</v>
      </c>
      <c r="AI12" s="2" t="s">
        <v>185</v>
      </c>
      <c r="AJ12" s="2" t="s">
        <v>186</v>
      </c>
      <c r="AK12" s="2" t="s">
        <v>195</v>
      </c>
      <c r="AL12" s="2" t="s">
        <v>107</v>
      </c>
      <c r="AM12" s="2" t="s">
        <v>107</v>
      </c>
      <c r="AN12" s="2" t="s">
        <v>136</v>
      </c>
      <c r="AO12" s="2" t="s">
        <v>188</v>
      </c>
      <c r="AP12" s="1" t="s">
        <v>189</v>
      </c>
      <c r="AQ12" s="2" t="s">
        <v>196</v>
      </c>
      <c r="AR12" s="2" t="s">
        <v>197</v>
      </c>
      <c r="AS12" s="2" t="s">
        <v>198</v>
      </c>
      <c r="AT12" s="2" t="s">
        <v>71</v>
      </c>
      <c r="AU12" s="2" t="s">
        <v>103</v>
      </c>
      <c r="AV12" s="12">
        <v>15.4576856649396</v>
      </c>
      <c r="AW12" s="12">
        <v>1.2089810017271101</v>
      </c>
      <c r="AX12" s="13">
        <v>6</v>
      </c>
      <c r="AY12" s="12">
        <v>0.493564427158383</v>
      </c>
      <c r="BA12" s="12">
        <v>23.0569948186528</v>
      </c>
      <c r="BB12" s="12">
        <v>1.9861830742659701</v>
      </c>
      <c r="BC12" s="6">
        <v>6</v>
      </c>
      <c r="BD12" s="12">
        <v>0.81085584461734395</v>
      </c>
    </row>
    <row r="13" spans="1:66" x14ac:dyDescent="0.2">
      <c r="A13" s="4" t="s">
        <v>167</v>
      </c>
      <c r="B13" s="2" t="s">
        <v>168</v>
      </c>
      <c r="C13" s="2" t="s">
        <v>169</v>
      </c>
      <c r="D13" s="49" t="s">
        <v>199</v>
      </c>
      <c r="E13" s="2" t="s">
        <v>200</v>
      </c>
      <c r="F13" s="2" t="s">
        <v>71</v>
      </c>
      <c r="G13" s="2" t="s">
        <v>172</v>
      </c>
      <c r="H13" s="1" t="s">
        <v>173</v>
      </c>
      <c r="I13" s="1" t="s">
        <v>174</v>
      </c>
      <c r="J13" s="2" t="s">
        <v>175</v>
      </c>
      <c r="K13" s="2" t="s">
        <v>176</v>
      </c>
      <c r="L13" s="5" t="s">
        <v>77</v>
      </c>
      <c r="M13" s="2" t="s">
        <v>125</v>
      </c>
      <c r="N13" s="2" t="s">
        <v>126</v>
      </c>
      <c r="P13" s="53" t="s">
        <v>177</v>
      </c>
      <c r="Q13" s="2" t="s">
        <v>178</v>
      </c>
      <c r="R13" s="2" t="s">
        <v>179</v>
      </c>
      <c r="S13" s="26">
        <v>14</v>
      </c>
      <c r="T13" s="2" t="s">
        <v>83</v>
      </c>
      <c r="U13" s="2">
        <v>8.3000000000000004E-2</v>
      </c>
      <c r="V13" s="52" t="s">
        <v>180</v>
      </c>
      <c r="W13" s="2" t="s">
        <v>181</v>
      </c>
      <c r="X13" s="26">
        <v>125</v>
      </c>
      <c r="Z13" s="2" t="s">
        <v>86</v>
      </c>
      <c r="AB13" s="53" t="s">
        <v>182</v>
      </c>
      <c r="AC13" s="52" t="s">
        <v>88</v>
      </c>
      <c r="AD13" s="26">
        <v>90</v>
      </c>
      <c r="AE13" s="2" t="s">
        <v>183</v>
      </c>
      <c r="AF13" s="2" t="s">
        <v>90</v>
      </c>
      <c r="AG13" s="2" t="s">
        <v>184</v>
      </c>
      <c r="AH13" s="2" t="s">
        <v>91</v>
      </c>
      <c r="AI13" s="2" t="s">
        <v>185</v>
      </c>
      <c r="AJ13" s="2" t="s">
        <v>186</v>
      </c>
      <c r="AK13" s="2" t="s">
        <v>201</v>
      </c>
      <c r="AL13" s="2" t="s">
        <v>107</v>
      </c>
      <c r="AM13" s="2" t="s">
        <v>107</v>
      </c>
      <c r="AN13" s="2" t="s">
        <v>136</v>
      </c>
      <c r="AO13" s="2" t="s">
        <v>188</v>
      </c>
      <c r="AP13" s="1" t="s">
        <v>189</v>
      </c>
      <c r="AQ13" s="2" t="s">
        <v>202</v>
      </c>
      <c r="AR13" s="2" t="s">
        <v>203</v>
      </c>
      <c r="AS13" s="2" t="s">
        <v>204</v>
      </c>
      <c r="AT13" s="2" t="s">
        <v>71</v>
      </c>
      <c r="AU13" s="2" t="s">
        <v>103</v>
      </c>
      <c r="AV13" s="12">
        <v>28.929188255613099</v>
      </c>
      <c r="AW13" s="12">
        <v>4.0587219343695997</v>
      </c>
      <c r="AX13" s="13">
        <v>6</v>
      </c>
      <c r="AY13" s="12">
        <v>1.6569662911745699</v>
      </c>
      <c r="BA13" s="12">
        <v>30.8290155440415</v>
      </c>
      <c r="BB13" s="12">
        <v>2.0725388601036299</v>
      </c>
      <c r="BC13" s="12">
        <v>6</v>
      </c>
      <c r="BD13" s="12">
        <v>0.84611044700000004</v>
      </c>
      <c r="BH13" s="14">
        <v>7.013888888888889E-2</v>
      </c>
    </row>
    <row r="14" spans="1:66" x14ac:dyDescent="0.2">
      <c r="A14" s="4" t="s">
        <v>205</v>
      </c>
      <c r="B14" s="2" t="s">
        <v>206</v>
      </c>
      <c r="C14" s="2" t="s">
        <v>207</v>
      </c>
      <c r="D14" s="49" t="s">
        <v>208</v>
      </c>
      <c r="E14" s="2" t="s">
        <v>209</v>
      </c>
      <c r="F14" s="2" t="s">
        <v>71</v>
      </c>
      <c r="G14" s="2" t="s">
        <v>210</v>
      </c>
      <c r="H14" s="1" t="s">
        <v>211</v>
      </c>
      <c r="I14" s="1" t="s">
        <v>212</v>
      </c>
      <c r="J14" s="2" t="s">
        <v>213</v>
      </c>
      <c r="K14" s="2"/>
      <c r="L14" s="5" t="s">
        <v>77</v>
      </c>
      <c r="M14" s="2" t="s">
        <v>78</v>
      </c>
      <c r="N14" s="2" t="s">
        <v>214</v>
      </c>
      <c r="P14" s="2" t="s">
        <v>215</v>
      </c>
      <c r="Q14" s="2" t="s">
        <v>178</v>
      </c>
      <c r="R14" s="2" t="s">
        <v>216</v>
      </c>
      <c r="S14" s="26">
        <v>10</v>
      </c>
      <c r="T14" s="2" t="s">
        <v>83</v>
      </c>
      <c r="U14" s="2">
        <v>4</v>
      </c>
      <c r="V14" s="2" t="s">
        <v>128</v>
      </c>
      <c r="W14" s="2" t="s">
        <v>217</v>
      </c>
      <c r="X14" s="26">
        <v>100</v>
      </c>
      <c r="Y14" s="26" t="s">
        <v>218</v>
      </c>
      <c r="Z14" s="2" t="s">
        <v>86</v>
      </c>
      <c r="AB14" s="2"/>
      <c r="AC14" s="2" t="s">
        <v>88</v>
      </c>
      <c r="AD14" s="26">
        <v>45</v>
      </c>
      <c r="AE14" s="2"/>
      <c r="AF14" s="2" t="s">
        <v>90</v>
      </c>
      <c r="AG14" s="2"/>
      <c r="AH14" s="2" t="s">
        <v>91</v>
      </c>
      <c r="AI14" s="2" t="s">
        <v>185</v>
      </c>
      <c r="AJ14" s="2" t="s">
        <v>219</v>
      </c>
      <c r="AK14" s="2" t="s">
        <v>220</v>
      </c>
      <c r="AL14" s="2" t="s">
        <v>94</v>
      </c>
      <c r="AM14" s="2" t="s">
        <v>95</v>
      </c>
      <c r="AN14" s="2" t="s">
        <v>136</v>
      </c>
      <c r="AO14" s="2" t="s">
        <v>221</v>
      </c>
      <c r="AP14" s="1" t="s">
        <v>222</v>
      </c>
      <c r="AQ14" s="2" t="s">
        <v>223</v>
      </c>
      <c r="AR14" s="2" t="s">
        <v>224</v>
      </c>
      <c r="AS14" s="2" t="s">
        <v>225</v>
      </c>
      <c r="AT14" s="2" t="s">
        <v>71</v>
      </c>
      <c r="AU14" s="2" t="s">
        <v>226</v>
      </c>
      <c r="AV14" s="12">
        <v>251.33587786259599</v>
      </c>
      <c r="AW14" s="12">
        <v>26.335877862595499</v>
      </c>
      <c r="AX14" s="13">
        <v>6</v>
      </c>
      <c r="AY14" s="12">
        <v>10.751577115269701</v>
      </c>
      <c r="BA14" s="12">
        <v>178.62595419847301</v>
      </c>
      <c r="BB14" s="12">
        <v>16.6030534351145</v>
      </c>
      <c r="BC14" s="1">
        <v>6</v>
      </c>
      <c r="BD14" s="12">
        <v>6.7781681813656496</v>
      </c>
      <c r="BH14" s="14">
        <v>5.4166666666666669E-2</v>
      </c>
    </row>
    <row r="15" spans="1:66" x14ac:dyDescent="0.2">
      <c r="A15" s="4" t="s">
        <v>205</v>
      </c>
      <c r="B15" s="2" t="s">
        <v>206</v>
      </c>
      <c r="C15" s="2" t="s">
        <v>207</v>
      </c>
      <c r="D15" s="49" t="s">
        <v>227</v>
      </c>
      <c r="E15" s="2" t="s">
        <v>228</v>
      </c>
      <c r="F15" s="2" t="s">
        <v>71</v>
      </c>
      <c r="G15" s="2" t="s">
        <v>210</v>
      </c>
      <c r="H15" s="1" t="s">
        <v>211</v>
      </c>
      <c r="I15" s="1" t="s">
        <v>212</v>
      </c>
      <c r="J15" s="2" t="s">
        <v>213</v>
      </c>
      <c r="K15" s="2"/>
      <c r="L15" s="5" t="s">
        <v>77</v>
      </c>
      <c r="M15" s="2" t="s">
        <v>78</v>
      </c>
      <c r="N15" s="2" t="s">
        <v>214</v>
      </c>
      <c r="P15" s="2" t="s">
        <v>215</v>
      </c>
      <c r="Q15" s="2" t="s">
        <v>178</v>
      </c>
      <c r="R15" s="2" t="s">
        <v>216</v>
      </c>
      <c r="S15" s="26">
        <v>10</v>
      </c>
      <c r="T15" s="2" t="s">
        <v>83</v>
      </c>
      <c r="U15" s="2">
        <v>4</v>
      </c>
      <c r="V15" s="2" t="s">
        <v>128</v>
      </c>
      <c r="W15" s="2" t="s">
        <v>217</v>
      </c>
      <c r="X15" s="26">
        <v>100</v>
      </c>
      <c r="Y15" s="26" t="s">
        <v>218</v>
      </c>
      <c r="Z15" s="2" t="s">
        <v>86</v>
      </c>
      <c r="AB15" s="2"/>
      <c r="AC15" s="2" t="s">
        <v>88</v>
      </c>
      <c r="AD15" s="26">
        <v>45</v>
      </c>
      <c r="AE15" s="2"/>
      <c r="AF15" s="2" t="s">
        <v>90</v>
      </c>
      <c r="AG15" s="2"/>
      <c r="AH15" s="2" t="s">
        <v>91</v>
      </c>
      <c r="AI15" s="2" t="s">
        <v>185</v>
      </c>
      <c r="AJ15" s="2"/>
      <c r="AK15" s="2" t="s">
        <v>229</v>
      </c>
      <c r="AL15" s="2" t="s">
        <v>94</v>
      </c>
      <c r="AM15" s="2" t="s">
        <v>95</v>
      </c>
      <c r="AN15" s="2" t="s">
        <v>136</v>
      </c>
      <c r="AO15" s="2" t="s">
        <v>221</v>
      </c>
      <c r="AP15" s="2" t="s">
        <v>230</v>
      </c>
      <c r="AQ15" s="2" t="s">
        <v>231</v>
      </c>
      <c r="AR15" s="2" t="s">
        <v>232</v>
      </c>
      <c r="AS15" s="2" t="s">
        <v>233</v>
      </c>
      <c r="AT15" s="2" t="s">
        <v>102</v>
      </c>
      <c r="AU15" s="2" t="s">
        <v>226</v>
      </c>
      <c r="AV15" s="12">
        <v>98.249027237354099</v>
      </c>
      <c r="AW15" s="12">
        <v>25.778210116731501</v>
      </c>
      <c r="AX15" s="13">
        <v>6</v>
      </c>
      <c r="AY15" s="12">
        <v>10.5239102113739</v>
      </c>
      <c r="BA15" s="12">
        <v>151.750972762646</v>
      </c>
      <c r="BB15" s="12">
        <v>17.509727626459199</v>
      </c>
      <c r="BC15" s="1">
        <v>6</v>
      </c>
      <c r="BD15" s="12">
        <v>7.1483163699898196</v>
      </c>
    </row>
    <row r="16" spans="1:66" x14ac:dyDescent="0.2">
      <c r="A16" s="4" t="s">
        <v>205</v>
      </c>
      <c r="B16" s="2" t="s">
        <v>234</v>
      </c>
      <c r="C16" s="2" t="s">
        <v>207</v>
      </c>
      <c r="D16" s="49" t="s">
        <v>208</v>
      </c>
      <c r="E16" s="2" t="s">
        <v>235</v>
      </c>
      <c r="F16" s="2" t="s">
        <v>71</v>
      </c>
      <c r="G16" s="2" t="s">
        <v>210</v>
      </c>
      <c r="H16" s="1" t="s">
        <v>211</v>
      </c>
      <c r="I16" s="1" t="s">
        <v>212</v>
      </c>
      <c r="J16" s="2" t="s">
        <v>213</v>
      </c>
      <c r="L16" s="5" t="s">
        <v>77</v>
      </c>
      <c r="M16" s="2" t="s">
        <v>78</v>
      </c>
      <c r="N16" s="2" t="s">
        <v>214</v>
      </c>
      <c r="P16" s="2" t="s">
        <v>215</v>
      </c>
      <c r="Q16" s="1" t="s">
        <v>81</v>
      </c>
      <c r="R16" s="15" t="s">
        <v>236</v>
      </c>
      <c r="S16" s="26">
        <v>11</v>
      </c>
      <c r="T16" s="2" t="s">
        <v>83</v>
      </c>
      <c r="U16" s="2">
        <v>4</v>
      </c>
      <c r="V16" s="2" t="s">
        <v>128</v>
      </c>
      <c r="W16" s="2" t="s">
        <v>217</v>
      </c>
      <c r="X16" s="26">
        <v>100</v>
      </c>
      <c r="Y16" s="26" t="s">
        <v>218</v>
      </c>
      <c r="Z16" s="2" t="s">
        <v>86</v>
      </c>
      <c r="AC16" s="2" t="s">
        <v>88</v>
      </c>
      <c r="AD16" s="26">
        <v>45</v>
      </c>
      <c r="AF16" s="2" t="s">
        <v>90</v>
      </c>
      <c r="AH16" s="2" t="s">
        <v>91</v>
      </c>
      <c r="AI16" s="2" t="s">
        <v>185</v>
      </c>
      <c r="AK16" s="2" t="s">
        <v>220</v>
      </c>
      <c r="AL16" s="2" t="s">
        <v>94</v>
      </c>
      <c r="AM16" s="2" t="s">
        <v>95</v>
      </c>
      <c r="AN16" s="2" t="s">
        <v>136</v>
      </c>
      <c r="AO16" s="2" t="s">
        <v>221</v>
      </c>
      <c r="AP16" s="1" t="s">
        <v>222</v>
      </c>
      <c r="AQ16" s="2" t="s">
        <v>223</v>
      </c>
      <c r="AR16" s="2" t="s">
        <v>237</v>
      </c>
      <c r="AS16" s="2" t="s">
        <v>238</v>
      </c>
      <c r="AT16" s="2" t="s">
        <v>71</v>
      </c>
      <c r="AU16" s="2" t="s">
        <v>226</v>
      </c>
      <c r="AV16" s="12">
        <v>251.33587786259599</v>
      </c>
      <c r="AW16" s="12">
        <v>26.335877862595499</v>
      </c>
      <c r="AX16" s="13">
        <v>6</v>
      </c>
      <c r="AY16" s="12">
        <v>10.751577115269701</v>
      </c>
      <c r="BA16" s="12">
        <v>134.54198473282401</v>
      </c>
      <c r="BB16" s="12">
        <v>9.7328244274809208</v>
      </c>
      <c r="BC16" s="1">
        <v>6</v>
      </c>
      <c r="BD16" s="12">
        <v>3.9734089339040102</v>
      </c>
    </row>
    <row r="17" spans="1:60" x14ac:dyDescent="0.2">
      <c r="A17" s="4" t="s">
        <v>205</v>
      </c>
      <c r="B17" s="2" t="s">
        <v>234</v>
      </c>
      <c r="C17" s="2" t="s">
        <v>207</v>
      </c>
      <c r="D17" s="49" t="s">
        <v>227</v>
      </c>
      <c r="E17" s="2" t="s">
        <v>239</v>
      </c>
      <c r="F17" s="2" t="s">
        <v>71</v>
      </c>
      <c r="G17" s="2" t="s">
        <v>210</v>
      </c>
      <c r="H17" s="1" t="s">
        <v>211</v>
      </c>
      <c r="I17" s="1" t="s">
        <v>212</v>
      </c>
      <c r="J17" s="2" t="s">
        <v>213</v>
      </c>
      <c r="L17" s="5" t="s">
        <v>77</v>
      </c>
      <c r="M17" s="2" t="s">
        <v>78</v>
      </c>
      <c r="N17" s="2" t="s">
        <v>214</v>
      </c>
      <c r="P17" s="2" t="s">
        <v>215</v>
      </c>
      <c r="Q17" s="1" t="s">
        <v>81</v>
      </c>
      <c r="R17" s="15" t="s">
        <v>236</v>
      </c>
      <c r="S17" s="26">
        <v>11</v>
      </c>
      <c r="T17" s="2" t="s">
        <v>83</v>
      </c>
      <c r="U17" s="2">
        <v>4</v>
      </c>
      <c r="V17" s="2" t="s">
        <v>128</v>
      </c>
      <c r="W17" s="2" t="s">
        <v>217</v>
      </c>
      <c r="X17" s="26">
        <v>100</v>
      </c>
      <c r="Y17" s="26" t="s">
        <v>218</v>
      </c>
      <c r="Z17" s="2" t="s">
        <v>86</v>
      </c>
      <c r="AC17" s="2" t="s">
        <v>88</v>
      </c>
      <c r="AD17" s="26">
        <v>45</v>
      </c>
      <c r="AF17" s="2" t="s">
        <v>90</v>
      </c>
      <c r="AH17" s="2" t="s">
        <v>91</v>
      </c>
      <c r="AI17" s="2" t="s">
        <v>185</v>
      </c>
      <c r="AK17" s="2" t="s">
        <v>229</v>
      </c>
      <c r="AL17" s="2" t="s">
        <v>94</v>
      </c>
      <c r="AM17" s="2" t="s">
        <v>95</v>
      </c>
      <c r="AN17" s="2" t="s">
        <v>136</v>
      </c>
      <c r="AO17" s="2" t="s">
        <v>221</v>
      </c>
      <c r="AP17" s="2" t="s">
        <v>230</v>
      </c>
      <c r="AQ17" s="2" t="s">
        <v>231</v>
      </c>
      <c r="AR17" s="2" t="s">
        <v>240</v>
      </c>
      <c r="AS17" s="2" t="s">
        <v>241</v>
      </c>
      <c r="AT17" s="2" t="s">
        <v>102</v>
      </c>
      <c r="AU17" s="2" t="s">
        <v>226</v>
      </c>
      <c r="AV17" s="12">
        <v>98.249027237354099</v>
      </c>
      <c r="AW17" s="12">
        <v>25.778210116731501</v>
      </c>
      <c r="AX17" s="13">
        <v>6</v>
      </c>
      <c r="AY17" s="12">
        <v>10.5239102113739</v>
      </c>
      <c r="BA17" s="12">
        <v>180.447470817121</v>
      </c>
      <c r="BB17" s="12">
        <v>8.75486381322958</v>
      </c>
      <c r="BC17" s="1">
        <v>6</v>
      </c>
      <c r="BD17" s="12">
        <v>3.5741581849949098</v>
      </c>
    </row>
    <row r="18" spans="1:60" x14ac:dyDescent="0.2">
      <c r="A18" s="4" t="s">
        <v>205</v>
      </c>
      <c r="B18" s="2" t="s">
        <v>242</v>
      </c>
      <c r="C18" s="2" t="s">
        <v>207</v>
      </c>
      <c r="D18" s="49" t="s">
        <v>208</v>
      </c>
      <c r="E18" s="2" t="s">
        <v>243</v>
      </c>
      <c r="F18" s="2" t="s">
        <v>71</v>
      </c>
      <c r="G18" s="2" t="s">
        <v>210</v>
      </c>
      <c r="H18" s="1" t="s">
        <v>211</v>
      </c>
      <c r="I18" s="1" t="s">
        <v>212</v>
      </c>
      <c r="J18" s="2" t="s">
        <v>213</v>
      </c>
      <c r="L18" s="5" t="s">
        <v>77</v>
      </c>
      <c r="M18" s="2" t="s">
        <v>78</v>
      </c>
      <c r="N18" s="2" t="s">
        <v>214</v>
      </c>
      <c r="P18" s="2" t="s">
        <v>215</v>
      </c>
      <c r="Q18" s="2" t="s">
        <v>244</v>
      </c>
      <c r="R18" s="16" t="s">
        <v>245</v>
      </c>
      <c r="S18" s="26">
        <v>21</v>
      </c>
      <c r="T18" s="2" t="s">
        <v>83</v>
      </c>
      <c r="U18" s="2">
        <v>4</v>
      </c>
      <c r="V18" s="2" t="s">
        <v>128</v>
      </c>
      <c r="W18" s="2" t="s">
        <v>217</v>
      </c>
      <c r="X18" s="26">
        <v>100</v>
      </c>
      <c r="Y18" s="26" t="s">
        <v>218</v>
      </c>
      <c r="Z18" s="2" t="s">
        <v>86</v>
      </c>
      <c r="AC18" s="2" t="s">
        <v>88</v>
      </c>
      <c r="AD18" s="26">
        <v>45</v>
      </c>
      <c r="AF18" s="2" t="s">
        <v>90</v>
      </c>
      <c r="AH18" s="2" t="s">
        <v>91</v>
      </c>
      <c r="AI18" s="2" t="s">
        <v>185</v>
      </c>
      <c r="AK18" s="2" t="s">
        <v>220</v>
      </c>
      <c r="AL18" s="2" t="s">
        <v>94</v>
      </c>
      <c r="AM18" s="2" t="s">
        <v>95</v>
      </c>
      <c r="AN18" s="2" t="s">
        <v>136</v>
      </c>
      <c r="AO18" s="2" t="s">
        <v>221</v>
      </c>
      <c r="AP18" s="1" t="s">
        <v>222</v>
      </c>
      <c r="AQ18" s="2" t="s">
        <v>223</v>
      </c>
      <c r="AR18" s="2" t="s">
        <v>246</v>
      </c>
      <c r="AS18" s="2" t="s">
        <v>247</v>
      </c>
      <c r="AT18" s="2" t="s">
        <v>71</v>
      </c>
      <c r="AU18" s="2" t="s">
        <v>226</v>
      </c>
      <c r="AV18" s="12">
        <v>251.33587786259599</v>
      </c>
      <c r="AW18" s="12">
        <v>26.335877862595499</v>
      </c>
      <c r="AX18" s="13">
        <v>6</v>
      </c>
      <c r="AY18" s="12">
        <v>10.751577115269701</v>
      </c>
      <c r="BA18" s="12">
        <v>103.053435114504</v>
      </c>
      <c r="BB18" s="12">
        <v>10.8778625954199</v>
      </c>
      <c r="BC18" s="1">
        <v>6</v>
      </c>
      <c r="BD18" s="12">
        <v>4.4408688084809702</v>
      </c>
    </row>
    <row r="19" spans="1:60" x14ac:dyDescent="0.2">
      <c r="A19" s="4" t="s">
        <v>205</v>
      </c>
      <c r="B19" s="2" t="s">
        <v>242</v>
      </c>
      <c r="C19" s="2" t="s">
        <v>207</v>
      </c>
      <c r="D19" s="49" t="s">
        <v>227</v>
      </c>
      <c r="E19" s="2" t="s">
        <v>248</v>
      </c>
      <c r="F19" s="2" t="s">
        <v>71</v>
      </c>
      <c r="G19" s="2" t="s">
        <v>210</v>
      </c>
      <c r="H19" s="1" t="s">
        <v>211</v>
      </c>
      <c r="I19" s="1" t="s">
        <v>212</v>
      </c>
      <c r="J19" s="2" t="s">
        <v>213</v>
      </c>
      <c r="L19" s="5" t="s">
        <v>77</v>
      </c>
      <c r="M19" s="2" t="s">
        <v>78</v>
      </c>
      <c r="N19" s="2" t="s">
        <v>214</v>
      </c>
      <c r="P19" s="2" t="s">
        <v>215</v>
      </c>
      <c r="Q19" s="2" t="s">
        <v>244</v>
      </c>
      <c r="R19" s="16" t="s">
        <v>245</v>
      </c>
      <c r="S19" s="26">
        <v>21</v>
      </c>
      <c r="T19" s="2" t="s">
        <v>83</v>
      </c>
      <c r="U19" s="2">
        <v>4</v>
      </c>
      <c r="V19" s="2" t="s">
        <v>128</v>
      </c>
      <c r="W19" s="2" t="s">
        <v>217</v>
      </c>
      <c r="X19" s="26">
        <v>100</v>
      </c>
      <c r="Y19" s="26" t="s">
        <v>218</v>
      </c>
      <c r="Z19" s="2" t="s">
        <v>86</v>
      </c>
      <c r="AC19" s="2" t="s">
        <v>88</v>
      </c>
      <c r="AD19" s="26">
        <v>45</v>
      </c>
      <c r="AF19" s="2" t="s">
        <v>90</v>
      </c>
      <c r="AH19" s="2" t="s">
        <v>91</v>
      </c>
      <c r="AI19" s="2" t="s">
        <v>185</v>
      </c>
      <c r="AK19" s="2" t="s">
        <v>229</v>
      </c>
      <c r="AL19" s="2" t="s">
        <v>94</v>
      </c>
      <c r="AM19" s="2" t="s">
        <v>95</v>
      </c>
      <c r="AN19" s="2" t="s">
        <v>136</v>
      </c>
      <c r="AO19" s="2" t="s">
        <v>221</v>
      </c>
      <c r="AP19" s="2" t="s">
        <v>230</v>
      </c>
      <c r="AQ19" s="2" t="s">
        <v>231</v>
      </c>
      <c r="AR19" s="2" t="s">
        <v>249</v>
      </c>
      <c r="AS19" s="2" t="s">
        <v>250</v>
      </c>
      <c r="AT19" s="2" t="s">
        <v>102</v>
      </c>
      <c r="AU19" s="2" t="s">
        <v>226</v>
      </c>
      <c r="AV19" s="12">
        <v>98.249027237354099</v>
      </c>
      <c r="AW19" s="12">
        <v>25.778210116731501</v>
      </c>
      <c r="AX19" s="13">
        <v>6</v>
      </c>
      <c r="AY19" s="12">
        <v>10.5239102113739</v>
      </c>
      <c r="BA19" s="12">
        <v>214.00778210116701</v>
      </c>
      <c r="BB19" s="12">
        <v>10.214007782101101</v>
      </c>
      <c r="BC19" s="1">
        <v>6</v>
      </c>
      <c r="BD19" s="12">
        <v>4.1698512158273804</v>
      </c>
    </row>
    <row r="20" spans="1:60" x14ac:dyDescent="0.2">
      <c r="A20" s="1" t="s">
        <v>251</v>
      </c>
      <c r="B20" s="2" t="s">
        <v>252</v>
      </c>
      <c r="C20" s="2" t="s">
        <v>253</v>
      </c>
      <c r="D20" s="49" t="s">
        <v>254</v>
      </c>
      <c r="E20" s="2" t="s">
        <v>255</v>
      </c>
      <c r="F20" s="2" t="s">
        <v>71</v>
      </c>
      <c r="G20" s="2" t="s">
        <v>256</v>
      </c>
      <c r="H20" s="1" t="s">
        <v>257</v>
      </c>
      <c r="I20" s="1" t="s">
        <v>258</v>
      </c>
      <c r="J20" s="2" t="s">
        <v>259</v>
      </c>
      <c r="L20" s="5" t="s">
        <v>77</v>
      </c>
      <c r="M20" s="2" t="s">
        <v>125</v>
      </c>
      <c r="N20" s="2" t="s">
        <v>126</v>
      </c>
      <c r="P20" s="2" t="s">
        <v>80</v>
      </c>
      <c r="Q20" s="2" t="s">
        <v>81</v>
      </c>
      <c r="R20" s="2" t="s">
        <v>260</v>
      </c>
      <c r="S20" s="26">
        <v>7</v>
      </c>
      <c r="T20" s="2" t="s">
        <v>83</v>
      </c>
      <c r="U20" s="2">
        <v>4</v>
      </c>
      <c r="V20" s="2" t="s">
        <v>128</v>
      </c>
      <c r="W20" s="2" t="s">
        <v>181</v>
      </c>
      <c r="X20" s="26">
        <v>95</v>
      </c>
      <c r="Z20" s="2" t="s">
        <v>86</v>
      </c>
      <c r="AB20" s="1" t="s">
        <v>261</v>
      </c>
      <c r="AC20" s="2" t="s">
        <v>88</v>
      </c>
      <c r="AD20" s="26">
        <v>45</v>
      </c>
      <c r="AF20" s="2" t="s">
        <v>262</v>
      </c>
      <c r="AH20" s="2" t="s">
        <v>91</v>
      </c>
      <c r="AI20" s="2" t="s">
        <v>131</v>
      </c>
      <c r="AK20" s="2" t="s">
        <v>133</v>
      </c>
      <c r="AL20" s="2" t="s">
        <v>134</v>
      </c>
      <c r="AM20" s="2" t="s">
        <v>135</v>
      </c>
      <c r="AN20" s="2" t="s">
        <v>136</v>
      </c>
      <c r="AO20" s="2" t="s">
        <v>137</v>
      </c>
      <c r="AP20" s="1" t="s">
        <v>263</v>
      </c>
      <c r="AQ20" s="2" t="s">
        <v>264</v>
      </c>
      <c r="AR20" s="2" t="s">
        <v>265</v>
      </c>
      <c r="AS20" s="2" t="s">
        <v>266</v>
      </c>
      <c r="AT20" s="2" t="s">
        <v>71</v>
      </c>
      <c r="AU20" s="1" t="s">
        <v>267</v>
      </c>
      <c r="AV20" s="12">
        <v>57.823786421388199</v>
      </c>
      <c r="AW20" s="12">
        <v>6.4380381047197304</v>
      </c>
      <c r="AX20" s="13">
        <v>6</v>
      </c>
      <c r="AY20" s="12">
        <v>2.6283180501930401</v>
      </c>
      <c r="BA20" s="12">
        <v>20.8251318170799</v>
      </c>
      <c r="BB20" s="12">
        <v>2.8391287642554999</v>
      </c>
      <c r="BC20" s="12">
        <v>6</v>
      </c>
      <c r="BD20" s="12">
        <v>1.15906946441409</v>
      </c>
      <c r="BH20" s="10">
        <v>2.7777777777777776E-2</v>
      </c>
    </row>
    <row r="21" spans="1:60" x14ac:dyDescent="0.2">
      <c r="A21" s="1" t="s">
        <v>251</v>
      </c>
      <c r="B21" s="2" t="s">
        <v>252</v>
      </c>
      <c r="C21" s="2" t="s">
        <v>253</v>
      </c>
      <c r="D21" s="49" t="s">
        <v>268</v>
      </c>
      <c r="E21" s="2" t="s">
        <v>269</v>
      </c>
      <c r="F21" s="2" t="s">
        <v>71</v>
      </c>
      <c r="G21" s="2" t="s">
        <v>256</v>
      </c>
      <c r="H21" s="1" t="s">
        <v>257</v>
      </c>
      <c r="I21" s="1" t="s">
        <v>258</v>
      </c>
      <c r="J21" s="2" t="s">
        <v>259</v>
      </c>
      <c r="L21" s="5" t="s">
        <v>77</v>
      </c>
      <c r="M21" s="2" t="s">
        <v>125</v>
      </c>
      <c r="N21" s="2" t="s">
        <v>126</v>
      </c>
      <c r="P21" s="2" t="s">
        <v>80</v>
      </c>
      <c r="Q21" s="2" t="s">
        <v>81</v>
      </c>
      <c r="R21" s="2" t="s">
        <v>260</v>
      </c>
      <c r="S21" s="26">
        <v>7</v>
      </c>
      <c r="T21" s="2" t="s">
        <v>83</v>
      </c>
      <c r="U21" s="2">
        <v>4</v>
      </c>
      <c r="V21" s="2" t="s">
        <v>128</v>
      </c>
      <c r="W21" s="2" t="s">
        <v>181</v>
      </c>
      <c r="X21" s="26">
        <v>95</v>
      </c>
      <c r="Z21" s="2" t="s">
        <v>86</v>
      </c>
      <c r="AB21" s="1" t="s">
        <v>261</v>
      </c>
      <c r="AC21" s="2" t="s">
        <v>88</v>
      </c>
      <c r="AD21" s="26">
        <v>45</v>
      </c>
      <c r="AF21" s="2" t="s">
        <v>262</v>
      </c>
      <c r="AH21" s="2" t="s">
        <v>91</v>
      </c>
      <c r="AI21" s="2" t="s">
        <v>131</v>
      </c>
      <c r="AK21" s="2" t="s">
        <v>146</v>
      </c>
      <c r="AL21" s="2" t="s">
        <v>134</v>
      </c>
      <c r="AM21" s="2" t="s">
        <v>135</v>
      </c>
      <c r="AN21" s="2" t="s">
        <v>136</v>
      </c>
      <c r="AO21" s="2" t="s">
        <v>147</v>
      </c>
      <c r="AP21" s="1" t="s">
        <v>270</v>
      </c>
      <c r="AQ21" s="2" t="s">
        <v>271</v>
      </c>
      <c r="AR21" s="2" t="s">
        <v>272</v>
      </c>
      <c r="AS21" s="2" t="s">
        <v>273</v>
      </c>
      <c r="AT21" s="2" t="s">
        <v>71</v>
      </c>
      <c r="AV21" s="12">
        <v>42.476635514018703</v>
      </c>
      <c r="AW21" s="12">
        <v>2.4723821702858402</v>
      </c>
      <c r="AX21" s="13">
        <v>6</v>
      </c>
      <c r="AY21" s="12">
        <v>1.0093457943925299</v>
      </c>
      <c r="BA21" s="12">
        <v>19.009345794392502</v>
      </c>
      <c r="BB21" s="12">
        <v>4.1206369504763698</v>
      </c>
      <c r="BC21" s="12">
        <v>6</v>
      </c>
      <c r="BD21" s="12">
        <v>1.6822429906542</v>
      </c>
    </row>
    <row r="22" spans="1:60" x14ac:dyDescent="0.2">
      <c r="A22" s="1" t="s">
        <v>274</v>
      </c>
      <c r="B22" s="2" t="s">
        <v>275</v>
      </c>
      <c r="C22" s="2" t="s">
        <v>276</v>
      </c>
      <c r="D22" s="49" t="s">
        <v>277</v>
      </c>
      <c r="E22" s="2" t="s">
        <v>278</v>
      </c>
      <c r="F22" s="2" t="s">
        <v>102</v>
      </c>
      <c r="G22" s="2" t="s">
        <v>256</v>
      </c>
      <c r="H22" s="1" t="s">
        <v>279</v>
      </c>
      <c r="I22" s="1" t="s">
        <v>280</v>
      </c>
      <c r="J22" s="2" t="s">
        <v>281</v>
      </c>
      <c r="L22" s="5" t="s">
        <v>77</v>
      </c>
      <c r="M22" s="2" t="s">
        <v>125</v>
      </c>
      <c r="N22" s="2" t="s">
        <v>126</v>
      </c>
      <c r="O22" s="27">
        <v>16</v>
      </c>
      <c r="P22" s="2" t="s">
        <v>183</v>
      </c>
      <c r="Q22" s="2" t="s">
        <v>244</v>
      </c>
      <c r="R22" s="1" t="s">
        <v>282</v>
      </c>
      <c r="S22" s="26">
        <v>21</v>
      </c>
      <c r="T22" s="2" t="s">
        <v>283</v>
      </c>
      <c r="U22" s="2"/>
      <c r="V22" s="2" t="s">
        <v>284</v>
      </c>
      <c r="W22" s="2" t="s">
        <v>217</v>
      </c>
      <c r="X22" s="27">
        <v>50</v>
      </c>
      <c r="Y22" s="26" t="s">
        <v>285</v>
      </c>
      <c r="Z22" s="2" t="s">
        <v>286</v>
      </c>
      <c r="AA22" s="2"/>
      <c r="AB22" s="2" t="s">
        <v>287</v>
      </c>
      <c r="AC22" s="2" t="s">
        <v>288</v>
      </c>
      <c r="AD22" s="26">
        <v>70</v>
      </c>
      <c r="AF22" s="2" t="s">
        <v>90</v>
      </c>
      <c r="AH22" s="2" t="s">
        <v>91</v>
      </c>
      <c r="AI22" s="2" t="s">
        <v>131</v>
      </c>
      <c r="AJ22" s="2" t="s">
        <v>289</v>
      </c>
      <c r="AK22" s="2" t="s">
        <v>146</v>
      </c>
      <c r="AL22" s="2" t="s">
        <v>94</v>
      </c>
      <c r="AM22" s="2" t="s">
        <v>95</v>
      </c>
      <c r="AN22" s="2" t="s">
        <v>96</v>
      </c>
      <c r="AO22" s="2" t="s">
        <v>290</v>
      </c>
      <c r="AP22" s="2" t="s">
        <v>291</v>
      </c>
      <c r="AQ22" s="2" t="s">
        <v>292</v>
      </c>
      <c r="AR22" s="2" t="s">
        <v>293</v>
      </c>
      <c r="AS22" s="2" t="s">
        <v>294</v>
      </c>
      <c r="AT22" s="2" t="s">
        <v>71</v>
      </c>
      <c r="AV22" s="12">
        <v>45.5573476419708</v>
      </c>
      <c r="AW22" s="12">
        <v>30.699292990361901</v>
      </c>
      <c r="AX22" s="1">
        <v>37</v>
      </c>
      <c r="AY22" s="12">
        <v>5.0469326786059501</v>
      </c>
      <c r="AZ22" s="12"/>
      <c r="BA22" s="12">
        <v>27.879843055916002</v>
      </c>
      <c r="BB22" s="12">
        <v>17.522211743292001</v>
      </c>
      <c r="BC22" s="1">
        <v>49</v>
      </c>
      <c r="BD22" s="12">
        <v>2.5031731061845699</v>
      </c>
      <c r="BG22" s="1" t="s">
        <v>295</v>
      </c>
      <c r="BH22" s="14"/>
    </row>
    <row r="23" spans="1:60" x14ac:dyDescent="0.2">
      <c r="A23" s="1" t="s">
        <v>274</v>
      </c>
      <c r="B23" s="2" t="s">
        <v>296</v>
      </c>
      <c r="C23" s="2" t="s">
        <v>297</v>
      </c>
      <c r="D23" s="49" t="s">
        <v>277</v>
      </c>
      <c r="E23" s="2" t="s">
        <v>298</v>
      </c>
      <c r="F23" s="2" t="s">
        <v>102</v>
      </c>
      <c r="G23" s="2" t="s">
        <v>256</v>
      </c>
      <c r="H23" s="1" t="s">
        <v>279</v>
      </c>
      <c r="I23" s="1" t="s">
        <v>280</v>
      </c>
      <c r="J23" s="2" t="s">
        <v>281</v>
      </c>
      <c r="L23" s="5" t="s">
        <v>77</v>
      </c>
      <c r="M23" s="2" t="s">
        <v>125</v>
      </c>
      <c r="N23" s="2" t="s">
        <v>126</v>
      </c>
      <c r="O23" s="27">
        <v>16</v>
      </c>
      <c r="P23" s="2" t="s">
        <v>183</v>
      </c>
      <c r="Q23" s="2" t="s">
        <v>244</v>
      </c>
      <c r="R23" s="1" t="s">
        <v>282</v>
      </c>
      <c r="S23" s="26">
        <v>21</v>
      </c>
      <c r="T23" s="2" t="s">
        <v>283</v>
      </c>
      <c r="V23" s="2" t="s">
        <v>284</v>
      </c>
      <c r="W23" s="2" t="s">
        <v>217</v>
      </c>
      <c r="X23" s="27">
        <v>50</v>
      </c>
      <c r="Y23" s="26" t="s">
        <v>285</v>
      </c>
      <c r="Z23" s="2" t="s">
        <v>286</v>
      </c>
      <c r="AB23" s="2" t="s">
        <v>287</v>
      </c>
      <c r="AC23" s="2" t="s">
        <v>88</v>
      </c>
      <c r="AD23" s="26">
        <v>70</v>
      </c>
      <c r="AF23" s="2" t="s">
        <v>90</v>
      </c>
      <c r="AH23" s="2" t="s">
        <v>91</v>
      </c>
      <c r="AI23" s="2" t="s">
        <v>131</v>
      </c>
      <c r="AJ23" s="2" t="s">
        <v>289</v>
      </c>
      <c r="AK23" s="2" t="s">
        <v>146</v>
      </c>
      <c r="AL23" s="2" t="s">
        <v>94</v>
      </c>
      <c r="AM23" s="2" t="s">
        <v>95</v>
      </c>
      <c r="AN23" s="2" t="s">
        <v>96</v>
      </c>
      <c r="AO23" s="2" t="s">
        <v>290</v>
      </c>
      <c r="AP23" s="2" t="s">
        <v>291</v>
      </c>
      <c r="AQ23" s="2" t="s">
        <v>299</v>
      </c>
      <c r="AR23" s="2" t="s">
        <v>300</v>
      </c>
      <c r="AS23" s="2" t="s">
        <v>301</v>
      </c>
      <c r="AT23" s="2" t="s">
        <v>71</v>
      </c>
      <c r="AV23" s="12">
        <v>53.823806621061102</v>
      </c>
      <c r="AW23" s="12">
        <v>29.506871202907501</v>
      </c>
      <c r="AX23" s="1">
        <v>35</v>
      </c>
      <c r="AY23" s="12">
        <v>4.9875715481727196</v>
      </c>
      <c r="AZ23" s="12"/>
      <c r="BA23" s="12">
        <v>38.350691096097101</v>
      </c>
      <c r="BB23" s="12">
        <v>24.9853805554608</v>
      </c>
      <c r="BC23" s="1">
        <v>44</v>
      </c>
      <c r="BD23" s="12">
        <v>3.7666878430320598</v>
      </c>
    </row>
    <row r="24" spans="1:60" x14ac:dyDescent="0.2">
      <c r="A24" s="1" t="s">
        <v>274</v>
      </c>
      <c r="B24" s="2" t="s">
        <v>275</v>
      </c>
      <c r="C24" s="2" t="s">
        <v>276</v>
      </c>
      <c r="D24" s="49" t="s">
        <v>302</v>
      </c>
      <c r="E24" s="2" t="s">
        <v>303</v>
      </c>
      <c r="F24" s="2" t="s">
        <v>102</v>
      </c>
      <c r="G24" s="2" t="s">
        <v>256</v>
      </c>
      <c r="H24" s="1" t="s">
        <v>279</v>
      </c>
      <c r="I24" s="1" t="s">
        <v>280</v>
      </c>
      <c r="J24" s="2" t="s">
        <v>281</v>
      </c>
      <c r="L24" s="5" t="s">
        <v>77</v>
      </c>
      <c r="M24" s="2" t="s">
        <v>125</v>
      </c>
      <c r="N24" s="2" t="s">
        <v>126</v>
      </c>
      <c r="O24" s="27">
        <v>16</v>
      </c>
      <c r="P24" s="2" t="s">
        <v>183</v>
      </c>
      <c r="Q24" s="2" t="s">
        <v>244</v>
      </c>
      <c r="R24" s="1" t="s">
        <v>282</v>
      </c>
      <c r="S24" s="26">
        <v>21</v>
      </c>
      <c r="T24" s="2" t="s">
        <v>283</v>
      </c>
      <c r="V24" s="2" t="s">
        <v>284</v>
      </c>
      <c r="W24" s="2" t="s">
        <v>217</v>
      </c>
      <c r="X24" s="27">
        <v>50</v>
      </c>
      <c r="Y24" s="26" t="s">
        <v>285</v>
      </c>
      <c r="Z24" s="2" t="s">
        <v>286</v>
      </c>
      <c r="AB24" s="2" t="s">
        <v>287</v>
      </c>
      <c r="AC24" s="2" t="s">
        <v>288</v>
      </c>
      <c r="AD24" s="26">
        <v>70</v>
      </c>
      <c r="AF24" s="2" t="s">
        <v>90</v>
      </c>
      <c r="AH24" s="2" t="s">
        <v>91</v>
      </c>
      <c r="AI24" s="2" t="s">
        <v>131</v>
      </c>
      <c r="AJ24" s="2" t="s">
        <v>289</v>
      </c>
      <c r="AK24" s="2" t="s">
        <v>304</v>
      </c>
      <c r="AL24" s="2" t="s">
        <v>107</v>
      </c>
      <c r="AM24" s="2" t="s">
        <v>107</v>
      </c>
      <c r="AN24" s="2" t="s">
        <v>96</v>
      </c>
      <c r="AO24" s="2" t="s">
        <v>305</v>
      </c>
      <c r="AP24" s="2" t="s">
        <v>306</v>
      </c>
      <c r="AQ24" s="17" t="s">
        <v>307</v>
      </c>
      <c r="AR24" s="2" t="s">
        <v>308</v>
      </c>
      <c r="AS24" s="2" t="s">
        <v>309</v>
      </c>
      <c r="AT24" s="2" t="s">
        <v>71</v>
      </c>
      <c r="AV24" s="12">
        <v>10.1974896325871</v>
      </c>
      <c r="AW24" s="12">
        <v>5.7550391941512196</v>
      </c>
      <c r="AX24" s="1">
        <v>37</v>
      </c>
      <c r="AY24" s="12">
        <v>0.94612261542109999</v>
      </c>
      <c r="AZ24" s="12"/>
      <c r="BA24" s="12">
        <v>4.4581963267316196</v>
      </c>
      <c r="BB24" s="12">
        <v>3.0877420833891698</v>
      </c>
      <c r="BC24" s="1">
        <v>49</v>
      </c>
      <c r="BD24" s="12">
        <v>0.44110601191273802</v>
      </c>
    </row>
    <row r="25" spans="1:60" x14ac:dyDescent="0.2">
      <c r="A25" s="1" t="s">
        <v>274</v>
      </c>
      <c r="B25" s="2" t="s">
        <v>296</v>
      </c>
      <c r="C25" s="2" t="s">
        <v>297</v>
      </c>
      <c r="D25" s="49" t="s">
        <v>302</v>
      </c>
      <c r="E25" s="2" t="s">
        <v>310</v>
      </c>
      <c r="F25" s="2" t="s">
        <v>102</v>
      </c>
      <c r="G25" s="2" t="s">
        <v>256</v>
      </c>
      <c r="H25" s="1" t="s">
        <v>279</v>
      </c>
      <c r="I25" s="1" t="s">
        <v>280</v>
      </c>
      <c r="J25" s="2" t="s">
        <v>281</v>
      </c>
      <c r="L25" s="5" t="s">
        <v>77</v>
      </c>
      <c r="M25" s="2" t="s">
        <v>125</v>
      </c>
      <c r="N25" s="2" t="s">
        <v>126</v>
      </c>
      <c r="O25" s="27">
        <v>16</v>
      </c>
      <c r="P25" s="2" t="s">
        <v>183</v>
      </c>
      <c r="Q25" s="2" t="s">
        <v>244</v>
      </c>
      <c r="R25" s="1" t="s">
        <v>282</v>
      </c>
      <c r="S25" s="26">
        <v>21</v>
      </c>
      <c r="T25" s="2" t="s">
        <v>283</v>
      </c>
      <c r="V25" s="2" t="s">
        <v>284</v>
      </c>
      <c r="W25" s="2" t="s">
        <v>217</v>
      </c>
      <c r="X25" s="27">
        <v>50</v>
      </c>
      <c r="Y25" s="26" t="s">
        <v>285</v>
      </c>
      <c r="Z25" s="2" t="s">
        <v>286</v>
      </c>
      <c r="AB25" s="2" t="s">
        <v>287</v>
      </c>
      <c r="AC25" s="2" t="s">
        <v>88</v>
      </c>
      <c r="AD25" s="26">
        <v>70</v>
      </c>
      <c r="AF25" s="2" t="s">
        <v>90</v>
      </c>
      <c r="AH25" s="2" t="s">
        <v>91</v>
      </c>
      <c r="AI25" s="2" t="s">
        <v>131</v>
      </c>
      <c r="AJ25" s="2" t="s">
        <v>289</v>
      </c>
      <c r="AK25" s="2" t="s">
        <v>304</v>
      </c>
      <c r="AL25" s="2" t="s">
        <v>107</v>
      </c>
      <c r="AM25" s="2" t="s">
        <v>107</v>
      </c>
      <c r="AN25" s="2" t="s">
        <v>96</v>
      </c>
      <c r="AO25" s="2" t="s">
        <v>305</v>
      </c>
      <c r="AP25" s="2" t="s">
        <v>306</v>
      </c>
      <c r="AQ25" s="17" t="s">
        <v>311</v>
      </c>
      <c r="AR25" s="2" t="s">
        <v>312</v>
      </c>
      <c r="AS25" s="2" t="s">
        <v>313</v>
      </c>
      <c r="AT25" s="2" t="s">
        <v>71</v>
      </c>
      <c r="AV25" s="12">
        <v>11.554356331915599</v>
      </c>
      <c r="AW25" s="12">
        <v>6.9241295105249598</v>
      </c>
      <c r="AX25" s="1">
        <v>35</v>
      </c>
      <c r="AY25" s="12">
        <v>1.17039150322229</v>
      </c>
      <c r="AZ25" s="12"/>
      <c r="BA25" s="12">
        <v>8.5456519116654004</v>
      </c>
      <c r="BB25" s="12">
        <v>5.2571498039468798</v>
      </c>
      <c r="BC25" s="1">
        <v>44</v>
      </c>
      <c r="BD25" s="12">
        <v>0.79254515301737505</v>
      </c>
    </row>
    <row r="26" spans="1:60" x14ac:dyDescent="0.2">
      <c r="A26" s="1" t="s">
        <v>274</v>
      </c>
      <c r="B26" s="2" t="s">
        <v>275</v>
      </c>
      <c r="C26" s="2" t="s">
        <v>276</v>
      </c>
      <c r="D26" s="49" t="s">
        <v>314</v>
      </c>
      <c r="E26" s="2" t="s">
        <v>315</v>
      </c>
      <c r="F26" s="2" t="s">
        <v>102</v>
      </c>
      <c r="G26" s="2" t="s">
        <v>256</v>
      </c>
      <c r="H26" s="1" t="s">
        <v>279</v>
      </c>
      <c r="I26" s="1" t="s">
        <v>280</v>
      </c>
      <c r="J26" s="2" t="s">
        <v>281</v>
      </c>
      <c r="L26" s="5" t="s">
        <v>77</v>
      </c>
      <c r="M26" s="2" t="s">
        <v>125</v>
      </c>
      <c r="N26" s="2" t="s">
        <v>126</v>
      </c>
      <c r="O26" s="27">
        <v>16</v>
      </c>
      <c r="P26" s="2" t="s">
        <v>183</v>
      </c>
      <c r="Q26" s="2" t="s">
        <v>244</v>
      </c>
      <c r="R26" s="1" t="s">
        <v>282</v>
      </c>
      <c r="S26" s="26">
        <v>21</v>
      </c>
      <c r="T26" s="2" t="s">
        <v>283</v>
      </c>
      <c r="V26" s="2" t="s">
        <v>284</v>
      </c>
      <c r="W26" s="2" t="s">
        <v>217</v>
      </c>
      <c r="X26" s="27">
        <v>50</v>
      </c>
      <c r="Y26" s="26" t="s">
        <v>285</v>
      </c>
      <c r="Z26" s="2" t="s">
        <v>286</v>
      </c>
      <c r="AB26" s="2" t="s">
        <v>287</v>
      </c>
      <c r="AC26" s="2" t="s">
        <v>288</v>
      </c>
      <c r="AD26" s="26">
        <v>70</v>
      </c>
      <c r="AF26" s="2" t="s">
        <v>90</v>
      </c>
      <c r="AH26" s="2" t="s">
        <v>91</v>
      </c>
      <c r="AI26" s="2" t="s">
        <v>131</v>
      </c>
      <c r="AJ26" s="2" t="s">
        <v>289</v>
      </c>
      <c r="AK26" s="2" t="s">
        <v>316</v>
      </c>
      <c r="AL26" s="2" t="s">
        <v>94</v>
      </c>
      <c r="AM26" s="2" t="s">
        <v>95</v>
      </c>
      <c r="AN26" s="2" t="s">
        <v>96</v>
      </c>
      <c r="AO26" s="2" t="s">
        <v>317</v>
      </c>
      <c r="AP26" s="2" t="s">
        <v>318</v>
      </c>
      <c r="AQ26" s="17" t="s">
        <v>319</v>
      </c>
      <c r="AR26" s="2" t="s">
        <v>320</v>
      </c>
      <c r="AS26" s="2" t="s">
        <v>321</v>
      </c>
      <c r="AT26" s="2" t="s">
        <v>102</v>
      </c>
      <c r="AV26" s="12">
        <v>2.5877723970944202</v>
      </c>
      <c r="AW26" s="12">
        <v>3.4489463156726701</v>
      </c>
      <c r="AX26" s="1">
        <v>37</v>
      </c>
      <c r="AY26" s="12">
        <v>0.56700328156712998</v>
      </c>
      <c r="AZ26" s="12"/>
      <c r="BA26" s="12">
        <v>20.8383777239709</v>
      </c>
      <c r="BB26" s="12">
        <v>19.552962692574901</v>
      </c>
      <c r="BC26" s="1">
        <v>49</v>
      </c>
      <c r="BD26" s="12">
        <v>2.7932803846535501</v>
      </c>
    </row>
    <row r="27" spans="1:60" x14ac:dyDescent="0.2">
      <c r="A27" s="1" t="s">
        <v>274</v>
      </c>
      <c r="B27" s="2" t="s">
        <v>296</v>
      </c>
      <c r="C27" s="2" t="s">
        <v>297</v>
      </c>
      <c r="D27" s="49" t="s">
        <v>314</v>
      </c>
      <c r="E27" s="2" t="s">
        <v>322</v>
      </c>
      <c r="F27" s="2" t="s">
        <v>102</v>
      </c>
      <c r="G27" s="2" t="s">
        <v>256</v>
      </c>
      <c r="H27" s="1" t="s">
        <v>279</v>
      </c>
      <c r="I27" s="1" t="s">
        <v>280</v>
      </c>
      <c r="J27" s="2" t="s">
        <v>281</v>
      </c>
      <c r="L27" s="5" t="s">
        <v>77</v>
      </c>
      <c r="M27" s="2" t="s">
        <v>125</v>
      </c>
      <c r="N27" s="2" t="s">
        <v>126</v>
      </c>
      <c r="O27" s="27">
        <v>16</v>
      </c>
      <c r="P27" s="2" t="s">
        <v>183</v>
      </c>
      <c r="Q27" s="2" t="s">
        <v>244</v>
      </c>
      <c r="R27" s="1" t="s">
        <v>282</v>
      </c>
      <c r="S27" s="26">
        <v>21</v>
      </c>
      <c r="T27" s="2" t="s">
        <v>283</v>
      </c>
      <c r="V27" s="2" t="s">
        <v>284</v>
      </c>
      <c r="W27" s="2" t="s">
        <v>217</v>
      </c>
      <c r="X27" s="27">
        <v>50</v>
      </c>
      <c r="Y27" s="26" t="s">
        <v>285</v>
      </c>
      <c r="Z27" s="2" t="s">
        <v>286</v>
      </c>
      <c r="AB27" s="2" t="s">
        <v>287</v>
      </c>
      <c r="AC27" s="2" t="s">
        <v>88</v>
      </c>
      <c r="AD27" s="26">
        <v>70</v>
      </c>
      <c r="AF27" s="2" t="s">
        <v>90</v>
      </c>
      <c r="AH27" s="2" t="s">
        <v>91</v>
      </c>
      <c r="AI27" s="2" t="s">
        <v>131</v>
      </c>
      <c r="AJ27" s="2" t="s">
        <v>289</v>
      </c>
      <c r="AK27" s="2" t="s">
        <v>316</v>
      </c>
      <c r="AL27" s="2" t="s">
        <v>94</v>
      </c>
      <c r="AM27" s="2" t="s">
        <v>95</v>
      </c>
      <c r="AN27" s="2" t="s">
        <v>96</v>
      </c>
      <c r="AO27" s="2" t="s">
        <v>317</v>
      </c>
      <c r="AP27" s="2" t="s">
        <v>318</v>
      </c>
      <c r="AQ27" s="17" t="s">
        <v>323</v>
      </c>
      <c r="AR27" s="2" t="s">
        <v>324</v>
      </c>
      <c r="AS27" s="2" t="s">
        <v>325</v>
      </c>
      <c r="AT27" s="2" t="s">
        <v>102</v>
      </c>
      <c r="AV27" s="12">
        <v>1.22578692493946</v>
      </c>
      <c r="AW27" s="12">
        <v>2.0190104201994101</v>
      </c>
      <c r="AX27" s="1">
        <v>35</v>
      </c>
      <c r="AY27" s="12">
        <v>0.341275049394548</v>
      </c>
      <c r="AZ27" s="12"/>
      <c r="BA27" s="12">
        <v>3.2687651331719101</v>
      </c>
      <c r="BB27" s="12">
        <v>3.7203470810537</v>
      </c>
      <c r="BC27" s="1">
        <v>44</v>
      </c>
      <c r="BD27" s="12">
        <v>0.56086342535222999</v>
      </c>
    </row>
    <row r="28" spans="1:60" x14ac:dyDescent="0.2">
      <c r="A28" s="1" t="s">
        <v>274</v>
      </c>
      <c r="B28" s="2" t="s">
        <v>275</v>
      </c>
      <c r="C28" s="2" t="s">
        <v>276</v>
      </c>
      <c r="D28" s="49" t="s">
        <v>326</v>
      </c>
      <c r="E28" s="2" t="s">
        <v>327</v>
      </c>
      <c r="F28" s="2" t="s">
        <v>102</v>
      </c>
      <c r="G28" s="2" t="s">
        <v>256</v>
      </c>
      <c r="H28" s="1" t="s">
        <v>279</v>
      </c>
      <c r="I28" s="1" t="s">
        <v>280</v>
      </c>
      <c r="J28" s="2" t="s">
        <v>281</v>
      </c>
      <c r="L28" s="5" t="s">
        <v>77</v>
      </c>
      <c r="M28" s="2" t="s">
        <v>125</v>
      </c>
      <c r="N28" s="2" t="s">
        <v>126</v>
      </c>
      <c r="O28" s="27">
        <v>16</v>
      </c>
      <c r="P28" s="2" t="s">
        <v>183</v>
      </c>
      <c r="Q28" s="2" t="s">
        <v>244</v>
      </c>
      <c r="R28" s="1" t="s">
        <v>282</v>
      </c>
      <c r="S28" s="26">
        <v>21</v>
      </c>
      <c r="T28" s="2" t="s">
        <v>283</v>
      </c>
      <c r="V28" s="2" t="s">
        <v>284</v>
      </c>
      <c r="W28" s="2" t="s">
        <v>217</v>
      </c>
      <c r="X28" s="27">
        <v>50</v>
      </c>
      <c r="Y28" s="26" t="s">
        <v>285</v>
      </c>
      <c r="Z28" s="2" t="s">
        <v>286</v>
      </c>
      <c r="AB28" s="2" t="s">
        <v>287</v>
      </c>
      <c r="AC28" s="2" t="s">
        <v>288</v>
      </c>
      <c r="AD28" s="26">
        <v>70</v>
      </c>
      <c r="AF28" s="2" t="s">
        <v>90</v>
      </c>
      <c r="AH28" s="2" t="s">
        <v>91</v>
      </c>
      <c r="AI28" s="2" t="s">
        <v>131</v>
      </c>
      <c r="AJ28" s="2" t="s">
        <v>289</v>
      </c>
      <c r="AK28" s="2" t="s">
        <v>328</v>
      </c>
      <c r="AL28" s="17" t="s">
        <v>94</v>
      </c>
      <c r="AM28" s="17" t="s">
        <v>95</v>
      </c>
      <c r="AN28" s="2" t="s">
        <v>96</v>
      </c>
      <c r="AO28" s="2" t="s">
        <v>329</v>
      </c>
      <c r="AP28" s="2" t="s">
        <v>330</v>
      </c>
      <c r="AQ28" s="2" t="s">
        <v>331</v>
      </c>
      <c r="AR28" s="2" t="s">
        <v>332</v>
      </c>
      <c r="AS28" s="2" t="s">
        <v>333</v>
      </c>
      <c r="AT28" s="2" t="s">
        <v>102</v>
      </c>
      <c r="AV28" s="12">
        <v>22.571743929359801</v>
      </c>
      <c r="AW28" s="12">
        <v>14.1152742115958</v>
      </c>
      <c r="AX28" s="1">
        <v>37</v>
      </c>
      <c r="AY28" s="12">
        <v>2.32053678592378</v>
      </c>
      <c r="AZ28" s="12"/>
      <c r="BA28" s="12">
        <v>30.573951434878602</v>
      </c>
      <c r="BB28" s="12">
        <v>22.6304012506357</v>
      </c>
      <c r="BC28" s="1">
        <v>49</v>
      </c>
      <c r="BD28" s="12">
        <v>3.2329144643765302</v>
      </c>
    </row>
    <row r="29" spans="1:60" x14ac:dyDescent="0.2">
      <c r="A29" s="1" t="s">
        <v>274</v>
      </c>
      <c r="B29" s="2" t="s">
        <v>296</v>
      </c>
      <c r="C29" s="2" t="s">
        <v>297</v>
      </c>
      <c r="D29" s="49" t="s">
        <v>326</v>
      </c>
      <c r="E29" s="2" t="s">
        <v>334</v>
      </c>
      <c r="F29" s="2" t="s">
        <v>102</v>
      </c>
      <c r="G29" s="2" t="s">
        <v>256</v>
      </c>
      <c r="H29" s="1" t="s">
        <v>279</v>
      </c>
      <c r="I29" s="1" t="s">
        <v>280</v>
      </c>
      <c r="J29" s="2" t="s">
        <v>281</v>
      </c>
      <c r="L29" s="5" t="s">
        <v>77</v>
      </c>
      <c r="M29" s="2" t="s">
        <v>125</v>
      </c>
      <c r="N29" s="2" t="s">
        <v>126</v>
      </c>
      <c r="O29" s="27">
        <v>16</v>
      </c>
      <c r="P29" s="2" t="s">
        <v>183</v>
      </c>
      <c r="Q29" s="2" t="s">
        <v>244</v>
      </c>
      <c r="R29" s="1" t="s">
        <v>282</v>
      </c>
      <c r="S29" s="26">
        <v>21</v>
      </c>
      <c r="T29" s="2" t="s">
        <v>283</v>
      </c>
      <c r="V29" s="2" t="s">
        <v>284</v>
      </c>
      <c r="W29" s="2" t="s">
        <v>217</v>
      </c>
      <c r="X29" s="27">
        <v>50</v>
      </c>
      <c r="Y29" s="26" t="s">
        <v>285</v>
      </c>
      <c r="Z29" s="2" t="s">
        <v>286</v>
      </c>
      <c r="AB29" s="2" t="s">
        <v>287</v>
      </c>
      <c r="AC29" s="2" t="s">
        <v>88</v>
      </c>
      <c r="AD29" s="26">
        <v>70</v>
      </c>
      <c r="AF29" s="2" t="s">
        <v>90</v>
      </c>
      <c r="AH29" s="2" t="s">
        <v>91</v>
      </c>
      <c r="AI29" s="2" t="s">
        <v>131</v>
      </c>
      <c r="AJ29" s="2" t="s">
        <v>289</v>
      </c>
      <c r="AK29" s="2" t="s">
        <v>328</v>
      </c>
      <c r="AL29" s="17" t="s">
        <v>94</v>
      </c>
      <c r="AM29" s="17" t="s">
        <v>95</v>
      </c>
      <c r="AN29" s="2" t="s">
        <v>96</v>
      </c>
      <c r="AO29" s="2" t="s">
        <v>329</v>
      </c>
      <c r="AP29" s="2" t="s">
        <v>330</v>
      </c>
      <c r="AQ29" s="2" t="s">
        <v>335</v>
      </c>
      <c r="AR29" s="2" t="s">
        <v>336</v>
      </c>
      <c r="AS29" s="2" t="s">
        <v>337</v>
      </c>
      <c r="AT29" s="2" t="s">
        <v>102</v>
      </c>
      <c r="AV29" s="12">
        <v>28.311258278145701</v>
      </c>
      <c r="AW29" s="12">
        <v>19.541129962555001</v>
      </c>
      <c r="AX29" s="1">
        <v>35</v>
      </c>
      <c r="AY29" s="12">
        <v>3.3030538260112499</v>
      </c>
      <c r="AZ29" s="12"/>
      <c r="BA29" s="12">
        <v>48.399558498896297</v>
      </c>
      <c r="BB29" s="12">
        <v>27.762326518574302</v>
      </c>
      <c r="BC29" s="1">
        <v>44</v>
      </c>
      <c r="BD29" s="12">
        <v>4.1853281986111099</v>
      </c>
    </row>
    <row r="30" spans="1:60" x14ac:dyDescent="0.2">
      <c r="A30" s="1" t="s">
        <v>274</v>
      </c>
      <c r="B30" s="2" t="s">
        <v>275</v>
      </c>
      <c r="C30" s="2" t="s">
        <v>276</v>
      </c>
      <c r="D30" s="49" t="s">
        <v>338</v>
      </c>
      <c r="E30" s="2" t="s">
        <v>339</v>
      </c>
      <c r="F30" s="2" t="s">
        <v>102</v>
      </c>
      <c r="G30" s="2" t="s">
        <v>256</v>
      </c>
      <c r="H30" s="1" t="s">
        <v>279</v>
      </c>
      <c r="I30" s="1" t="s">
        <v>280</v>
      </c>
      <c r="J30" s="2" t="s">
        <v>281</v>
      </c>
      <c r="L30" s="5" t="s">
        <v>77</v>
      </c>
      <c r="M30" s="2" t="s">
        <v>125</v>
      </c>
      <c r="N30" s="2" t="s">
        <v>126</v>
      </c>
      <c r="O30" s="27">
        <v>16</v>
      </c>
      <c r="P30" s="2" t="s">
        <v>183</v>
      </c>
      <c r="Q30" s="2" t="s">
        <v>244</v>
      </c>
      <c r="R30" s="1" t="s">
        <v>282</v>
      </c>
      <c r="S30" s="26">
        <v>21</v>
      </c>
      <c r="T30" s="2" t="s">
        <v>283</v>
      </c>
      <c r="V30" s="2" t="s">
        <v>284</v>
      </c>
      <c r="W30" s="2" t="s">
        <v>217</v>
      </c>
      <c r="X30" s="27">
        <v>50</v>
      </c>
      <c r="Y30" s="26" t="s">
        <v>285</v>
      </c>
      <c r="Z30" s="2" t="s">
        <v>286</v>
      </c>
      <c r="AB30" s="2" t="s">
        <v>287</v>
      </c>
      <c r="AC30" s="2" t="s">
        <v>288</v>
      </c>
      <c r="AD30" s="26">
        <v>70</v>
      </c>
      <c r="AF30" s="2" t="s">
        <v>90</v>
      </c>
      <c r="AH30" s="2" t="s">
        <v>91</v>
      </c>
      <c r="AI30" s="2" t="s">
        <v>131</v>
      </c>
      <c r="AJ30" s="2" t="s">
        <v>289</v>
      </c>
      <c r="AK30" s="2" t="s">
        <v>340</v>
      </c>
      <c r="AL30" s="17" t="s">
        <v>94</v>
      </c>
      <c r="AM30" s="17" t="s">
        <v>95</v>
      </c>
      <c r="AN30" s="2" t="s">
        <v>96</v>
      </c>
      <c r="AO30" s="2" t="s">
        <v>341</v>
      </c>
      <c r="AP30" s="2" t="s">
        <v>342</v>
      </c>
      <c r="AQ30" s="2" t="s">
        <v>343</v>
      </c>
      <c r="AR30" s="2" t="s">
        <v>344</v>
      </c>
      <c r="AS30" s="2" t="s">
        <v>345</v>
      </c>
      <c r="AT30" s="2" t="s">
        <v>102</v>
      </c>
      <c r="AV30" s="12">
        <v>6.9724334600760498</v>
      </c>
      <c r="AW30" s="12">
        <v>3.6103738387178401</v>
      </c>
      <c r="AX30" s="1">
        <v>37</v>
      </c>
      <c r="AY30" s="12">
        <v>0.59354180287896796</v>
      </c>
      <c r="AZ30" s="12"/>
      <c r="BA30" s="12">
        <v>7.6140684410646502</v>
      </c>
      <c r="BB30" s="12">
        <v>4.6322251584696303</v>
      </c>
      <c r="BC30" s="1">
        <v>49</v>
      </c>
      <c r="BD30" s="12">
        <v>0.66174645120994802</v>
      </c>
    </row>
    <row r="31" spans="1:60" x14ac:dyDescent="0.2">
      <c r="A31" s="1" t="s">
        <v>274</v>
      </c>
      <c r="B31" s="2" t="s">
        <v>296</v>
      </c>
      <c r="C31" s="2" t="s">
        <v>297</v>
      </c>
      <c r="D31" s="49" t="s">
        <v>338</v>
      </c>
      <c r="E31" s="2" t="s">
        <v>346</v>
      </c>
      <c r="F31" s="2" t="s">
        <v>102</v>
      </c>
      <c r="G31" s="2" t="s">
        <v>256</v>
      </c>
      <c r="H31" s="1" t="s">
        <v>279</v>
      </c>
      <c r="I31" s="1" t="s">
        <v>280</v>
      </c>
      <c r="J31" s="2" t="s">
        <v>281</v>
      </c>
      <c r="L31" s="5" t="s">
        <v>77</v>
      </c>
      <c r="M31" s="2" t="s">
        <v>125</v>
      </c>
      <c r="N31" s="2" t="s">
        <v>126</v>
      </c>
      <c r="O31" s="27">
        <v>16</v>
      </c>
      <c r="P31" s="2" t="s">
        <v>183</v>
      </c>
      <c r="Q31" s="2" t="s">
        <v>244</v>
      </c>
      <c r="R31" s="1" t="s">
        <v>282</v>
      </c>
      <c r="S31" s="26">
        <v>21</v>
      </c>
      <c r="T31" s="2" t="s">
        <v>283</v>
      </c>
      <c r="V31" s="2" t="s">
        <v>284</v>
      </c>
      <c r="W31" s="2" t="s">
        <v>217</v>
      </c>
      <c r="X31" s="27">
        <v>50</v>
      </c>
      <c r="Y31" s="26" t="s">
        <v>285</v>
      </c>
      <c r="Z31" s="2" t="s">
        <v>286</v>
      </c>
      <c r="AB31" s="2" t="s">
        <v>287</v>
      </c>
      <c r="AC31" s="2" t="s">
        <v>88</v>
      </c>
      <c r="AD31" s="26">
        <v>70</v>
      </c>
      <c r="AF31" s="2" t="s">
        <v>90</v>
      </c>
      <c r="AH31" s="2" t="s">
        <v>91</v>
      </c>
      <c r="AI31" s="2" t="s">
        <v>131</v>
      </c>
      <c r="AJ31" s="2" t="s">
        <v>289</v>
      </c>
      <c r="AK31" s="2" t="s">
        <v>340</v>
      </c>
      <c r="AL31" s="17" t="s">
        <v>94</v>
      </c>
      <c r="AM31" s="17" t="s">
        <v>95</v>
      </c>
      <c r="AN31" s="2" t="s">
        <v>96</v>
      </c>
      <c r="AO31" s="2" t="s">
        <v>341</v>
      </c>
      <c r="AP31" s="2" t="s">
        <v>342</v>
      </c>
      <c r="AQ31" s="2" t="s">
        <v>347</v>
      </c>
      <c r="AR31" s="2" t="s">
        <v>348</v>
      </c>
      <c r="AS31" s="2" t="s">
        <v>349</v>
      </c>
      <c r="AT31" s="2" t="s">
        <v>102</v>
      </c>
      <c r="AV31" s="12">
        <v>7.1292775665399297</v>
      </c>
      <c r="AW31" s="12">
        <v>4.6723411927567797</v>
      </c>
      <c r="AX31" s="1">
        <v>35</v>
      </c>
      <c r="AY31" s="12">
        <v>0.789769807720342</v>
      </c>
      <c r="AZ31" s="12"/>
      <c r="BA31" s="12">
        <v>12.148288973384</v>
      </c>
      <c r="BB31" s="12">
        <v>7.1669626726541802</v>
      </c>
      <c r="BC31" s="1">
        <v>44</v>
      </c>
      <c r="BD31" s="12">
        <v>1.0804602759852999</v>
      </c>
    </row>
    <row r="32" spans="1:60" x14ac:dyDescent="0.2">
      <c r="A32" s="1" t="s">
        <v>274</v>
      </c>
      <c r="B32" s="2" t="s">
        <v>275</v>
      </c>
      <c r="C32" s="2" t="s">
        <v>276</v>
      </c>
      <c r="D32" s="49" t="s">
        <v>350</v>
      </c>
      <c r="E32" s="2" t="s">
        <v>351</v>
      </c>
      <c r="F32" s="2" t="s">
        <v>102</v>
      </c>
      <c r="G32" s="2" t="s">
        <v>256</v>
      </c>
      <c r="H32" s="1" t="s">
        <v>279</v>
      </c>
      <c r="I32" s="1" t="s">
        <v>280</v>
      </c>
      <c r="J32" s="2" t="s">
        <v>281</v>
      </c>
      <c r="L32" s="5" t="s">
        <v>77</v>
      </c>
      <c r="M32" s="2" t="s">
        <v>125</v>
      </c>
      <c r="N32" s="2" t="s">
        <v>126</v>
      </c>
      <c r="O32" s="27">
        <v>16</v>
      </c>
      <c r="P32" s="2" t="s">
        <v>183</v>
      </c>
      <c r="Q32" s="2" t="s">
        <v>244</v>
      </c>
      <c r="R32" s="1" t="s">
        <v>282</v>
      </c>
      <c r="S32" s="26">
        <v>21</v>
      </c>
      <c r="T32" s="2" t="s">
        <v>283</v>
      </c>
      <c r="V32" s="2" t="s">
        <v>284</v>
      </c>
      <c r="W32" s="2" t="s">
        <v>217</v>
      </c>
      <c r="X32" s="27">
        <v>50</v>
      </c>
      <c r="Y32" s="26" t="s">
        <v>285</v>
      </c>
      <c r="Z32" s="2" t="s">
        <v>286</v>
      </c>
      <c r="AB32" s="2" t="s">
        <v>287</v>
      </c>
      <c r="AC32" s="2" t="s">
        <v>288</v>
      </c>
      <c r="AD32" s="26">
        <v>74</v>
      </c>
      <c r="AF32" s="2" t="s">
        <v>90</v>
      </c>
      <c r="AH32" s="2" t="s">
        <v>91</v>
      </c>
      <c r="AI32" s="2" t="s">
        <v>185</v>
      </c>
      <c r="AJ32" s="2" t="s">
        <v>289</v>
      </c>
      <c r="AK32" s="2" t="s">
        <v>352</v>
      </c>
      <c r="AL32" s="17" t="s">
        <v>107</v>
      </c>
      <c r="AM32" s="17" t="s">
        <v>107</v>
      </c>
      <c r="AN32" s="2" t="s">
        <v>96</v>
      </c>
      <c r="AO32" s="2" t="s">
        <v>353</v>
      </c>
      <c r="AP32" s="2" t="s">
        <v>354</v>
      </c>
      <c r="AQ32" s="2" t="s">
        <v>355</v>
      </c>
      <c r="AR32" s="2" t="s">
        <v>356</v>
      </c>
      <c r="AS32" s="2" t="s">
        <v>357</v>
      </c>
      <c r="AT32" s="2" t="s">
        <v>71</v>
      </c>
      <c r="AV32" s="12">
        <v>2.4557522123893798</v>
      </c>
      <c r="AW32" s="12">
        <v>1.2075919815734799</v>
      </c>
      <c r="AX32" s="1">
        <v>37</v>
      </c>
      <c r="AY32" s="12">
        <v>0.19852689884874999</v>
      </c>
      <c r="AZ32" s="12"/>
      <c r="BA32" s="12">
        <v>2.20132743362832</v>
      </c>
      <c r="BB32" s="12">
        <v>1.90548876138967</v>
      </c>
      <c r="BC32" s="1">
        <v>49</v>
      </c>
      <c r="BD32" s="12">
        <v>0.27221268019852501</v>
      </c>
    </row>
    <row r="33" spans="1:60" x14ac:dyDescent="0.2">
      <c r="A33" s="1" t="s">
        <v>274</v>
      </c>
      <c r="B33" s="2" t="s">
        <v>296</v>
      </c>
      <c r="C33" s="2" t="s">
        <v>297</v>
      </c>
      <c r="D33" s="49" t="s">
        <v>350</v>
      </c>
      <c r="E33" s="2" t="s">
        <v>358</v>
      </c>
      <c r="F33" s="2" t="s">
        <v>102</v>
      </c>
      <c r="G33" s="2" t="s">
        <v>256</v>
      </c>
      <c r="H33" s="1" t="s">
        <v>279</v>
      </c>
      <c r="I33" s="1" t="s">
        <v>280</v>
      </c>
      <c r="J33" s="2" t="s">
        <v>281</v>
      </c>
      <c r="L33" s="5" t="s">
        <v>77</v>
      </c>
      <c r="M33" s="2" t="s">
        <v>125</v>
      </c>
      <c r="N33" s="2" t="s">
        <v>126</v>
      </c>
      <c r="O33" s="27">
        <v>16</v>
      </c>
      <c r="P33" s="2" t="s">
        <v>183</v>
      </c>
      <c r="Q33" s="2" t="s">
        <v>244</v>
      </c>
      <c r="R33" s="1" t="s">
        <v>282</v>
      </c>
      <c r="S33" s="26">
        <v>21</v>
      </c>
      <c r="T33" s="2" t="s">
        <v>283</v>
      </c>
      <c r="V33" s="2" t="s">
        <v>284</v>
      </c>
      <c r="W33" s="2" t="s">
        <v>217</v>
      </c>
      <c r="X33" s="27">
        <v>50</v>
      </c>
      <c r="Y33" s="26" t="s">
        <v>285</v>
      </c>
      <c r="Z33" s="2" t="s">
        <v>286</v>
      </c>
      <c r="AB33" s="2" t="s">
        <v>287</v>
      </c>
      <c r="AC33" s="2" t="s">
        <v>88</v>
      </c>
      <c r="AD33" s="26">
        <v>74</v>
      </c>
      <c r="AF33" s="2" t="s">
        <v>90</v>
      </c>
      <c r="AH33" s="2" t="s">
        <v>91</v>
      </c>
      <c r="AI33" s="2" t="s">
        <v>185</v>
      </c>
      <c r="AJ33" s="2" t="s">
        <v>289</v>
      </c>
      <c r="AK33" s="2" t="s">
        <v>352</v>
      </c>
      <c r="AL33" s="17" t="s">
        <v>107</v>
      </c>
      <c r="AM33" s="17" t="s">
        <v>107</v>
      </c>
      <c r="AN33" s="2" t="s">
        <v>96</v>
      </c>
      <c r="AO33" s="2" t="s">
        <v>353</v>
      </c>
      <c r="AP33" s="2" t="s">
        <v>354</v>
      </c>
      <c r="AQ33" s="2" t="s">
        <v>359</v>
      </c>
      <c r="AR33" s="2" t="s">
        <v>360</v>
      </c>
      <c r="AS33" s="2" t="s">
        <v>361</v>
      </c>
      <c r="AT33" s="2" t="s">
        <v>71</v>
      </c>
      <c r="AV33" s="12">
        <v>2.8733407079646001</v>
      </c>
      <c r="AW33" s="12">
        <v>1.4948225385531499</v>
      </c>
      <c r="AX33" s="1">
        <v>35</v>
      </c>
      <c r="AY33" s="12">
        <v>0.25267112570445599</v>
      </c>
      <c r="AZ33" s="12"/>
      <c r="BA33" s="12">
        <v>1.48230088495575</v>
      </c>
      <c r="BB33" s="12">
        <v>1.35475618799708</v>
      </c>
      <c r="BC33" s="1">
        <v>44</v>
      </c>
      <c r="BD33" s="12">
        <v>0.20423717990902199</v>
      </c>
    </row>
    <row r="34" spans="1:60" x14ac:dyDescent="0.2">
      <c r="A34" s="1" t="s">
        <v>274</v>
      </c>
      <c r="B34" s="2" t="s">
        <v>275</v>
      </c>
      <c r="C34" s="2" t="s">
        <v>276</v>
      </c>
      <c r="D34" s="49" t="s">
        <v>362</v>
      </c>
      <c r="E34" s="2" t="s">
        <v>363</v>
      </c>
      <c r="F34" s="2" t="s">
        <v>102</v>
      </c>
      <c r="G34" s="2" t="s">
        <v>256</v>
      </c>
      <c r="H34" s="1" t="s">
        <v>279</v>
      </c>
      <c r="I34" s="1" t="s">
        <v>280</v>
      </c>
      <c r="J34" s="2" t="s">
        <v>281</v>
      </c>
      <c r="L34" s="5" t="s">
        <v>77</v>
      </c>
      <c r="M34" s="2" t="s">
        <v>125</v>
      </c>
      <c r="N34" s="2" t="s">
        <v>126</v>
      </c>
      <c r="O34" s="27">
        <v>16</v>
      </c>
      <c r="P34" s="2" t="s">
        <v>183</v>
      </c>
      <c r="Q34" s="2" t="s">
        <v>244</v>
      </c>
      <c r="R34" s="1" t="s">
        <v>282</v>
      </c>
      <c r="S34" s="26">
        <v>21</v>
      </c>
      <c r="T34" s="2" t="s">
        <v>283</v>
      </c>
      <c r="V34" s="2" t="s">
        <v>284</v>
      </c>
      <c r="W34" s="2" t="s">
        <v>217</v>
      </c>
      <c r="X34" s="27">
        <v>50</v>
      </c>
      <c r="Y34" s="26" t="s">
        <v>285</v>
      </c>
      <c r="Z34" s="2" t="s">
        <v>286</v>
      </c>
      <c r="AB34" s="2" t="s">
        <v>287</v>
      </c>
      <c r="AC34" s="2" t="s">
        <v>288</v>
      </c>
      <c r="AD34" s="26">
        <v>74</v>
      </c>
      <c r="AF34" s="2" t="s">
        <v>90</v>
      </c>
      <c r="AH34" s="2" t="s">
        <v>91</v>
      </c>
      <c r="AI34" s="2" t="s">
        <v>185</v>
      </c>
      <c r="AJ34" s="2" t="s">
        <v>289</v>
      </c>
      <c r="AK34" s="2" t="s">
        <v>195</v>
      </c>
      <c r="AL34" s="17" t="s">
        <v>107</v>
      </c>
      <c r="AM34" s="17" t="s">
        <v>107</v>
      </c>
      <c r="AN34" s="2" t="s">
        <v>96</v>
      </c>
      <c r="AO34" s="2" t="s">
        <v>364</v>
      </c>
      <c r="AP34" s="2" t="s">
        <v>365</v>
      </c>
      <c r="AQ34" s="2" t="s">
        <v>366</v>
      </c>
      <c r="AR34" s="2" t="s">
        <v>367</v>
      </c>
      <c r="AS34" s="2" t="s">
        <v>368</v>
      </c>
      <c r="AT34" s="2" t="s">
        <v>71</v>
      </c>
      <c r="AV34" s="12">
        <v>21.477272727272702</v>
      </c>
      <c r="AW34" s="12">
        <v>5.5669390643689898</v>
      </c>
      <c r="AX34" s="1">
        <v>37</v>
      </c>
      <c r="AY34" s="12">
        <v>0.91519914457289497</v>
      </c>
      <c r="AZ34" s="12"/>
      <c r="BA34" s="12">
        <v>23.441558441558399</v>
      </c>
      <c r="BB34" s="12">
        <v>10.9920323168558</v>
      </c>
      <c r="BC34" s="1">
        <v>49</v>
      </c>
      <c r="BD34" s="12">
        <v>1.5702903309794101</v>
      </c>
    </row>
    <row r="35" spans="1:60" x14ac:dyDescent="0.2">
      <c r="A35" s="1" t="s">
        <v>274</v>
      </c>
      <c r="B35" s="2" t="s">
        <v>296</v>
      </c>
      <c r="C35" s="2" t="s">
        <v>297</v>
      </c>
      <c r="D35" s="49" t="s">
        <v>362</v>
      </c>
      <c r="E35" s="2" t="s">
        <v>369</v>
      </c>
      <c r="F35" s="2" t="s">
        <v>102</v>
      </c>
      <c r="G35" s="2" t="s">
        <v>256</v>
      </c>
      <c r="H35" s="1" t="s">
        <v>279</v>
      </c>
      <c r="I35" s="1" t="s">
        <v>280</v>
      </c>
      <c r="J35" s="2" t="s">
        <v>281</v>
      </c>
      <c r="L35" s="5" t="s">
        <v>77</v>
      </c>
      <c r="M35" s="2" t="s">
        <v>125</v>
      </c>
      <c r="N35" s="2" t="s">
        <v>126</v>
      </c>
      <c r="O35" s="27">
        <v>16</v>
      </c>
      <c r="P35" s="2" t="s">
        <v>183</v>
      </c>
      <c r="Q35" s="2" t="s">
        <v>244</v>
      </c>
      <c r="R35" s="1" t="s">
        <v>282</v>
      </c>
      <c r="S35" s="26">
        <v>21</v>
      </c>
      <c r="T35" s="2" t="s">
        <v>283</v>
      </c>
      <c r="V35" s="2" t="s">
        <v>284</v>
      </c>
      <c r="W35" s="2" t="s">
        <v>217</v>
      </c>
      <c r="X35" s="27">
        <v>50</v>
      </c>
      <c r="Y35" s="26" t="s">
        <v>285</v>
      </c>
      <c r="Z35" s="2" t="s">
        <v>286</v>
      </c>
      <c r="AB35" s="2" t="s">
        <v>287</v>
      </c>
      <c r="AC35" s="2" t="s">
        <v>88</v>
      </c>
      <c r="AD35" s="26">
        <v>74</v>
      </c>
      <c r="AF35" s="2" t="s">
        <v>90</v>
      </c>
      <c r="AH35" s="2" t="s">
        <v>91</v>
      </c>
      <c r="AI35" s="2" t="s">
        <v>185</v>
      </c>
      <c r="AJ35" s="2" t="s">
        <v>289</v>
      </c>
      <c r="AK35" s="2" t="s">
        <v>195</v>
      </c>
      <c r="AL35" s="17" t="s">
        <v>107</v>
      </c>
      <c r="AM35" s="17" t="s">
        <v>107</v>
      </c>
      <c r="AN35" s="2" t="s">
        <v>96</v>
      </c>
      <c r="AO35" s="2" t="s">
        <v>364</v>
      </c>
      <c r="AP35" s="2" t="s">
        <v>365</v>
      </c>
      <c r="AQ35" s="2" t="s">
        <v>370</v>
      </c>
      <c r="AR35" s="2" t="s">
        <v>371</v>
      </c>
      <c r="AS35" s="2" t="s">
        <v>372</v>
      </c>
      <c r="AT35" s="2" t="s">
        <v>71</v>
      </c>
      <c r="AV35" s="12">
        <v>21.461038961039002</v>
      </c>
      <c r="AW35" s="12">
        <v>9.7280967305853405</v>
      </c>
      <c r="AX35" s="1">
        <v>35</v>
      </c>
      <c r="AY35" s="12">
        <v>1.6443484684529499</v>
      </c>
      <c r="AZ35" s="12"/>
      <c r="BA35" s="12">
        <v>15.3733766233766</v>
      </c>
      <c r="BB35" s="12">
        <v>8.0077242031799791</v>
      </c>
      <c r="BC35" s="1">
        <v>44</v>
      </c>
      <c r="BD35" s="12">
        <v>1.2072098457543501</v>
      </c>
    </row>
    <row r="36" spans="1:60" x14ac:dyDescent="0.2">
      <c r="A36" s="1" t="s">
        <v>274</v>
      </c>
      <c r="B36" s="2" t="s">
        <v>275</v>
      </c>
      <c r="C36" s="2" t="s">
        <v>276</v>
      </c>
      <c r="D36" s="49" t="s">
        <v>373</v>
      </c>
      <c r="E36" s="2" t="s">
        <v>374</v>
      </c>
      <c r="F36" s="2" t="s">
        <v>102</v>
      </c>
      <c r="G36" s="2" t="s">
        <v>256</v>
      </c>
      <c r="H36" s="1" t="s">
        <v>279</v>
      </c>
      <c r="I36" s="1" t="s">
        <v>280</v>
      </c>
      <c r="J36" s="2" t="s">
        <v>281</v>
      </c>
      <c r="L36" s="5" t="s">
        <v>77</v>
      </c>
      <c r="M36" s="2" t="s">
        <v>125</v>
      </c>
      <c r="N36" s="2" t="s">
        <v>126</v>
      </c>
      <c r="O36" s="27">
        <v>16</v>
      </c>
      <c r="P36" s="2" t="s">
        <v>183</v>
      </c>
      <c r="Q36" s="2" t="s">
        <v>244</v>
      </c>
      <c r="R36" s="1" t="s">
        <v>282</v>
      </c>
      <c r="S36" s="26">
        <v>21</v>
      </c>
      <c r="T36" s="2" t="s">
        <v>283</v>
      </c>
      <c r="V36" s="2" t="s">
        <v>284</v>
      </c>
      <c r="W36" s="2" t="s">
        <v>217</v>
      </c>
      <c r="X36" s="27">
        <v>50</v>
      </c>
      <c r="Y36" s="26" t="s">
        <v>285</v>
      </c>
      <c r="Z36" s="2" t="s">
        <v>286</v>
      </c>
      <c r="AB36" s="2" t="s">
        <v>287</v>
      </c>
      <c r="AC36" s="2" t="s">
        <v>288</v>
      </c>
      <c r="AD36" s="26">
        <v>74</v>
      </c>
      <c r="AF36" s="2" t="s">
        <v>90</v>
      </c>
      <c r="AH36" s="2" t="s">
        <v>91</v>
      </c>
      <c r="AI36" s="2" t="s">
        <v>185</v>
      </c>
      <c r="AJ36" s="2" t="s">
        <v>289</v>
      </c>
      <c r="AK36" s="2" t="s">
        <v>375</v>
      </c>
      <c r="AL36" s="17" t="s">
        <v>107</v>
      </c>
      <c r="AM36" s="17" t="s">
        <v>107</v>
      </c>
      <c r="AN36" s="2" t="s">
        <v>96</v>
      </c>
      <c r="AO36" s="2" t="s">
        <v>376</v>
      </c>
      <c r="AP36" s="2" t="s">
        <v>377</v>
      </c>
      <c r="AQ36" s="2" t="s">
        <v>378</v>
      </c>
      <c r="AR36" s="2" t="s">
        <v>379</v>
      </c>
      <c r="AS36" s="2" t="s">
        <v>380</v>
      </c>
      <c r="AT36" s="2" t="s">
        <v>71</v>
      </c>
      <c r="AV36" s="12">
        <v>50.704633204633197</v>
      </c>
      <c r="AW36" s="12">
        <v>14.378292642906301</v>
      </c>
      <c r="AX36" s="1">
        <v>37</v>
      </c>
      <c r="AY36" s="12">
        <v>2.3637767496738702</v>
      </c>
      <c r="AZ36" s="12"/>
      <c r="BA36" s="12">
        <v>44.218146718146699</v>
      </c>
      <c r="BB36" s="12">
        <v>17.613741466804701</v>
      </c>
      <c r="BC36" s="1">
        <v>49</v>
      </c>
      <c r="BD36" s="12">
        <v>2.5162487809720999</v>
      </c>
    </row>
    <row r="37" spans="1:60" x14ac:dyDescent="0.2">
      <c r="A37" s="1" t="s">
        <v>274</v>
      </c>
      <c r="B37" s="2" t="s">
        <v>296</v>
      </c>
      <c r="C37" s="2" t="s">
        <v>297</v>
      </c>
      <c r="D37" s="49" t="s">
        <v>373</v>
      </c>
      <c r="E37" s="2" t="s">
        <v>381</v>
      </c>
      <c r="F37" s="2" t="s">
        <v>102</v>
      </c>
      <c r="G37" s="2" t="s">
        <v>256</v>
      </c>
      <c r="H37" s="1" t="s">
        <v>279</v>
      </c>
      <c r="I37" s="1" t="s">
        <v>280</v>
      </c>
      <c r="J37" s="2" t="s">
        <v>281</v>
      </c>
      <c r="L37" s="5" t="s">
        <v>77</v>
      </c>
      <c r="M37" s="2" t="s">
        <v>125</v>
      </c>
      <c r="N37" s="2" t="s">
        <v>126</v>
      </c>
      <c r="O37" s="27">
        <v>16</v>
      </c>
      <c r="P37" s="2" t="s">
        <v>183</v>
      </c>
      <c r="Q37" s="2" t="s">
        <v>244</v>
      </c>
      <c r="R37" s="1" t="s">
        <v>282</v>
      </c>
      <c r="S37" s="26">
        <v>21</v>
      </c>
      <c r="T37" s="2" t="s">
        <v>283</v>
      </c>
      <c r="V37" s="2" t="s">
        <v>284</v>
      </c>
      <c r="W37" s="2" t="s">
        <v>217</v>
      </c>
      <c r="X37" s="27">
        <v>50</v>
      </c>
      <c r="Y37" s="26" t="s">
        <v>285</v>
      </c>
      <c r="Z37" s="2" t="s">
        <v>286</v>
      </c>
      <c r="AB37" s="2" t="s">
        <v>287</v>
      </c>
      <c r="AC37" s="2" t="s">
        <v>88</v>
      </c>
      <c r="AD37" s="26">
        <v>74</v>
      </c>
      <c r="AF37" s="2" t="s">
        <v>90</v>
      </c>
      <c r="AH37" s="2" t="s">
        <v>91</v>
      </c>
      <c r="AI37" s="2" t="s">
        <v>185</v>
      </c>
      <c r="AJ37" s="2" t="s">
        <v>289</v>
      </c>
      <c r="AK37" s="2" t="s">
        <v>375</v>
      </c>
      <c r="AL37" s="17" t="s">
        <v>107</v>
      </c>
      <c r="AM37" s="17" t="s">
        <v>107</v>
      </c>
      <c r="AN37" s="2" t="s">
        <v>96</v>
      </c>
      <c r="AO37" s="2" t="s">
        <v>376</v>
      </c>
      <c r="AP37" s="2" t="s">
        <v>377</v>
      </c>
      <c r="AQ37" s="2" t="s">
        <v>382</v>
      </c>
      <c r="AR37" s="2" t="s">
        <v>383</v>
      </c>
      <c r="AS37" s="2" t="s">
        <v>384</v>
      </c>
      <c r="AT37" s="2" t="s">
        <v>71</v>
      </c>
      <c r="AV37" s="12">
        <v>45.521235521235504</v>
      </c>
      <c r="AW37" s="12">
        <v>13.145526083584899</v>
      </c>
      <c r="AX37" s="1">
        <v>35</v>
      </c>
      <c r="AY37" s="12">
        <v>2.2219994600372899</v>
      </c>
      <c r="AZ37" s="12"/>
      <c r="BA37" s="12">
        <v>32.5482625482625</v>
      </c>
      <c r="BB37" s="12">
        <v>13.672240909450201</v>
      </c>
      <c r="BC37" s="1">
        <v>44</v>
      </c>
      <c r="BD37" s="12">
        <v>2.06116786999972</v>
      </c>
    </row>
    <row r="38" spans="1:60" x14ac:dyDescent="0.2">
      <c r="A38" s="1" t="s">
        <v>274</v>
      </c>
      <c r="B38" s="2" t="s">
        <v>275</v>
      </c>
      <c r="C38" s="2" t="s">
        <v>276</v>
      </c>
      <c r="D38" s="49" t="s">
        <v>385</v>
      </c>
      <c r="E38" s="2" t="s">
        <v>386</v>
      </c>
      <c r="F38" s="2" t="s">
        <v>102</v>
      </c>
      <c r="G38" s="2" t="s">
        <v>256</v>
      </c>
      <c r="H38" s="1" t="s">
        <v>279</v>
      </c>
      <c r="I38" s="1" t="s">
        <v>280</v>
      </c>
      <c r="J38" s="2" t="s">
        <v>281</v>
      </c>
      <c r="L38" s="5" t="s">
        <v>77</v>
      </c>
      <c r="M38" s="2" t="s">
        <v>125</v>
      </c>
      <c r="N38" s="2" t="s">
        <v>126</v>
      </c>
      <c r="O38" s="27">
        <v>16</v>
      </c>
      <c r="P38" s="2" t="s">
        <v>183</v>
      </c>
      <c r="Q38" s="2" t="s">
        <v>244</v>
      </c>
      <c r="R38" s="1" t="s">
        <v>282</v>
      </c>
      <c r="S38" s="26">
        <v>21</v>
      </c>
      <c r="T38" s="2" t="s">
        <v>283</v>
      </c>
      <c r="V38" s="2" t="s">
        <v>284</v>
      </c>
      <c r="W38" s="2" t="s">
        <v>217</v>
      </c>
      <c r="X38" s="27">
        <v>50</v>
      </c>
      <c r="Y38" s="26" t="s">
        <v>285</v>
      </c>
      <c r="Z38" s="2" t="s">
        <v>286</v>
      </c>
      <c r="AB38" s="2" t="s">
        <v>287</v>
      </c>
      <c r="AC38" s="2" t="s">
        <v>288</v>
      </c>
      <c r="AD38" s="26">
        <v>74</v>
      </c>
      <c r="AF38" s="2" t="s">
        <v>90</v>
      </c>
      <c r="AH38" s="2" t="s">
        <v>91</v>
      </c>
      <c r="AI38" s="2" t="s">
        <v>185</v>
      </c>
      <c r="AJ38" s="2" t="s">
        <v>289</v>
      </c>
      <c r="AK38" s="2" t="s">
        <v>387</v>
      </c>
      <c r="AL38" s="1" t="s">
        <v>94</v>
      </c>
      <c r="AM38" s="1" t="s">
        <v>95</v>
      </c>
      <c r="AN38" s="2" t="s">
        <v>96</v>
      </c>
      <c r="AO38" s="2" t="s">
        <v>388</v>
      </c>
      <c r="AP38" s="2" t="s">
        <v>389</v>
      </c>
      <c r="AQ38" s="2" t="s">
        <v>319</v>
      </c>
      <c r="AR38" s="2" t="s">
        <v>320</v>
      </c>
      <c r="AS38" s="2" t="s">
        <v>321</v>
      </c>
      <c r="AT38" s="2" t="s">
        <v>102</v>
      </c>
      <c r="AV38" s="12">
        <v>10.507968127490001</v>
      </c>
      <c r="AW38" s="12">
        <v>10.7353970004845</v>
      </c>
      <c r="AX38" s="1">
        <v>37</v>
      </c>
      <c r="AY38" s="12">
        <v>1.76488839520062</v>
      </c>
      <c r="AZ38" s="12"/>
      <c r="BA38" s="12">
        <v>31.125498007968101</v>
      </c>
      <c r="BB38" s="12">
        <v>30.8137121446706</v>
      </c>
      <c r="BC38" s="1">
        <v>49</v>
      </c>
      <c r="BD38" s="12">
        <v>4.40195887781009</v>
      </c>
    </row>
    <row r="39" spans="1:60" x14ac:dyDescent="0.2">
      <c r="A39" s="1" t="s">
        <v>274</v>
      </c>
      <c r="B39" s="2" t="s">
        <v>296</v>
      </c>
      <c r="C39" s="2" t="s">
        <v>297</v>
      </c>
      <c r="D39" s="49" t="s">
        <v>385</v>
      </c>
      <c r="E39" s="2" t="s">
        <v>390</v>
      </c>
      <c r="F39" s="2" t="s">
        <v>102</v>
      </c>
      <c r="G39" s="2" t="s">
        <v>256</v>
      </c>
      <c r="H39" s="1" t="s">
        <v>279</v>
      </c>
      <c r="I39" s="1" t="s">
        <v>280</v>
      </c>
      <c r="J39" s="2" t="s">
        <v>281</v>
      </c>
      <c r="L39" s="5" t="s">
        <v>77</v>
      </c>
      <c r="M39" s="2" t="s">
        <v>125</v>
      </c>
      <c r="N39" s="2" t="s">
        <v>126</v>
      </c>
      <c r="O39" s="27">
        <v>16</v>
      </c>
      <c r="P39" s="2" t="s">
        <v>183</v>
      </c>
      <c r="Q39" s="2" t="s">
        <v>244</v>
      </c>
      <c r="R39" s="1" t="s">
        <v>282</v>
      </c>
      <c r="S39" s="26">
        <v>21</v>
      </c>
      <c r="T39" s="2" t="s">
        <v>283</v>
      </c>
      <c r="V39" s="2" t="s">
        <v>284</v>
      </c>
      <c r="W39" s="2" t="s">
        <v>217</v>
      </c>
      <c r="X39" s="27">
        <v>50</v>
      </c>
      <c r="Y39" s="26" t="s">
        <v>285</v>
      </c>
      <c r="Z39" s="2" t="s">
        <v>286</v>
      </c>
      <c r="AB39" s="2" t="s">
        <v>287</v>
      </c>
      <c r="AC39" s="2" t="s">
        <v>88</v>
      </c>
      <c r="AD39" s="26">
        <v>74</v>
      </c>
      <c r="AF39" s="2" t="s">
        <v>90</v>
      </c>
      <c r="AH39" s="2" t="s">
        <v>91</v>
      </c>
      <c r="AI39" s="2" t="s">
        <v>185</v>
      </c>
      <c r="AJ39" s="2" t="s">
        <v>289</v>
      </c>
      <c r="AK39" s="2" t="s">
        <v>387</v>
      </c>
      <c r="AL39" s="1" t="s">
        <v>94</v>
      </c>
      <c r="AM39" s="1" t="s">
        <v>95</v>
      </c>
      <c r="AN39" s="2" t="s">
        <v>96</v>
      </c>
      <c r="AO39" s="2" t="s">
        <v>388</v>
      </c>
      <c r="AP39" s="2" t="s">
        <v>389</v>
      </c>
      <c r="AQ39" s="2" t="s">
        <v>323</v>
      </c>
      <c r="AR39" s="2" t="s">
        <v>324</v>
      </c>
      <c r="AS39" s="2" t="s">
        <v>325</v>
      </c>
      <c r="AT39" s="2" t="s">
        <v>102</v>
      </c>
      <c r="AV39" s="12">
        <v>17.031872509960099</v>
      </c>
      <c r="AW39" s="12">
        <v>15.7745388640987</v>
      </c>
      <c r="AX39" s="1">
        <v>35</v>
      </c>
      <c r="AY39" s="12">
        <v>2.66638372747467</v>
      </c>
      <c r="AZ39" s="12"/>
      <c r="BA39" s="12">
        <v>51.693227091633503</v>
      </c>
      <c r="BB39" s="12">
        <v>49.019268137860301</v>
      </c>
      <c r="BC39" s="1">
        <v>44</v>
      </c>
      <c r="BD39" s="12">
        <v>7.3899327232320902</v>
      </c>
    </row>
    <row r="40" spans="1:60" x14ac:dyDescent="0.2">
      <c r="A40" s="1" t="s">
        <v>274</v>
      </c>
      <c r="B40" s="2" t="s">
        <v>275</v>
      </c>
      <c r="C40" s="2" t="s">
        <v>276</v>
      </c>
      <c r="D40" s="49" t="s">
        <v>391</v>
      </c>
      <c r="E40" s="2" t="s">
        <v>392</v>
      </c>
      <c r="F40" s="2" t="s">
        <v>102</v>
      </c>
      <c r="G40" s="2" t="s">
        <v>256</v>
      </c>
      <c r="H40" s="1" t="s">
        <v>279</v>
      </c>
      <c r="I40" s="1" t="s">
        <v>280</v>
      </c>
      <c r="J40" s="2" t="s">
        <v>281</v>
      </c>
      <c r="L40" s="5" t="s">
        <v>77</v>
      </c>
      <c r="M40" s="2" t="s">
        <v>125</v>
      </c>
      <c r="N40" s="2" t="s">
        <v>126</v>
      </c>
      <c r="O40" s="27">
        <v>16</v>
      </c>
      <c r="P40" s="2" t="s">
        <v>183</v>
      </c>
      <c r="Q40" s="2" t="s">
        <v>244</v>
      </c>
      <c r="R40" s="1" t="s">
        <v>282</v>
      </c>
      <c r="S40" s="26">
        <v>21</v>
      </c>
      <c r="T40" s="2" t="s">
        <v>283</v>
      </c>
      <c r="V40" s="2" t="s">
        <v>284</v>
      </c>
      <c r="W40" s="2" t="s">
        <v>217</v>
      </c>
      <c r="X40" s="27">
        <v>50</v>
      </c>
      <c r="Y40" s="26" t="s">
        <v>285</v>
      </c>
      <c r="Z40" s="2" t="s">
        <v>286</v>
      </c>
      <c r="AB40" s="2" t="s">
        <v>287</v>
      </c>
      <c r="AC40" s="2" t="s">
        <v>288</v>
      </c>
      <c r="AD40" s="26">
        <v>74</v>
      </c>
      <c r="AF40" s="2" t="s">
        <v>90</v>
      </c>
      <c r="AH40" s="2" t="s">
        <v>91</v>
      </c>
      <c r="AI40" s="2" t="s">
        <v>185</v>
      </c>
      <c r="AJ40" s="2" t="s">
        <v>289</v>
      </c>
      <c r="AK40" s="2" t="s">
        <v>328</v>
      </c>
      <c r="AL40" s="1" t="s">
        <v>94</v>
      </c>
      <c r="AM40" s="1" t="s">
        <v>95</v>
      </c>
      <c r="AN40" s="2" t="s">
        <v>96</v>
      </c>
      <c r="AO40" s="2" t="s">
        <v>393</v>
      </c>
      <c r="AP40" s="2" t="s">
        <v>394</v>
      </c>
      <c r="AQ40" s="2" t="s">
        <v>395</v>
      </c>
      <c r="AR40" s="2" t="s">
        <v>396</v>
      </c>
      <c r="AS40" s="2" t="s">
        <v>397</v>
      </c>
      <c r="AT40" s="2" t="s">
        <v>102</v>
      </c>
      <c r="AV40" s="12">
        <v>25.0686813186813</v>
      </c>
      <c r="AW40" s="12">
        <v>13.3203207704177</v>
      </c>
      <c r="AX40" s="1">
        <v>37</v>
      </c>
      <c r="AY40" s="12">
        <v>2.1898472452391902</v>
      </c>
      <c r="AZ40" s="12"/>
      <c r="BA40" s="12">
        <v>29.120879120879099</v>
      </c>
      <c r="BB40" s="12">
        <v>17.199140403789201</v>
      </c>
      <c r="BC40" s="1">
        <v>49</v>
      </c>
      <c r="BD40" s="12">
        <v>2.4570200576841699</v>
      </c>
    </row>
    <row r="41" spans="1:60" x14ac:dyDescent="0.2">
      <c r="A41" s="1" t="s">
        <v>274</v>
      </c>
      <c r="B41" s="2" t="s">
        <v>296</v>
      </c>
      <c r="C41" s="2" t="s">
        <v>297</v>
      </c>
      <c r="D41" s="49" t="s">
        <v>391</v>
      </c>
      <c r="E41" s="2" t="s">
        <v>398</v>
      </c>
      <c r="F41" s="2" t="s">
        <v>102</v>
      </c>
      <c r="G41" s="2" t="s">
        <v>256</v>
      </c>
      <c r="H41" s="1" t="s">
        <v>279</v>
      </c>
      <c r="I41" s="1" t="s">
        <v>280</v>
      </c>
      <c r="J41" s="2" t="s">
        <v>281</v>
      </c>
      <c r="L41" s="5" t="s">
        <v>77</v>
      </c>
      <c r="M41" s="2" t="s">
        <v>125</v>
      </c>
      <c r="N41" s="2" t="s">
        <v>126</v>
      </c>
      <c r="O41" s="27">
        <v>16</v>
      </c>
      <c r="P41" s="2" t="s">
        <v>183</v>
      </c>
      <c r="Q41" s="2" t="s">
        <v>244</v>
      </c>
      <c r="R41" s="1" t="s">
        <v>282</v>
      </c>
      <c r="S41" s="26">
        <v>21</v>
      </c>
      <c r="T41" s="2" t="s">
        <v>283</v>
      </c>
      <c r="V41" s="2" t="s">
        <v>284</v>
      </c>
      <c r="W41" s="2" t="s">
        <v>217</v>
      </c>
      <c r="X41" s="27">
        <v>50</v>
      </c>
      <c r="Y41" s="26" t="s">
        <v>285</v>
      </c>
      <c r="Z41" s="2" t="s">
        <v>286</v>
      </c>
      <c r="AB41" s="2" t="s">
        <v>287</v>
      </c>
      <c r="AC41" s="2" t="s">
        <v>88</v>
      </c>
      <c r="AD41" s="26">
        <v>74</v>
      </c>
      <c r="AF41" s="2" t="s">
        <v>90</v>
      </c>
      <c r="AH41" s="2" t="s">
        <v>91</v>
      </c>
      <c r="AI41" s="2" t="s">
        <v>185</v>
      </c>
      <c r="AJ41" s="2" t="s">
        <v>289</v>
      </c>
      <c r="AK41" s="2" t="s">
        <v>328</v>
      </c>
      <c r="AL41" s="1" t="s">
        <v>94</v>
      </c>
      <c r="AM41" s="1" t="s">
        <v>95</v>
      </c>
      <c r="AN41" s="2" t="s">
        <v>96</v>
      </c>
      <c r="AO41" s="2" t="s">
        <v>393</v>
      </c>
      <c r="AP41" s="2" t="s">
        <v>394</v>
      </c>
      <c r="AQ41" s="2" t="s">
        <v>399</v>
      </c>
      <c r="AR41" s="2" t="s">
        <v>400</v>
      </c>
      <c r="AS41" s="2" t="s">
        <v>401</v>
      </c>
      <c r="AT41" s="2" t="s">
        <v>102</v>
      </c>
      <c r="AV41" s="12">
        <v>17.342032967032999</v>
      </c>
      <c r="AW41" s="12">
        <v>8.3293755367872002</v>
      </c>
      <c r="AX41" s="1">
        <v>35</v>
      </c>
      <c r="AY41" s="12">
        <v>1.40792143482946</v>
      </c>
      <c r="AZ41" s="12"/>
      <c r="BA41" s="12">
        <v>40.384615384615401</v>
      </c>
      <c r="BB41" s="12">
        <v>25.2968084729021</v>
      </c>
      <c r="BC41" s="1">
        <v>44</v>
      </c>
      <c r="BD41" s="12">
        <v>3.8136373680954399</v>
      </c>
    </row>
    <row r="42" spans="1:60" x14ac:dyDescent="0.2">
      <c r="A42" s="1" t="s">
        <v>274</v>
      </c>
      <c r="B42" s="2" t="s">
        <v>275</v>
      </c>
      <c r="C42" s="2" t="s">
        <v>276</v>
      </c>
      <c r="D42" s="49" t="s">
        <v>402</v>
      </c>
      <c r="E42" s="2" t="s">
        <v>403</v>
      </c>
      <c r="F42" s="2" t="s">
        <v>102</v>
      </c>
      <c r="G42" s="2" t="s">
        <v>256</v>
      </c>
      <c r="H42" s="1" t="s">
        <v>279</v>
      </c>
      <c r="I42" s="1" t="s">
        <v>280</v>
      </c>
      <c r="J42" s="2" t="s">
        <v>281</v>
      </c>
      <c r="L42" s="5" t="s">
        <v>77</v>
      </c>
      <c r="M42" s="2" t="s">
        <v>125</v>
      </c>
      <c r="N42" s="2" t="s">
        <v>126</v>
      </c>
      <c r="O42" s="27">
        <v>16</v>
      </c>
      <c r="P42" s="2" t="s">
        <v>183</v>
      </c>
      <c r="Q42" s="2" t="s">
        <v>244</v>
      </c>
      <c r="R42" s="1" t="s">
        <v>282</v>
      </c>
      <c r="S42" s="26">
        <v>21</v>
      </c>
      <c r="T42" s="2" t="s">
        <v>283</v>
      </c>
      <c r="V42" s="2" t="s">
        <v>284</v>
      </c>
      <c r="W42" s="2" t="s">
        <v>217</v>
      </c>
      <c r="X42" s="27">
        <v>50</v>
      </c>
      <c r="Y42" s="26" t="s">
        <v>285</v>
      </c>
      <c r="Z42" s="2" t="s">
        <v>286</v>
      </c>
      <c r="AB42" s="2" t="s">
        <v>287</v>
      </c>
      <c r="AC42" s="2" t="s">
        <v>288</v>
      </c>
      <c r="AD42" s="26">
        <v>74</v>
      </c>
      <c r="AF42" s="2" t="s">
        <v>90</v>
      </c>
      <c r="AH42" s="2" t="s">
        <v>91</v>
      </c>
      <c r="AI42" s="2" t="s">
        <v>185</v>
      </c>
      <c r="AJ42" s="2" t="s">
        <v>289</v>
      </c>
      <c r="AK42" s="2" t="s">
        <v>404</v>
      </c>
      <c r="AL42" s="17" t="s">
        <v>107</v>
      </c>
      <c r="AM42" s="17" t="s">
        <v>107</v>
      </c>
      <c r="AN42" s="2" t="s">
        <v>96</v>
      </c>
      <c r="AO42" s="2" t="s">
        <v>405</v>
      </c>
      <c r="AP42" s="2" t="s">
        <v>406</v>
      </c>
      <c r="AQ42" s="2" t="s">
        <v>407</v>
      </c>
      <c r="AR42" s="2" t="s">
        <v>408</v>
      </c>
      <c r="AS42" s="2" t="s">
        <v>409</v>
      </c>
      <c r="AT42" s="2" t="s">
        <v>102</v>
      </c>
      <c r="AV42" s="12">
        <v>3.6150291828793799</v>
      </c>
      <c r="AW42" s="12">
        <v>2.1255893124829699</v>
      </c>
      <c r="AX42" s="1">
        <v>37</v>
      </c>
      <c r="AY42" s="12">
        <v>0.34944473039929103</v>
      </c>
      <c r="AZ42" s="12"/>
      <c r="BA42" s="12">
        <v>4.4905155642023402</v>
      </c>
      <c r="BB42" s="12">
        <v>2.17857850641537</v>
      </c>
      <c r="BC42" s="1">
        <v>49</v>
      </c>
      <c r="BD42" s="12">
        <v>0.31122550091648099</v>
      </c>
    </row>
    <row r="43" spans="1:60" x14ac:dyDescent="0.2">
      <c r="A43" s="1" t="s">
        <v>274</v>
      </c>
      <c r="B43" s="2" t="s">
        <v>296</v>
      </c>
      <c r="C43" s="2" t="s">
        <v>297</v>
      </c>
      <c r="D43" s="49" t="s">
        <v>402</v>
      </c>
      <c r="E43" s="2" t="s">
        <v>410</v>
      </c>
      <c r="F43" s="2" t="s">
        <v>102</v>
      </c>
      <c r="G43" s="2" t="s">
        <v>256</v>
      </c>
      <c r="H43" s="1" t="s">
        <v>279</v>
      </c>
      <c r="I43" s="1" t="s">
        <v>280</v>
      </c>
      <c r="J43" s="2" t="s">
        <v>281</v>
      </c>
      <c r="L43" s="5" t="s">
        <v>77</v>
      </c>
      <c r="M43" s="2" t="s">
        <v>125</v>
      </c>
      <c r="N43" s="2" t="s">
        <v>126</v>
      </c>
      <c r="O43" s="27">
        <v>16</v>
      </c>
      <c r="P43" s="2" t="s">
        <v>183</v>
      </c>
      <c r="Q43" s="2" t="s">
        <v>244</v>
      </c>
      <c r="R43" s="1" t="s">
        <v>282</v>
      </c>
      <c r="S43" s="26">
        <v>21</v>
      </c>
      <c r="T43" s="2" t="s">
        <v>283</v>
      </c>
      <c r="V43" s="2" t="s">
        <v>284</v>
      </c>
      <c r="W43" s="2" t="s">
        <v>217</v>
      </c>
      <c r="X43" s="27">
        <v>50</v>
      </c>
      <c r="Y43" s="26" t="s">
        <v>285</v>
      </c>
      <c r="Z43" s="2" t="s">
        <v>286</v>
      </c>
      <c r="AB43" s="2" t="s">
        <v>287</v>
      </c>
      <c r="AC43" s="2" t="s">
        <v>88</v>
      </c>
      <c r="AD43" s="26">
        <v>74</v>
      </c>
      <c r="AF43" s="2" t="s">
        <v>90</v>
      </c>
      <c r="AH43" s="2" t="s">
        <v>91</v>
      </c>
      <c r="AI43" s="2" t="s">
        <v>185</v>
      </c>
      <c r="AJ43" s="2" t="s">
        <v>289</v>
      </c>
      <c r="AK43" s="2" t="s">
        <v>404</v>
      </c>
      <c r="AL43" s="17" t="s">
        <v>107</v>
      </c>
      <c r="AM43" s="17" t="s">
        <v>107</v>
      </c>
      <c r="AN43" s="2" t="s">
        <v>96</v>
      </c>
      <c r="AO43" s="2" t="s">
        <v>405</v>
      </c>
      <c r="AP43" s="2" t="s">
        <v>406</v>
      </c>
      <c r="AQ43" s="2" t="s">
        <v>411</v>
      </c>
      <c r="AR43" s="2" t="s">
        <v>412</v>
      </c>
      <c r="AS43" s="2" t="s">
        <v>413</v>
      </c>
      <c r="AT43" s="2" t="s">
        <v>102</v>
      </c>
      <c r="AV43" s="12">
        <v>3.16999027237354</v>
      </c>
      <c r="AW43" s="12">
        <v>1.4955277890348799</v>
      </c>
      <c r="AX43" s="1">
        <v>35</v>
      </c>
      <c r="AY43" s="12">
        <v>0.25279033479351198</v>
      </c>
      <c r="AZ43" s="12"/>
      <c r="BA43" s="12">
        <v>4.4649805447470801</v>
      </c>
      <c r="BB43" s="12">
        <v>2.7757558063398702</v>
      </c>
      <c r="BC43" s="1">
        <v>44</v>
      </c>
      <c r="BD43" s="12">
        <v>0.41846093269453399</v>
      </c>
    </row>
    <row r="44" spans="1:60" x14ac:dyDescent="0.2">
      <c r="A44" s="1" t="s">
        <v>274</v>
      </c>
      <c r="B44" s="2" t="s">
        <v>275</v>
      </c>
      <c r="C44" s="2" t="s">
        <v>276</v>
      </c>
      <c r="D44" s="49" t="s">
        <v>414</v>
      </c>
      <c r="E44" s="2" t="s">
        <v>415</v>
      </c>
      <c r="F44" s="2" t="s">
        <v>102</v>
      </c>
      <c r="G44" s="2" t="s">
        <v>256</v>
      </c>
      <c r="H44" s="1" t="s">
        <v>279</v>
      </c>
      <c r="I44" s="1" t="s">
        <v>280</v>
      </c>
      <c r="J44" s="2" t="s">
        <v>281</v>
      </c>
      <c r="L44" s="5" t="s">
        <v>77</v>
      </c>
      <c r="M44" s="2" t="s">
        <v>125</v>
      </c>
      <c r="N44" s="2" t="s">
        <v>126</v>
      </c>
      <c r="O44" s="27">
        <v>16</v>
      </c>
      <c r="P44" s="2" t="s">
        <v>183</v>
      </c>
      <c r="Q44" s="2" t="s">
        <v>244</v>
      </c>
      <c r="R44" s="1" t="s">
        <v>282</v>
      </c>
      <c r="S44" s="26">
        <v>21</v>
      </c>
      <c r="T44" s="2" t="s">
        <v>283</v>
      </c>
      <c r="V44" s="2" t="s">
        <v>284</v>
      </c>
      <c r="W44" s="2" t="s">
        <v>217</v>
      </c>
      <c r="X44" s="27">
        <v>50</v>
      </c>
      <c r="Y44" s="26" t="s">
        <v>285</v>
      </c>
      <c r="Z44" s="2" t="s">
        <v>286</v>
      </c>
      <c r="AB44" s="2" t="s">
        <v>287</v>
      </c>
      <c r="AC44" s="2" t="s">
        <v>288</v>
      </c>
      <c r="AD44" s="26">
        <v>95</v>
      </c>
      <c r="AF44" s="2" t="s">
        <v>90</v>
      </c>
      <c r="AH44" s="2" t="s">
        <v>416</v>
      </c>
      <c r="AI44" s="2" t="s">
        <v>417</v>
      </c>
      <c r="AK44" s="2" t="s">
        <v>418</v>
      </c>
      <c r="AL44" s="2" t="s">
        <v>94</v>
      </c>
      <c r="AM44" s="2" t="s">
        <v>95</v>
      </c>
      <c r="AN44" s="2" t="s">
        <v>96</v>
      </c>
      <c r="AO44" s="2" t="s">
        <v>419</v>
      </c>
      <c r="AP44" s="2" t="s">
        <v>420</v>
      </c>
      <c r="AQ44" s="2" t="s">
        <v>421</v>
      </c>
      <c r="AR44" s="2" t="s">
        <v>422</v>
      </c>
      <c r="AS44" s="2" t="s">
        <v>423</v>
      </c>
      <c r="AT44" s="2" t="s">
        <v>102</v>
      </c>
      <c r="AV44" s="12">
        <v>49.7557726465364</v>
      </c>
      <c r="AW44" s="12">
        <v>27.372862790513299</v>
      </c>
      <c r="AX44" s="1">
        <v>14</v>
      </c>
      <c r="AY44" s="12">
        <v>7.3157053040909803</v>
      </c>
      <c r="AZ44" s="12"/>
      <c r="BA44" s="12">
        <v>86.123445825932507</v>
      </c>
      <c r="BB44" s="12">
        <v>19.425324642658399</v>
      </c>
      <c r="BC44" s="1">
        <v>13</v>
      </c>
      <c r="BD44" s="12">
        <v>5.3876156955106902</v>
      </c>
    </row>
    <row r="45" spans="1:60" x14ac:dyDescent="0.2">
      <c r="A45" s="1" t="s">
        <v>274</v>
      </c>
      <c r="B45" s="2" t="s">
        <v>296</v>
      </c>
      <c r="C45" s="2" t="s">
        <v>297</v>
      </c>
      <c r="D45" s="49" t="s">
        <v>414</v>
      </c>
      <c r="E45" s="2" t="s">
        <v>424</v>
      </c>
      <c r="F45" s="2" t="s">
        <v>102</v>
      </c>
      <c r="G45" s="2" t="s">
        <v>256</v>
      </c>
      <c r="H45" s="1" t="s">
        <v>279</v>
      </c>
      <c r="I45" s="1" t="s">
        <v>280</v>
      </c>
      <c r="J45" s="2" t="s">
        <v>281</v>
      </c>
      <c r="L45" s="5" t="s">
        <v>77</v>
      </c>
      <c r="M45" s="2" t="s">
        <v>125</v>
      </c>
      <c r="N45" s="2" t="s">
        <v>126</v>
      </c>
      <c r="O45" s="27">
        <v>16</v>
      </c>
      <c r="P45" s="2" t="s">
        <v>183</v>
      </c>
      <c r="Q45" s="2" t="s">
        <v>244</v>
      </c>
      <c r="R45" s="1" t="s">
        <v>282</v>
      </c>
      <c r="S45" s="26">
        <v>21</v>
      </c>
      <c r="T45" s="2" t="s">
        <v>283</v>
      </c>
      <c r="V45" s="2" t="s">
        <v>284</v>
      </c>
      <c r="W45" s="2" t="s">
        <v>217</v>
      </c>
      <c r="X45" s="27">
        <v>50</v>
      </c>
      <c r="Y45" s="26" t="s">
        <v>285</v>
      </c>
      <c r="Z45" s="2" t="s">
        <v>286</v>
      </c>
      <c r="AB45" s="2" t="s">
        <v>287</v>
      </c>
      <c r="AC45" s="2" t="s">
        <v>88</v>
      </c>
      <c r="AD45" s="26">
        <v>95</v>
      </c>
      <c r="AF45" s="2" t="s">
        <v>90</v>
      </c>
      <c r="AH45" s="2" t="s">
        <v>416</v>
      </c>
      <c r="AI45" s="2" t="s">
        <v>417</v>
      </c>
      <c r="AK45" s="2" t="s">
        <v>418</v>
      </c>
      <c r="AL45" s="2" t="s">
        <v>94</v>
      </c>
      <c r="AM45" s="2" t="s">
        <v>95</v>
      </c>
      <c r="AN45" s="2" t="s">
        <v>96</v>
      </c>
      <c r="AO45" s="2" t="s">
        <v>419</v>
      </c>
      <c r="AP45" s="2" t="s">
        <v>420</v>
      </c>
      <c r="AQ45" s="2" t="s">
        <v>425</v>
      </c>
      <c r="AR45" s="2" t="s">
        <v>426</v>
      </c>
      <c r="AS45" s="2" t="s">
        <v>427</v>
      </c>
      <c r="AT45" s="2" t="s">
        <v>102</v>
      </c>
      <c r="AV45" s="12">
        <v>103.974245115453</v>
      </c>
      <c r="AW45" s="12">
        <v>44.649381141930498</v>
      </c>
      <c r="AX45" s="1">
        <v>12</v>
      </c>
      <c r="AY45" s="12">
        <v>12.8891661107219</v>
      </c>
      <c r="AZ45" s="12"/>
      <c r="BA45" s="12">
        <v>128.28596802841901</v>
      </c>
      <c r="BB45" s="12">
        <v>46.064683113837802</v>
      </c>
      <c r="BC45" s="1">
        <v>14</v>
      </c>
      <c r="BD45" s="12">
        <v>12.3113044173066</v>
      </c>
    </row>
    <row r="46" spans="1:60" x14ac:dyDescent="0.2">
      <c r="A46" s="1" t="s">
        <v>274</v>
      </c>
      <c r="B46" s="2" t="s">
        <v>275</v>
      </c>
      <c r="C46" s="2" t="s">
        <v>276</v>
      </c>
      <c r="D46" s="49" t="s">
        <v>428</v>
      </c>
      <c r="E46" s="2" t="s">
        <v>429</v>
      </c>
      <c r="F46" s="2" t="s">
        <v>102</v>
      </c>
      <c r="G46" s="2" t="s">
        <v>256</v>
      </c>
      <c r="H46" s="1" t="s">
        <v>279</v>
      </c>
      <c r="I46" s="1" t="s">
        <v>280</v>
      </c>
      <c r="J46" s="2" t="s">
        <v>281</v>
      </c>
      <c r="L46" s="5" t="s">
        <v>77</v>
      </c>
      <c r="M46" s="2" t="s">
        <v>125</v>
      </c>
      <c r="N46" s="2" t="s">
        <v>126</v>
      </c>
      <c r="O46" s="27">
        <v>16</v>
      </c>
      <c r="P46" s="2" t="s">
        <v>183</v>
      </c>
      <c r="Q46" s="2" t="s">
        <v>244</v>
      </c>
      <c r="R46" s="1" t="s">
        <v>282</v>
      </c>
      <c r="S46" s="26">
        <v>21</v>
      </c>
      <c r="T46" s="2" t="s">
        <v>283</v>
      </c>
      <c r="U46" s="2"/>
      <c r="V46" s="2" t="s">
        <v>284</v>
      </c>
      <c r="W46" s="2" t="s">
        <v>217</v>
      </c>
      <c r="X46" s="27">
        <v>50</v>
      </c>
      <c r="Y46" s="26" t="s">
        <v>285</v>
      </c>
      <c r="Z46" s="2" t="s">
        <v>286</v>
      </c>
      <c r="AA46" s="2"/>
      <c r="AB46" s="2" t="s">
        <v>287</v>
      </c>
      <c r="AC46" s="2" t="s">
        <v>288</v>
      </c>
      <c r="AD46" s="26">
        <v>80</v>
      </c>
      <c r="AF46" s="2" t="s">
        <v>90</v>
      </c>
      <c r="AH46" s="2" t="s">
        <v>416</v>
      </c>
      <c r="AI46" s="2" t="s">
        <v>430</v>
      </c>
      <c r="AJ46" s="2"/>
      <c r="AK46" s="2" t="s">
        <v>431</v>
      </c>
      <c r="AL46" s="2" t="s">
        <v>134</v>
      </c>
      <c r="AM46" s="2" t="s">
        <v>135</v>
      </c>
      <c r="AN46" s="2" t="s">
        <v>96</v>
      </c>
      <c r="AO46" s="2" t="s">
        <v>432</v>
      </c>
      <c r="AP46" s="2"/>
      <c r="AQ46" s="2" t="s">
        <v>433</v>
      </c>
      <c r="AR46" s="2" t="s">
        <v>434</v>
      </c>
      <c r="AS46" s="2" t="s">
        <v>435</v>
      </c>
      <c r="AT46" s="2" t="s">
        <v>71</v>
      </c>
      <c r="AV46" s="12">
        <v>52.8</v>
      </c>
      <c r="AW46" s="19">
        <f>AY46*SQRT(AX46)</f>
        <v>26.155878880282341</v>
      </c>
      <c r="AX46" s="1">
        <v>37</v>
      </c>
      <c r="AY46" s="12">
        <v>4.3</v>
      </c>
      <c r="AZ46" s="12"/>
      <c r="BA46" s="12">
        <v>59.8</v>
      </c>
      <c r="BB46" s="19">
        <f>BD46*SQRT(BC46)</f>
        <v>37.800000000000004</v>
      </c>
      <c r="BC46" s="1">
        <v>49</v>
      </c>
      <c r="BD46" s="12">
        <v>5.4</v>
      </c>
      <c r="BF46" s="1" t="s">
        <v>436</v>
      </c>
    </row>
    <row r="47" spans="1:60" x14ac:dyDescent="0.2">
      <c r="A47" s="1" t="s">
        <v>274</v>
      </c>
      <c r="B47" s="2" t="s">
        <v>296</v>
      </c>
      <c r="C47" s="2" t="s">
        <v>297</v>
      </c>
      <c r="D47" s="49" t="s">
        <v>428</v>
      </c>
      <c r="E47" s="2" t="s">
        <v>437</v>
      </c>
      <c r="F47" s="2" t="s">
        <v>102</v>
      </c>
      <c r="G47" s="2" t="s">
        <v>256</v>
      </c>
      <c r="H47" s="1" t="s">
        <v>279</v>
      </c>
      <c r="I47" s="1" t="s">
        <v>280</v>
      </c>
      <c r="J47" s="2" t="s">
        <v>281</v>
      </c>
      <c r="L47" s="5" t="s">
        <v>77</v>
      </c>
      <c r="M47" s="2" t="s">
        <v>125</v>
      </c>
      <c r="N47" s="2" t="s">
        <v>126</v>
      </c>
      <c r="O47" s="27">
        <v>16</v>
      </c>
      <c r="P47" s="2" t="s">
        <v>183</v>
      </c>
      <c r="Q47" s="2" t="s">
        <v>244</v>
      </c>
      <c r="R47" s="1" t="s">
        <v>282</v>
      </c>
      <c r="S47" s="26">
        <v>21</v>
      </c>
      <c r="T47" s="2" t="s">
        <v>283</v>
      </c>
      <c r="V47" s="2" t="s">
        <v>284</v>
      </c>
      <c r="W47" s="2" t="s">
        <v>217</v>
      </c>
      <c r="X47" s="27">
        <v>50</v>
      </c>
      <c r="Y47" s="26" t="s">
        <v>285</v>
      </c>
      <c r="Z47" s="2" t="s">
        <v>286</v>
      </c>
      <c r="AB47" s="2" t="s">
        <v>287</v>
      </c>
      <c r="AC47" s="2" t="s">
        <v>88</v>
      </c>
      <c r="AD47" s="26">
        <v>80</v>
      </c>
      <c r="AF47" s="2" t="s">
        <v>90</v>
      </c>
      <c r="AH47" s="2" t="s">
        <v>416</v>
      </c>
      <c r="AI47" s="2" t="s">
        <v>430</v>
      </c>
      <c r="AJ47" s="2"/>
      <c r="AK47" s="2" t="s">
        <v>431</v>
      </c>
      <c r="AL47" s="2" t="s">
        <v>134</v>
      </c>
      <c r="AM47" s="2" t="s">
        <v>135</v>
      </c>
      <c r="AN47" s="2" t="s">
        <v>96</v>
      </c>
      <c r="AO47" s="2" t="s">
        <v>432</v>
      </c>
      <c r="AP47" s="2"/>
      <c r="AQ47" s="2" t="s">
        <v>438</v>
      </c>
      <c r="AR47" s="2" t="s">
        <v>439</v>
      </c>
      <c r="AS47" s="2" t="s">
        <v>440</v>
      </c>
      <c r="AT47" s="2" t="s">
        <v>71</v>
      </c>
      <c r="AV47" s="12">
        <v>54.8</v>
      </c>
      <c r="AW47" s="19">
        <f t="shared" ref="AW47" si="2">AY47*SQRT(AX47)</f>
        <v>30.763614872118005</v>
      </c>
      <c r="AX47" s="1">
        <v>35</v>
      </c>
      <c r="AY47" s="12">
        <v>5.2</v>
      </c>
      <c r="AZ47" s="12"/>
      <c r="BA47" s="12">
        <v>57.8</v>
      </c>
      <c r="BB47" s="19">
        <f>BD47*SQRT(BC47)</f>
        <v>28.522973197056437</v>
      </c>
      <c r="BC47" s="1">
        <v>44</v>
      </c>
      <c r="BD47" s="12">
        <v>4.3</v>
      </c>
      <c r="BF47" s="1" t="s">
        <v>436</v>
      </c>
    </row>
    <row r="48" spans="1:60" x14ac:dyDescent="0.2">
      <c r="A48" s="1" t="s">
        <v>441</v>
      </c>
      <c r="B48" s="2" t="s">
        <v>442</v>
      </c>
      <c r="C48" s="2" t="s">
        <v>443</v>
      </c>
      <c r="D48" s="49" t="s">
        <v>444</v>
      </c>
      <c r="E48" s="2" t="s">
        <v>445</v>
      </c>
      <c r="F48" s="2" t="s">
        <v>71</v>
      </c>
      <c r="G48" s="2" t="s">
        <v>446</v>
      </c>
      <c r="H48" s="1" t="s">
        <v>447</v>
      </c>
      <c r="I48" s="1" t="s">
        <v>448</v>
      </c>
      <c r="J48" s="2" t="s">
        <v>449</v>
      </c>
      <c r="L48" s="5" t="s">
        <v>77</v>
      </c>
      <c r="M48" s="2" t="s">
        <v>125</v>
      </c>
      <c r="N48" s="2" t="s">
        <v>126</v>
      </c>
      <c r="O48" s="27">
        <v>16</v>
      </c>
      <c r="P48" s="2" t="s">
        <v>183</v>
      </c>
      <c r="Q48" s="2" t="s">
        <v>244</v>
      </c>
      <c r="S48" s="26">
        <v>19</v>
      </c>
      <c r="T48" s="2" t="s">
        <v>83</v>
      </c>
      <c r="U48" s="1">
        <v>1</v>
      </c>
      <c r="V48" s="2" t="s">
        <v>128</v>
      </c>
      <c r="W48" s="2" t="s">
        <v>217</v>
      </c>
      <c r="X48" s="27">
        <v>65</v>
      </c>
      <c r="Y48" s="29">
        <v>22000</v>
      </c>
      <c r="Z48" s="2" t="s">
        <v>450</v>
      </c>
      <c r="AB48" s="2" t="s">
        <v>451</v>
      </c>
      <c r="AC48" s="2" t="s">
        <v>88</v>
      </c>
      <c r="AD48" s="26">
        <v>60</v>
      </c>
      <c r="AF48" s="2" t="s">
        <v>90</v>
      </c>
      <c r="AH48" s="2" t="s">
        <v>91</v>
      </c>
      <c r="AI48" s="1" t="s">
        <v>452</v>
      </c>
      <c r="AJ48" s="2" t="s">
        <v>453</v>
      </c>
      <c r="AK48" s="2" t="s">
        <v>454</v>
      </c>
      <c r="AL48" s="2" t="s">
        <v>94</v>
      </c>
      <c r="AM48" s="2" t="s">
        <v>95</v>
      </c>
      <c r="AN48" s="2" t="s">
        <v>96</v>
      </c>
      <c r="AO48" s="2" t="s">
        <v>455</v>
      </c>
      <c r="AP48" s="1" t="s">
        <v>456</v>
      </c>
      <c r="AQ48" s="2" t="s">
        <v>457</v>
      </c>
      <c r="AR48" s="2" t="s">
        <v>458</v>
      </c>
      <c r="AS48" s="2" t="s">
        <v>459</v>
      </c>
      <c r="AT48" s="2" t="s">
        <v>102</v>
      </c>
      <c r="AV48" s="12">
        <v>9.3264248704663508</v>
      </c>
      <c r="AW48" s="12">
        <v>25.128198244522601</v>
      </c>
      <c r="AX48" s="1">
        <v>12</v>
      </c>
      <c r="AY48" s="12">
        <v>7.2538860103626899</v>
      </c>
      <c r="AZ48" s="12"/>
      <c r="BA48" s="12">
        <v>6.21761658031091</v>
      </c>
      <c r="BB48" s="12">
        <v>14.3589704254415</v>
      </c>
      <c r="BC48" s="1">
        <v>12</v>
      </c>
      <c r="BD48" s="12">
        <v>4.14507772020725</v>
      </c>
      <c r="BH48" s="14">
        <v>6.25E-2</v>
      </c>
    </row>
    <row r="49" spans="1:60" x14ac:dyDescent="0.2">
      <c r="A49" s="1" t="s">
        <v>441</v>
      </c>
      <c r="B49" s="2" t="s">
        <v>442</v>
      </c>
      <c r="C49" s="2" t="s">
        <v>443</v>
      </c>
      <c r="D49" s="49" t="s">
        <v>444</v>
      </c>
      <c r="E49" s="2" t="s">
        <v>460</v>
      </c>
      <c r="F49" s="2" t="s">
        <v>71</v>
      </c>
      <c r="G49" s="2" t="s">
        <v>446</v>
      </c>
      <c r="H49" s="1" t="s">
        <v>447</v>
      </c>
      <c r="I49" s="1" t="s">
        <v>448</v>
      </c>
      <c r="J49" s="2" t="s">
        <v>449</v>
      </c>
      <c r="L49" s="5" t="s">
        <v>77</v>
      </c>
      <c r="M49" s="2" t="s">
        <v>125</v>
      </c>
      <c r="N49" s="2" t="s">
        <v>126</v>
      </c>
      <c r="O49" s="27">
        <v>16</v>
      </c>
      <c r="P49" s="2" t="s">
        <v>183</v>
      </c>
      <c r="Q49" s="2" t="s">
        <v>244</v>
      </c>
      <c r="S49" s="26">
        <v>19</v>
      </c>
      <c r="T49" s="2" t="s">
        <v>83</v>
      </c>
      <c r="U49" s="1">
        <v>1</v>
      </c>
      <c r="V49" s="2" t="s">
        <v>128</v>
      </c>
      <c r="W49" s="2" t="s">
        <v>217</v>
      </c>
      <c r="X49" s="27">
        <v>65</v>
      </c>
      <c r="Y49" s="29">
        <v>22000</v>
      </c>
      <c r="Z49" s="2" t="s">
        <v>450</v>
      </c>
      <c r="AB49" s="2" t="s">
        <v>451</v>
      </c>
      <c r="AC49" s="2" t="s">
        <v>88</v>
      </c>
      <c r="AD49" s="26">
        <v>60</v>
      </c>
      <c r="AF49" s="2" t="s">
        <v>90</v>
      </c>
      <c r="AH49" s="2" t="s">
        <v>91</v>
      </c>
      <c r="AI49" s="1" t="s">
        <v>452</v>
      </c>
      <c r="AJ49" s="2" t="s">
        <v>453</v>
      </c>
      <c r="AK49" s="2" t="s">
        <v>454</v>
      </c>
      <c r="AL49" s="2" t="s">
        <v>94</v>
      </c>
      <c r="AM49" s="2" t="s">
        <v>95</v>
      </c>
      <c r="AN49" s="2" t="s">
        <v>96</v>
      </c>
      <c r="AO49" s="2" t="s">
        <v>455</v>
      </c>
      <c r="AP49" s="1" t="s">
        <v>456</v>
      </c>
      <c r="AQ49" s="2" t="s">
        <v>461</v>
      </c>
      <c r="AR49" s="2" t="s">
        <v>462</v>
      </c>
      <c r="AS49" s="2" t="s">
        <v>463</v>
      </c>
      <c r="AT49" s="2" t="s">
        <v>102</v>
      </c>
      <c r="AV49" s="12">
        <v>56.4766839378239</v>
      </c>
      <c r="AW49" s="12">
        <v>118.46150600989201</v>
      </c>
      <c r="AX49" s="1">
        <v>12</v>
      </c>
      <c r="AY49" s="12">
        <v>34.196891191709902</v>
      </c>
      <c r="AZ49" s="12"/>
      <c r="BA49" s="12">
        <v>86.528497409326505</v>
      </c>
      <c r="BB49" s="12">
        <v>131.025605132153</v>
      </c>
      <c r="BC49" s="1">
        <v>12</v>
      </c>
      <c r="BD49" s="12">
        <v>37.823834196891099</v>
      </c>
    </row>
    <row r="50" spans="1:60" x14ac:dyDescent="0.2">
      <c r="A50" s="1" t="s">
        <v>441</v>
      </c>
      <c r="B50" s="2" t="s">
        <v>442</v>
      </c>
      <c r="C50" s="2" t="s">
        <v>443</v>
      </c>
      <c r="D50" s="49" t="s">
        <v>444</v>
      </c>
      <c r="E50" s="2" t="s">
        <v>464</v>
      </c>
      <c r="F50" s="2" t="s">
        <v>71</v>
      </c>
      <c r="G50" s="2" t="s">
        <v>446</v>
      </c>
      <c r="H50" s="1" t="s">
        <v>447</v>
      </c>
      <c r="I50" s="1" t="s">
        <v>448</v>
      </c>
      <c r="J50" s="2" t="s">
        <v>449</v>
      </c>
      <c r="L50" s="5" t="s">
        <v>77</v>
      </c>
      <c r="M50" s="2" t="s">
        <v>125</v>
      </c>
      <c r="N50" s="2" t="s">
        <v>126</v>
      </c>
      <c r="O50" s="27">
        <v>16</v>
      </c>
      <c r="P50" s="2" t="s">
        <v>183</v>
      </c>
      <c r="Q50" s="2" t="s">
        <v>244</v>
      </c>
      <c r="S50" s="26">
        <v>19</v>
      </c>
      <c r="T50" s="2" t="s">
        <v>83</v>
      </c>
      <c r="U50" s="1">
        <v>1</v>
      </c>
      <c r="V50" s="2" t="s">
        <v>128</v>
      </c>
      <c r="W50" s="2" t="s">
        <v>217</v>
      </c>
      <c r="X50" s="27">
        <v>65</v>
      </c>
      <c r="Y50" s="29">
        <v>22000</v>
      </c>
      <c r="Z50" s="2" t="s">
        <v>450</v>
      </c>
      <c r="AB50" s="2" t="s">
        <v>451</v>
      </c>
      <c r="AC50" s="2" t="s">
        <v>88</v>
      </c>
      <c r="AD50" s="26">
        <v>60</v>
      </c>
      <c r="AF50" s="2" t="s">
        <v>90</v>
      </c>
      <c r="AH50" s="2" t="s">
        <v>91</v>
      </c>
      <c r="AI50" s="1" t="s">
        <v>452</v>
      </c>
      <c r="AJ50" s="2" t="s">
        <v>453</v>
      </c>
      <c r="AK50" s="2" t="s">
        <v>454</v>
      </c>
      <c r="AL50" s="2" t="s">
        <v>94</v>
      </c>
      <c r="AM50" s="2" t="s">
        <v>95</v>
      </c>
      <c r="AN50" s="2" t="s">
        <v>96</v>
      </c>
      <c r="AO50" s="2" t="s">
        <v>455</v>
      </c>
      <c r="AP50" s="1" t="s">
        <v>456</v>
      </c>
      <c r="AQ50" s="2" t="s">
        <v>465</v>
      </c>
      <c r="AR50" s="2" t="s">
        <v>466</v>
      </c>
      <c r="AS50" s="2" t="s">
        <v>467</v>
      </c>
      <c r="AT50" s="2" t="s">
        <v>102</v>
      </c>
      <c r="AV50" s="12">
        <v>103.108808290155</v>
      </c>
      <c r="AW50" s="12">
        <v>129.230733828973</v>
      </c>
      <c r="AX50" s="1">
        <v>12</v>
      </c>
      <c r="AY50" s="12">
        <v>37.305699481865297</v>
      </c>
      <c r="AZ50" s="12"/>
      <c r="BA50" s="12">
        <v>136.269430051814</v>
      </c>
      <c r="BB50" s="12">
        <v>147.17944686077499</v>
      </c>
      <c r="BC50" s="1">
        <v>12</v>
      </c>
      <c r="BD50" s="12">
        <v>42.487046632124397</v>
      </c>
    </row>
    <row r="51" spans="1:60" x14ac:dyDescent="0.2">
      <c r="A51" s="1" t="s">
        <v>441</v>
      </c>
      <c r="B51" s="2" t="s">
        <v>442</v>
      </c>
      <c r="C51" s="2" t="s">
        <v>443</v>
      </c>
      <c r="D51" s="49" t="s">
        <v>468</v>
      </c>
      <c r="E51" s="2" t="s">
        <v>469</v>
      </c>
      <c r="F51" s="2" t="s">
        <v>71</v>
      </c>
      <c r="G51" s="2" t="s">
        <v>446</v>
      </c>
      <c r="H51" s="1" t="s">
        <v>447</v>
      </c>
      <c r="I51" s="1" t="s">
        <v>448</v>
      </c>
      <c r="J51" s="2" t="s">
        <v>449</v>
      </c>
      <c r="L51" s="5" t="s">
        <v>77</v>
      </c>
      <c r="M51" s="2" t="s">
        <v>125</v>
      </c>
      <c r="N51" s="2" t="s">
        <v>126</v>
      </c>
      <c r="O51" s="27">
        <v>16</v>
      </c>
      <c r="P51" s="2" t="s">
        <v>183</v>
      </c>
      <c r="Q51" s="2" t="s">
        <v>244</v>
      </c>
      <c r="S51" s="26">
        <v>19</v>
      </c>
      <c r="T51" s="2" t="s">
        <v>83</v>
      </c>
      <c r="U51" s="1">
        <v>1</v>
      </c>
      <c r="V51" s="2" t="s">
        <v>128</v>
      </c>
      <c r="W51" s="2" t="s">
        <v>217</v>
      </c>
      <c r="X51" s="27">
        <v>65</v>
      </c>
      <c r="Y51" s="29">
        <v>22000</v>
      </c>
      <c r="Z51" s="2" t="s">
        <v>450</v>
      </c>
      <c r="AB51" s="2" t="s">
        <v>451</v>
      </c>
      <c r="AC51" s="2" t="s">
        <v>88</v>
      </c>
      <c r="AD51" s="26">
        <v>60</v>
      </c>
      <c r="AF51" s="2" t="s">
        <v>90</v>
      </c>
      <c r="AH51" s="2" t="s">
        <v>91</v>
      </c>
      <c r="AI51" s="1" t="s">
        <v>452</v>
      </c>
      <c r="AJ51" s="2" t="s">
        <v>470</v>
      </c>
      <c r="AK51" s="2" t="s">
        <v>471</v>
      </c>
      <c r="AL51" s="2" t="s">
        <v>94</v>
      </c>
      <c r="AM51" s="2" t="s">
        <v>95</v>
      </c>
      <c r="AN51" s="2" t="s">
        <v>96</v>
      </c>
      <c r="AO51" s="2" t="s">
        <v>472</v>
      </c>
      <c r="AP51" s="1" t="s">
        <v>473</v>
      </c>
      <c r="AQ51" s="2" t="s">
        <v>474</v>
      </c>
      <c r="AR51" s="2" t="s">
        <v>475</v>
      </c>
      <c r="AS51" s="2" t="s">
        <v>476</v>
      </c>
      <c r="AT51" s="2" t="s">
        <v>71</v>
      </c>
      <c r="AV51" s="12">
        <v>5.3428571428571399</v>
      </c>
      <c r="AW51" s="12">
        <v>3.85999894258206</v>
      </c>
      <c r="AX51" s="13">
        <v>12</v>
      </c>
      <c r="AY51" s="12">
        <v>1.1142857142857101</v>
      </c>
      <c r="AZ51" s="12"/>
      <c r="BA51" s="12">
        <v>6.54285714285714</v>
      </c>
      <c r="BB51" s="12">
        <v>8.2148695444695292</v>
      </c>
      <c r="BC51" s="13">
        <v>12</v>
      </c>
      <c r="BD51" s="12">
        <v>2.3714285714285701</v>
      </c>
    </row>
    <row r="52" spans="1:60" x14ac:dyDescent="0.2">
      <c r="A52" s="1" t="s">
        <v>441</v>
      </c>
      <c r="B52" s="2" t="s">
        <v>442</v>
      </c>
      <c r="C52" s="2" t="s">
        <v>443</v>
      </c>
      <c r="D52" s="49" t="s">
        <v>468</v>
      </c>
      <c r="E52" s="2" t="s">
        <v>477</v>
      </c>
      <c r="F52" s="2" t="s">
        <v>71</v>
      </c>
      <c r="G52" s="2" t="s">
        <v>446</v>
      </c>
      <c r="H52" s="1" t="s">
        <v>447</v>
      </c>
      <c r="I52" s="1" t="s">
        <v>448</v>
      </c>
      <c r="J52" s="2" t="s">
        <v>449</v>
      </c>
      <c r="L52" s="5" t="s">
        <v>77</v>
      </c>
      <c r="M52" s="2" t="s">
        <v>125</v>
      </c>
      <c r="N52" s="2" t="s">
        <v>126</v>
      </c>
      <c r="O52" s="27">
        <v>16</v>
      </c>
      <c r="P52" s="2" t="s">
        <v>183</v>
      </c>
      <c r="Q52" s="2" t="s">
        <v>244</v>
      </c>
      <c r="S52" s="26">
        <v>19</v>
      </c>
      <c r="T52" s="2" t="s">
        <v>83</v>
      </c>
      <c r="U52" s="1">
        <v>1</v>
      </c>
      <c r="V52" s="2" t="s">
        <v>128</v>
      </c>
      <c r="W52" s="2" t="s">
        <v>217</v>
      </c>
      <c r="X52" s="27">
        <v>65</v>
      </c>
      <c r="Y52" s="29">
        <v>22000</v>
      </c>
      <c r="Z52" s="2" t="s">
        <v>450</v>
      </c>
      <c r="AB52" s="2" t="s">
        <v>451</v>
      </c>
      <c r="AC52" s="2" t="s">
        <v>88</v>
      </c>
      <c r="AD52" s="26">
        <v>60</v>
      </c>
      <c r="AF52" s="2" t="s">
        <v>90</v>
      </c>
      <c r="AH52" s="2" t="s">
        <v>91</v>
      </c>
      <c r="AI52" s="1" t="s">
        <v>452</v>
      </c>
      <c r="AJ52" s="2" t="s">
        <v>470</v>
      </c>
      <c r="AK52" s="2" t="s">
        <v>471</v>
      </c>
      <c r="AL52" s="2" t="s">
        <v>94</v>
      </c>
      <c r="AM52" s="2" t="s">
        <v>95</v>
      </c>
      <c r="AN52" s="2" t="s">
        <v>96</v>
      </c>
      <c r="AO52" s="2" t="s">
        <v>472</v>
      </c>
      <c r="AP52" s="1" t="s">
        <v>473</v>
      </c>
      <c r="AQ52" s="2" t="s">
        <v>478</v>
      </c>
      <c r="AR52" s="2" t="s">
        <v>479</v>
      </c>
      <c r="AS52" s="2" t="s">
        <v>480</v>
      </c>
      <c r="AT52" s="2" t="s">
        <v>71</v>
      </c>
      <c r="AV52" s="12">
        <v>6.8</v>
      </c>
      <c r="AW52" s="12">
        <v>8.0169208807473797</v>
      </c>
      <c r="AX52" s="13">
        <v>12</v>
      </c>
      <c r="AY52" s="12">
        <v>2.3142857142857101</v>
      </c>
      <c r="AZ52" s="12"/>
      <c r="BA52" s="12">
        <v>6.6</v>
      </c>
      <c r="BB52" s="12">
        <v>4.0579476063042303</v>
      </c>
      <c r="BC52" s="13">
        <v>12</v>
      </c>
      <c r="BD52" s="12">
        <v>1.1714285714285699</v>
      </c>
    </row>
    <row r="53" spans="1:60" x14ac:dyDescent="0.2">
      <c r="A53" s="1" t="s">
        <v>441</v>
      </c>
      <c r="B53" s="2" t="s">
        <v>442</v>
      </c>
      <c r="C53" s="2" t="s">
        <v>443</v>
      </c>
      <c r="D53" s="49" t="s">
        <v>468</v>
      </c>
      <c r="E53" s="2" t="s">
        <v>481</v>
      </c>
      <c r="F53" s="2" t="s">
        <v>71</v>
      </c>
      <c r="G53" s="2" t="s">
        <v>446</v>
      </c>
      <c r="H53" s="1" t="s">
        <v>447</v>
      </c>
      <c r="I53" s="1" t="s">
        <v>448</v>
      </c>
      <c r="J53" s="2" t="s">
        <v>449</v>
      </c>
      <c r="L53" s="5" t="s">
        <v>77</v>
      </c>
      <c r="M53" s="2" t="s">
        <v>125</v>
      </c>
      <c r="N53" s="2" t="s">
        <v>126</v>
      </c>
      <c r="O53" s="27">
        <v>16</v>
      </c>
      <c r="P53" s="2" t="s">
        <v>183</v>
      </c>
      <c r="Q53" s="2" t="s">
        <v>244</v>
      </c>
      <c r="S53" s="26">
        <v>19</v>
      </c>
      <c r="T53" s="2" t="s">
        <v>83</v>
      </c>
      <c r="U53" s="1">
        <v>1</v>
      </c>
      <c r="V53" s="2" t="s">
        <v>128</v>
      </c>
      <c r="W53" s="2" t="s">
        <v>217</v>
      </c>
      <c r="X53" s="27">
        <v>65</v>
      </c>
      <c r="Y53" s="29">
        <v>22000</v>
      </c>
      <c r="Z53" s="2" t="s">
        <v>450</v>
      </c>
      <c r="AB53" s="2" t="s">
        <v>451</v>
      </c>
      <c r="AC53" s="2" t="s">
        <v>88</v>
      </c>
      <c r="AD53" s="26">
        <v>60</v>
      </c>
      <c r="AF53" s="2" t="s">
        <v>90</v>
      </c>
      <c r="AH53" s="2" t="s">
        <v>91</v>
      </c>
      <c r="AI53" s="1" t="s">
        <v>452</v>
      </c>
      <c r="AJ53" s="2" t="s">
        <v>470</v>
      </c>
      <c r="AK53" s="2" t="s">
        <v>471</v>
      </c>
      <c r="AL53" s="2" t="s">
        <v>94</v>
      </c>
      <c r="AM53" s="2" t="s">
        <v>95</v>
      </c>
      <c r="AN53" s="2" t="s">
        <v>96</v>
      </c>
      <c r="AO53" s="2" t="s">
        <v>472</v>
      </c>
      <c r="AP53" s="1" t="s">
        <v>473</v>
      </c>
      <c r="AQ53" s="2" t="s">
        <v>482</v>
      </c>
      <c r="AR53" s="2" t="s">
        <v>483</v>
      </c>
      <c r="AS53" s="2" t="s">
        <v>484</v>
      </c>
      <c r="AT53" s="2" t="s">
        <v>71</v>
      </c>
      <c r="AV53" s="12">
        <v>6.45714285714286</v>
      </c>
      <c r="AW53" s="12">
        <v>7.7199978851641404</v>
      </c>
      <c r="AX53" s="13">
        <v>12</v>
      </c>
      <c r="AY53" s="12">
        <v>2.22857142857143</v>
      </c>
      <c r="AZ53" s="12"/>
      <c r="BA53" s="12">
        <v>13.2</v>
      </c>
      <c r="BB53" s="12">
        <v>15.4399957703283</v>
      </c>
      <c r="BC53" s="13">
        <v>12</v>
      </c>
      <c r="BD53" s="12">
        <v>4.45714285714286</v>
      </c>
    </row>
    <row r="54" spans="1:60" x14ac:dyDescent="0.2">
      <c r="A54" s="1" t="s">
        <v>485</v>
      </c>
      <c r="B54" s="2" t="s">
        <v>486</v>
      </c>
      <c r="C54" s="2" t="s">
        <v>487</v>
      </c>
      <c r="D54" s="49" t="s">
        <v>488</v>
      </c>
      <c r="E54" s="2" t="s">
        <v>489</v>
      </c>
      <c r="F54" s="2" t="s">
        <v>71</v>
      </c>
      <c r="G54" s="1" t="s">
        <v>72</v>
      </c>
      <c r="H54" s="1" t="s">
        <v>490</v>
      </c>
      <c r="I54" s="1" t="s">
        <v>491</v>
      </c>
      <c r="J54" s="2" t="s">
        <v>492</v>
      </c>
      <c r="L54" s="5" t="s">
        <v>493</v>
      </c>
      <c r="M54" s="2" t="s">
        <v>494</v>
      </c>
      <c r="N54" s="2" t="s">
        <v>495</v>
      </c>
      <c r="O54" s="28">
        <v>16</v>
      </c>
      <c r="P54" s="2" t="s">
        <v>183</v>
      </c>
      <c r="Q54" s="2" t="s">
        <v>244</v>
      </c>
      <c r="S54" s="26">
        <v>21</v>
      </c>
      <c r="T54" s="2" t="s">
        <v>283</v>
      </c>
      <c r="V54" s="1" t="s">
        <v>496</v>
      </c>
      <c r="W54" s="2" t="s">
        <v>217</v>
      </c>
      <c r="X54" s="27">
        <v>50</v>
      </c>
      <c r="Y54" s="27" t="s">
        <v>285</v>
      </c>
      <c r="Z54" s="2" t="s">
        <v>86</v>
      </c>
      <c r="AC54" s="2" t="s">
        <v>288</v>
      </c>
      <c r="AD54" s="26">
        <v>60</v>
      </c>
      <c r="AE54" s="1" t="s">
        <v>497</v>
      </c>
      <c r="AF54" s="2" t="s">
        <v>90</v>
      </c>
      <c r="AH54" s="2" t="s">
        <v>416</v>
      </c>
      <c r="AI54" s="1" t="s">
        <v>430</v>
      </c>
      <c r="AK54" s="2" t="s">
        <v>498</v>
      </c>
      <c r="AL54" s="2" t="s">
        <v>134</v>
      </c>
      <c r="AM54" s="2" t="s">
        <v>135</v>
      </c>
      <c r="AN54" s="2" t="s">
        <v>499</v>
      </c>
      <c r="AO54" s="2" t="s">
        <v>500</v>
      </c>
      <c r="AP54" s="1" t="s">
        <v>501</v>
      </c>
      <c r="AQ54" s="1" t="s">
        <v>502</v>
      </c>
      <c r="AR54" s="1" t="s">
        <v>503</v>
      </c>
      <c r="AS54" s="1" t="s">
        <v>504</v>
      </c>
      <c r="AT54" s="2" t="s">
        <v>102</v>
      </c>
      <c r="AV54" s="12">
        <v>71.598877980364705</v>
      </c>
      <c r="AW54" s="12">
        <v>9.7202337884125303</v>
      </c>
      <c r="AX54" s="13">
        <v>10</v>
      </c>
      <c r="AY54" s="12">
        <v>3.07380781607108</v>
      </c>
      <c r="AZ54" s="12"/>
      <c r="BA54" s="12">
        <v>40.480364656381497</v>
      </c>
      <c r="BB54" s="12">
        <v>13.4935810781756</v>
      </c>
      <c r="BC54" s="13">
        <v>14</v>
      </c>
      <c r="BD54" s="12">
        <v>3.6063112367991899</v>
      </c>
      <c r="BG54" s="1" t="s">
        <v>505</v>
      </c>
      <c r="BH54" s="14">
        <v>8.3333333333333329E-2</v>
      </c>
    </row>
    <row r="55" spans="1:60" x14ac:dyDescent="0.2">
      <c r="A55" s="1" t="s">
        <v>485</v>
      </c>
      <c r="B55" s="2" t="s">
        <v>486</v>
      </c>
      <c r="C55" s="2" t="s">
        <v>487</v>
      </c>
      <c r="D55" s="49" t="s">
        <v>506</v>
      </c>
      <c r="E55" s="2" t="s">
        <v>507</v>
      </c>
      <c r="F55" s="2" t="s">
        <v>71</v>
      </c>
      <c r="G55" s="1" t="s">
        <v>72</v>
      </c>
      <c r="H55" s="1" t="s">
        <v>490</v>
      </c>
      <c r="I55" s="1" t="s">
        <v>491</v>
      </c>
      <c r="J55" s="2" t="s">
        <v>492</v>
      </c>
      <c r="L55" s="5" t="s">
        <v>493</v>
      </c>
      <c r="M55" s="2" t="s">
        <v>494</v>
      </c>
      <c r="N55" s="2" t="s">
        <v>495</v>
      </c>
      <c r="O55" s="28">
        <v>16</v>
      </c>
      <c r="P55" s="2" t="s">
        <v>183</v>
      </c>
      <c r="Q55" s="2" t="s">
        <v>244</v>
      </c>
      <c r="S55" s="26">
        <v>21</v>
      </c>
      <c r="T55" s="2" t="s">
        <v>283</v>
      </c>
      <c r="V55" s="1" t="s">
        <v>496</v>
      </c>
      <c r="W55" s="2" t="s">
        <v>217</v>
      </c>
      <c r="X55" s="27">
        <v>50</v>
      </c>
      <c r="Y55" s="27" t="s">
        <v>285</v>
      </c>
      <c r="Z55" s="2" t="s">
        <v>86</v>
      </c>
      <c r="AC55" s="2" t="s">
        <v>288</v>
      </c>
      <c r="AD55" s="26">
        <v>60</v>
      </c>
      <c r="AE55" s="1" t="s">
        <v>497</v>
      </c>
      <c r="AF55" s="2" t="s">
        <v>90</v>
      </c>
      <c r="AH55" s="2" t="s">
        <v>91</v>
      </c>
      <c r="AI55" s="1" t="s">
        <v>185</v>
      </c>
      <c r="AK55" s="2" t="s">
        <v>375</v>
      </c>
      <c r="AL55" s="2" t="s">
        <v>107</v>
      </c>
      <c r="AM55" s="2" t="s">
        <v>107</v>
      </c>
      <c r="AN55" s="2" t="s">
        <v>499</v>
      </c>
      <c r="AO55" s="2" t="s">
        <v>508</v>
      </c>
      <c r="AP55" s="1" t="s">
        <v>509</v>
      </c>
      <c r="AQ55" s="1" t="s">
        <v>510</v>
      </c>
      <c r="AR55" s="1" t="s">
        <v>511</v>
      </c>
      <c r="AS55" s="1" t="s">
        <v>512</v>
      </c>
      <c r="AT55" s="2" t="s">
        <v>71</v>
      </c>
      <c r="AV55" s="12">
        <v>10.554448871181901</v>
      </c>
      <c r="AW55" s="12">
        <v>6.1717889263098904</v>
      </c>
      <c r="AX55" s="13">
        <v>10</v>
      </c>
      <c r="AY55" s="12">
        <v>1.9516910244944301</v>
      </c>
      <c r="AZ55" s="12"/>
      <c r="BA55" s="12">
        <v>6.3977423638778204</v>
      </c>
      <c r="BB55" s="12">
        <v>3.1701886034656299</v>
      </c>
      <c r="BC55" s="13">
        <v>14</v>
      </c>
      <c r="BD55" s="12">
        <v>0.84726854325883905</v>
      </c>
    </row>
    <row r="56" spans="1:60" x14ac:dyDescent="0.2">
      <c r="A56" s="1" t="s">
        <v>485</v>
      </c>
      <c r="B56" s="2" t="s">
        <v>486</v>
      </c>
      <c r="C56" s="2" t="s">
        <v>487</v>
      </c>
      <c r="D56" s="49" t="s">
        <v>513</v>
      </c>
      <c r="E56" s="2" t="s">
        <v>514</v>
      </c>
      <c r="F56" s="2" t="s">
        <v>71</v>
      </c>
      <c r="G56" s="1" t="s">
        <v>72</v>
      </c>
      <c r="H56" s="1" t="s">
        <v>490</v>
      </c>
      <c r="I56" s="1" t="s">
        <v>491</v>
      </c>
      <c r="J56" s="2" t="s">
        <v>492</v>
      </c>
      <c r="L56" s="5" t="s">
        <v>493</v>
      </c>
      <c r="M56" s="2" t="s">
        <v>494</v>
      </c>
      <c r="N56" s="2" t="s">
        <v>495</v>
      </c>
      <c r="O56" s="28">
        <v>16</v>
      </c>
      <c r="P56" s="2" t="s">
        <v>183</v>
      </c>
      <c r="Q56" s="2" t="s">
        <v>244</v>
      </c>
      <c r="S56" s="26">
        <v>21</v>
      </c>
      <c r="T56" s="2" t="s">
        <v>283</v>
      </c>
      <c r="V56" s="1" t="s">
        <v>496</v>
      </c>
      <c r="W56" s="2" t="s">
        <v>217</v>
      </c>
      <c r="X56" s="27">
        <v>50</v>
      </c>
      <c r="Y56" s="27" t="s">
        <v>285</v>
      </c>
      <c r="Z56" s="2" t="s">
        <v>86</v>
      </c>
      <c r="AC56" s="2" t="s">
        <v>288</v>
      </c>
      <c r="AD56" s="26">
        <v>60</v>
      </c>
      <c r="AE56" s="1" t="s">
        <v>497</v>
      </c>
      <c r="AF56" s="2" t="s">
        <v>90</v>
      </c>
      <c r="AH56" s="2" t="s">
        <v>91</v>
      </c>
      <c r="AI56" s="1" t="s">
        <v>185</v>
      </c>
      <c r="AK56" s="2" t="s">
        <v>220</v>
      </c>
      <c r="AL56" s="2" t="s">
        <v>94</v>
      </c>
      <c r="AM56" s="2" t="s">
        <v>95</v>
      </c>
      <c r="AN56" s="2" t="s">
        <v>499</v>
      </c>
      <c r="AO56" s="2" t="s">
        <v>515</v>
      </c>
      <c r="AP56" s="1" t="s">
        <v>516</v>
      </c>
      <c r="AQ56" s="1" t="s">
        <v>517</v>
      </c>
      <c r="AR56" s="1" t="s">
        <v>518</v>
      </c>
      <c r="AS56" s="1" t="s">
        <v>519</v>
      </c>
      <c r="AT56" s="2" t="s">
        <v>71</v>
      </c>
      <c r="AV56" s="12">
        <v>71.656785243741794</v>
      </c>
      <c r="AW56" s="12">
        <v>17.5003458616861</v>
      </c>
      <c r="AX56" s="13">
        <v>10</v>
      </c>
      <c r="AY56" s="12">
        <v>5.5340952763630202</v>
      </c>
      <c r="AZ56" s="12"/>
      <c r="BA56" s="12">
        <v>25.9881422924901</v>
      </c>
      <c r="BB56" s="12">
        <v>11.1451085147916</v>
      </c>
      <c r="BC56" s="13">
        <v>14</v>
      </c>
      <c r="BD56" s="12">
        <v>2.9786555429119499</v>
      </c>
    </row>
    <row r="57" spans="1:60" x14ac:dyDescent="0.2">
      <c r="A57" s="1" t="s">
        <v>485</v>
      </c>
      <c r="B57" s="2" t="s">
        <v>486</v>
      </c>
      <c r="C57" s="2" t="s">
        <v>487</v>
      </c>
      <c r="D57" s="49" t="s">
        <v>520</v>
      </c>
      <c r="E57" s="2" t="s">
        <v>521</v>
      </c>
      <c r="F57" s="2" t="s">
        <v>71</v>
      </c>
      <c r="G57" s="1" t="s">
        <v>72</v>
      </c>
      <c r="H57" s="1" t="s">
        <v>490</v>
      </c>
      <c r="I57" s="1" t="s">
        <v>491</v>
      </c>
      <c r="J57" s="2" t="s">
        <v>492</v>
      </c>
      <c r="L57" s="5" t="s">
        <v>493</v>
      </c>
      <c r="M57" s="2" t="s">
        <v>494</v>
      </c>
      <c r="N57" s="2" t="s">
        <v>495</v>
      </c>
      <c r="O57" s="28">
        <v>16</v>
      </c>
      <c r="P57" s="2" t="s">
        <v>183</v>
      </c>
      <c r="Q57" s="2" t="s">
        <v>244</v>
      </c>
      <c r="S57" s="26">
        <v>21</v>
      </c>
      <c r="T57" s="2" t="s">
        <v>283</v>
      </c>
      <c r="V57" s="1" t="s">
        <v>496</v>
      </c>
      <c r="W57" s="2" t="s">
        <v>217</v>
      </c>
      <c r="X57" s="27">
        <v>50</v>
      </c>
      <c r="Y57" s="27" t="s">
        <v>285</v>
      </c>
      <c r="Z57" s="2" t="s">
        <v>86</v>
      </c>
      <c r="AC57" s="2" t="s">
        <v>288</v>
      </c>
      <c r="AD57" s="26">
        <v>60</v>
      </c>
      <c r="AE57" s="1" t="s">
        <v>497</v>
      </c>
      <c r="AF57" s="2" t="s">
        <v>90</v>
      </c>
      <c r="AH57" s="2" t="s">
        <v>91</v>
      </c>
      <c r="AI57" s="1" t="s">
        <v>131</v>
      </c>
      <c r="AK57" s="2" t="s">
        <v>146</v>
      </c>
      <c r="AL57" s="2" t="s">
        <v>94</v>
      </c>
      <c r="AM57" s="2" t="s">
        <v>95</v>
      </c>
      <c r="AN57" s="2" t="s">
        <v>499</v>
      </c>
      <c r="AO57" s="2" t="s">
        <v>522</v>
      </c>
      <c r="AP57" s="1" t="s">
        <v>523</v>
      </c>
      <c r="AQ57" s="1" t="s">
        <v>524</v>
      </c>
      <c r="AR57" s="1" t="s">
        <v>525</v>
      </c>
      <c r="AS57" s="1" t="s">
        <v>526</v>
      </c>
      <c r="AT57" s="2" t="s">
        <v>71</v>
      </c>
      <c r="AV57" s="12">
        <v>69.169960474308297</v>
      </c>
      <c r="AW57" s="12">
        <v>20.839384176010501</v>
      </c>
      <c r="AX57" s="13">
        <v>10</v>
      </c>
      <c r="AY57" s="12">
        <v>6.58999190314643</v>
      </c>
      <c r="AZ57" s="12"/>
      <c r="BA57" s="12">
        <v>25.419960474308301</v>
      </c>
      <c r="BB57" s="12">
        <v>9.5550038083887099</v>
      </c>
      <c r="BC57" s="13">
        <v>14</v>
      </c>
      <c r="BD57" s="12">
        <v>2.5536821843079101</v>
      </c>
    </row>
    <row r="58" spans="1:60" x14ac:dyDescent="0.2">
      <c r="A58" s="1" t="s">
        <v>485</v>
      </c>
      <c r="B58" s="2" t="s">
        <v>486</v>
      </c>
      <c r="C58" s="2" t="s">
        <v>487</v>
      </c>
      <c r="D58" s="49" t="s">
        <v>527</v>
      </c>
      <c r="E58" s="2" t="s">
        <v>528</v>
      </c>
      <c r="F58" s="2" t="s">
        <v>71</v>
      </c>
      <c r="G58" s="1" t="s">
        <v>72</v>
      </c>
      <c r="H58" s="1" t="s">
        <v>490</v>
      </c>
      <c r="I58" s="1" t="s">
        <v>491</v>
      </c>
      <c r="J58" s="2" t="s">
        <v>492</v>
      </c>
      <c r="L58" s="5" t="s">
        <v>493</v>
      </c>
      <c r="M58" s="2" t="s">
        <v>494</v>
      </c>
      <c r="N58" s="2" t="s">
        <v>495</v>
      </c>
      <c r="O58" s="28">
        <v>16</v>
      </c>
      <c r="P58" s="2" t="s">
        <v>183</v>
      </c>
      <c r="Q58" s="2" t="s">
        <v>244</v>
      </c>
      <c r="S58" s="26">
        <v>21</v>
      </c>
      <c r="T58" s="2" t="s">
        <v>283</v>
      </c>
      <c r="V58" s="1" t="s">
        <v>496</v>
      </c>
      <c r="W58" s="2" t="s">
        <v>217</v>
      </c>
      <c r="X58" s="27">
        <v>50</v>
      </c>
      <c r="Y58" s="27" t="s">
        <v>285</v>
      </c>
      <c r="Z58" s="2" t="s">
        <v>86</v>
      </c>
      <c r="AC58" s="2" t="s">
        <v>288</v>
      </c>
      <c r="AD58" s="26">
        <v>60</v>
      </c>
      <c r="AE58" s="1" t="s">
        <v>497</v>
      </c>
      <c r="AF58" s="2" t="s">
        <v>90</v>
      </c>
      <c r="AH58" s="2" t="s">
        <v>91</v>
      </c>
      <c r="AI58" s="1" t="s">
        <v>131</v>
      </c>
      <c r="AK58" s="2" t="s">
        <v>133</v>
      </c>
      <c r="AL58" s="2" t="s">
        <v>107</v>
      </c>
      <c r="AM58" s="2" t="s">
        <v>107</v>
      </c>
      <c r="AN58" s="2" t="s">
        <v>499</v>
      </c>
      <c r="AO58" s="2" t="s">
        <v>529</v>
      </c>
      <c r="AP58" s="1" t="s">
        <v>530</v>
      </c>
      <c r="AQ58" s="1" t="s">
        <v>531</v>
      </c>
      <c r="AR58" s="1" t="s">
        <v>532</v>
      </c>
      <c r="AS58" s="1" t="s">
        <v>533</v>
      </c>
      <c r="AT58" s="2" t="s">
        <v>71</v>
      </c>
      <c r="AV58" s="12">
        <v>13.2716575716235</v>
      </c>
      <c r="AW58" s="12">
        <v>5.4377261148911602</v>
      </c>
      <c r="AX58" s="13">
        <v>10</v>
      </c>
      <c r="AY58" s="12">
        <v>1.7195599815234499</v>
      </c>
      <c r="AZ58" s="12"/>
      <c r="BA58" s="12">
        <v>8.6843451568894992</v>
      </c>
      <c r="BB58" s="12">
        <v>4.2250525529276404</v>
      </c>
      <c r="BC58" s="13">
        <v>14</v>
      </c>
      <c r="BD58" s="12">
        <v>1.1291927924406999</v>
      </c>
    </row>
    <row r="59" spans="1:60" x14ac:dyDescent="0.2">
      <c r="A59" s="1" t="s">
        <v>534</v>
      </c>
      <c r="B59" s="2" t="s">
        <v>442</v>
      </c>
      <c r="C59" s="2" t="s">
        <v>535</v>
      </c>
      <c r="D59" s="49" t="s">
        <v>536</v>
      </c>
      <c r="E59" s="2" t="s">
        <v>537</v>
      </c>
      <c r="F59" s="2" t="s">
        <v>71</v>
      </c>
      <c r="G59" s="1" t="s">
        <v>538</v>
      </c>
      <c r="H59" s="1" t="s">
        <v>539</v>
      </c>
      <c r="I59" s="1" t="s">
        <v>540</v>
      </c>
      <c r="J59" s="2" t="s">
        <v>541</v>
      </c>
      <c r="L59" s="5" t="s">
        <v>493</v>
      </c>
      <c r="M59" s="2" t="s">
        <v>494</v>
      </c>
      <c r="N59" s="2" t="s">
        <v>542</v>
      </c>
      <c r="P59" s="2" t="s">
        <v>80</v>
      </c>
      <c r="Q59" s="2" t="s">
        <v>543</v>
      </c>
      <c r="R59" s="2" t="s">
        <v>544</v>
      </c>
      <c r="S59" s="26">
        <v>9</v>
      </c>
      <c r="T59" s="2" t="s">
        <v>83</v>
      </c>
      <c r="U59" s="1">
        <v>0.25</v>
      </c>
      <c r="V59" s="2" t="s">
        <v>180</v>
      </c>
      <c r="W59" s="2" t="s">
        <v>545</v>
      </c>
      <c r="X59" s="27">
        <v>90</v>
      </c>
      <c r="Z59" s="2" t="s">
        <v>86</v>
      </c>
      <c r="AB59" s="1" t="s">
        <v>546</v>
      </c>
      <c r="AC59" s="2" t="s">
        <v>88</v>
      </c>
      <c r="AD59" s="26">
        <v>35</v>
      </c>
      <c r="AE59" s="2" t="s">
        <v>547</v>
      </c>
      <c r="AF59" s="2" t="s">
        <v>90</v>
      </c>
      <c r="AH59" s="2" t="s">
        <v>91</v>
      </c>
      <c r="AI59" s="1" t="s">
        <v>131</v>
      </c>
      <c r="AJ59" s="1" t="s">
        <v>548</v>
      </c>
      <c r="AK59" s="2" t="s">
        <v>549</v>
      </c>
      <c r="AL59" s="2" t="s">
        <v>134</v>
      </c>
      <c r="AM59" s="2" t="s">
        <v>135</v>
      </c>
      <c r="AN59" s="2" t="s">
        <v>86</v>
      </c>
      <c r="AO59" s="2" t="s">
        <v>550</v>
      </c>
      <c r="AP59" s="2" t="s">
        <v>551</v>
      </c>
      <c r="AQ59" s="1" t="s">
        <v>552</v>
      </c>
      <c r="AR59" s="1" t="s">
        <v>553</v>
      </c>
      <c r="AS59" s="3" t="s">
        <v>552</v>
      </c>
      <c r="AT59" s="2" t="s">
        <v>71</v>
      </c>
      <c r="AV59" s="12">
        <v>27.158469945355201</v>
      </c>
      <c r="AW59" s="12">
        <v>13.807414287293801</v>
      </c>
      <c r="AX59" s="13">
        <v>5</v>
      </c>
      <c r="AY59" s="12">
        <v>6.1748633879781396</v>
      </c>
      <c r="AZ59" s="12"/>
      <c r="BA59" s="12">
        <v>24.153005464480898</v>
      </c>
      <c r="BB59" s="12">
        <v>7.9423179528680796</v>
      </c>
      <c r="BC59" s="13">
        <v>5</v>
      </c>
      <c r="BD59" s="12">
        <v>3.5519125683060002</v>
      </c>
    </row>
    <row r="60" spans="1:60" x14ac:dyDescent="0.2">
      <c r="A60" s="1" t="s">
        <v>534</v>
      </c>
      <c r="B60" s="2" t="s">
        <v>486</v>
      </c>
      <c r="C60" s="2" t="s">
        <v>554</v>
      </c>
      <c r="D60" s="49" t="s">
        <v>536</v>
      </c>
      <c r="E60" s="2" t="s">
        <v>555</v>
      </c>
      <c r="F60" s="2" t="s">
        <v>71</v>
      </c>
      <c r="G60" s="1" t="s">
        <v>538</v>
      </c>
      <c r="H60" s="1" t="s">
        <v>539</v>
      </c>
      <c r="I60" s="1" t="s">
        <v>540</v>
      </c>
      <c r="J60" s="2" t="s">
        <v>541</v>
      </c>
      <c r="L60" s="5" t="s">
        <v>493</v>
      </c>
      <c r="M60" s="2" t="s">
        <v>494</v>
      </c>
      <c r="N60" s="2" t="s">
        <v>542</v>
      </c>
      <c r="P60" s="2" t="s">
        <v>80</v>
      </c>
      <c r="Q60" s="2" t="s">
        <v>543</v>
      </c>
      <c r="R60" s="2" t="s">
        <v>544</v>
      </c>
      <c r="S60" s="26">
        <v>9</v>
      </c>
      <c r="T60" s="2" t="s">
        <v>83</v>
      </c>
      <c r="U60" s="1">
        <v>0.25</v>
      </c>
      <c r="V60" s="2" t="s">
        <v>180</v>
      </c>
      <c r="W60" s="2" t="s">
        <v>545</v>
      </c>
      <c r="X60" s="27">
        <v>90</v>
      </c>
      <c r="Z60" s="2" t="s">
        <v>86</v>
      </c>
      <c r="AB60" s="1" t="s">
        <v>546</v>
      </c>
      <c r="AC60" s="2" t="s">
        <v>288</v>
      </c>
      <c r="AD60" s="26">
        <v>35</v>
      </c>
      <c r="AE60" s="2" t="s">
        <v>547</v>
      </c>
      <c r="AF60" s="2" t="s">
        <v>90</v>
      </c>
      <c r="AH60" s="2" t="s">
        <v>91</v>
      </c>
      <c r="AI60" s="1" t="s">
        <v>131</v>
      </c>
      <c r="AK60" s="2" t="s">
        <v>549</v>
      </c>
      <c r="AL60" s="2" t="s">
        <v>134</v>
      </c>
      <c r="AM60" s="2" t="s">
        <v>135</v>
      </c>
      <c r="AN60" s="2" t="s">
        <v>86</v>
      </c>
      <c r="AO60" s="2" t="s">
        <v>550</v>
      </c>
      <c r="AP60" s="2" t="s">
        <v>551</v>
      </c>
      <c r="AQ60" s="1" t="s">
        <v>556</v>
      </c>
      <c r="AR60" s="1" t="s">
        <v>557</v>
      </c>
      <c r="AS60" s="3" t="s">
        <v>556</v>
      </c>
      <c r="AT60" s="2" t="s">
        <v>71</v>
      </c>
      <c r="AV60" s="12">
        <v>18.688524590163901</v>
      </c>
      <c r="AW60" s="12">
        <v>6.8426123901633096</v>
      </c>
      <c r="AX60" s="13">
        <v>5</v>
      </c>
      <c r="AY60" s="12">
        <v>3.0601092896174902</v>
      </c>
      <c r="AZ60" s="12"/>
      <c r="BA60" s="12">
        <v>29.2349726775956</v>
      </c>
      <c r="BB60" s="12">
        <v>13.807414287293801</v>
      </c>
      <c r="BC60" s="13">
        <v>5</v>
      </c>
      <c r="BD60" s="12">
        <v>6.1748633879781396</v>
      </c>
    </row>
    <row r="61" spans="1:60" x14ac:dyDescent="0.2">
      <c r="A61" s="1" t="s">
        <v>534</v>
      </c>
      <c r="B61" s="2" t="s">
        <v>442</v>
      </c>
      <c r="C61" s="2" t="s">
        <v>535</v>
      </c>
      <c r="D61" s="49" t="s">
        <v>558</v>
      </c>
      <c r="E61" s="2" t="s">
        <v>559</v>
      </c>
      <c r="F61" s="2" t="s">
        <v>71</v>
      </c>
      <c r="G61" s="1" t="s">
        <v>538</v>
      </c>
      <c r="H61" s="1" t="s">
        <v>539</v>
      </c>
      <c r="I61" s="1" t="s">
        <v>540</v>
      </c>
      <c r="J61" s="2" t="s">
        <v>541</v>
      </c>
      <c r="L61" s="5" t="s">
        <v>493</v>
      </c>
      <c r="M61" s="2" t="s">
        <v>494</v>
      </c>
      <c r="N61" s="2" t="s">
        <v>542</v>
      </c>
      <c r="P61" s="2" t="s">
        <v>80</v>
      </c>
      <c r="Q61" s="2" t="s">
        <v>543</v>
      </c>
      <c r="R61" s="2" t="s">
        <v>544</v>
      </c>
      <c r="S61" s="26">
        <v>9</v>
      </c>
      <c r="T61" s="2" t="s">
        <v>83</v>
      </c>
      <c r="U61" s="1">
        <v>0.25</v>
      </c>
      <c r="V61" s="2" t="s">
        <v>180</v>
      </c>
      <c r="W61" s="2" t="s">
        <v>545</v>
      </c>
      <c r="X61" s="27">
        <v>90</v>
      </c>
      <c r="Z61" s="2" t="s">
        <v>86</v>
      </c>
      <c r="AB61" s="1" t="s">
        <v>546</v>
      </c>
      <c r="AC61" s="2" t="s">
        <v>88</v>
      </c>
      <c r="AD61" s="26">
        <v>35</v>
      </c>
      <c r="AE61" s="2" t="s">
        <v>547</v>
      </c>
      <c r="AF61" s="2" t="s">
        <v>90</v>
      </c>
      <c r="AH61" s="2" t="s">
        <v>91</v>
      </c>
      <c r="AI61" s="1" t="s">
        <v>131</v>
      </c>
      <c r="AK61" s="2" t="s">
        <v>560</v>
      </c>
      <c r="AL61" s="2" t="s">
        <v>134</v>
      </c>
      <c r="AM61" s="2" t="s">
        <v>135</v>
      </c>
      <c r="AN61" s="2" t="s">
        <v>86</v>
      </c>
      <c r="AO61" s="2" t="s">
        <v>561</v>
      </c>
      <c r="AP61" s="1" t="s">
        <v>562</v>
      </c>
      <c r="AQ61" s="1" t="s">
        <v>563</v>
      </c>
      <c r="AR61" s="1" t="s">
        <v>564</v>
      </c>
      <c r="AS61" s="3" t="s">
        <v>563</v>
      </c>
      <c r="AT61" s="2" t="s">
        <v>71</v>
      </c>
      <c r="AV61" s="12">
        <v>39.613259668508299</v>
      </c>
      <c r="AW61" s="12">
        <v>9.6360940466841907</v>
      </c>
      <c r="AX61" s="13">
        <v>5</v>
      </c>
      <c r="AY61" s="12">
        <v>4.3093922651933703</v>
      </c>
      <c r="AZ61" s="12"/>
      <c r="BA61" s="12">
        <v>46.657458563535897</v>
      </c>
      <c r="BB61" s="12">
        <v>7.7829990377064604</v>
      </c>
      <c r="BC61" s="13">
        <v>5</v>
      </c>
      <c r="BD61" s="12">
        <v>3.4806629834254199</v>
      </c>
    </row>
    <row r="62" spans="1:60" x14ac:dyDescent="0.2">
      <c r="A62" s="1" t="s">
        <v>534</v>
      </c>
      <c r="B62" s="2" t="s">
        <v>486</v>
      </c>
      <c r="C62" s="2" t="s">
        <v>554</v>
      </c>
      <c r="D62" s="49" t="s">
        <v>558</v>
      </c>
      <c r="E62" s="2" t="s">
        <v>565</v>
      </c>
      <c r="F62" s="2" t="s">
        <v>71</v>
      </c>
      <c r="G62" s="1" t="s">
        <v>538</v>
      </c>
      <c r="H62" s="1" t="s">
        <v>539</v>
      </c>
      <c r="I62" s="1" t="s">
        <v>540</v>
      </c>
      <c r="J62" s="2" t="s">
        <v>541</v>
      </c>
      <c r="L62" s="5" t="s">
        <v>493</v>
      </c>
      <c r="M62" s="2" t="s">
        <v>494</v>
      </c>
      <c r="N62" s="2" t="s">
        <v>542</v>
      </c>
      <c r="P62" s="2" t="s">
        <v>80</v>
      </c>
      <c r="Q62" s="2" t="s">
        <v>543</v>
      </c>
      <c r="R62" s="2" t="s">
        <v>544</v>
      </c>
      <c r="S62" s="26">
        <v>9</v>
      </c>
      <c r="T62" s="2" t="s">
        <v>83</v>
      </c>
      <c r="U62" s="1">
        <v>0.25</v>
      </c>
      <c r="V62" s="2" t="s">
        <v>180</v>
      </c>
      <c r="W62" s="2" t="s">
        <v>545</v>
      </c>
      <c r="X62" s="27">
        <v>90</v>
      </c>
      <c r="Z62" s="2" t="s">
        <v>86</v>
      </c>
      <c r="AB62" s="1" t="s">
        <v>546</v>
      </c>
      <c r="AC62" s="2" t="s">
        <v>288</v>
      </c>
      <c r="AD62" s="26">
        <v>35</v>
      </c>
      <c r="AE62" s="2" t="s">
        <v>547</v>
      </c>
      <c r="AF62" s="2" t="s">
        <v>90</v>
      </c>
      <c r="AH62" s="2" t="s">
        <v>91</v>
      </c>
      <c r="AI62" s="1" t="s">
        <v>131</v>
      </c>
      <c r="AK62" s="2" t="s">
        <v>560</v>
      </c>
      <c r="AL62" s="2" t="s">
        <v>134</v>
      </c>
      <c r="AM62" s="2" t="s">
        <v>135</v>
      </c>
      <c r="AN62" s="2" t="s">
        <v>86</v>
      </c>
      <c r="AO62" s="2" t="s">
        <v>561</v>
      </c>
      <c r="AP62" s="1" t="s">
        <v>562</v>
      </c>
      <c r="AQ62" s="1" t="s">
        <v>566</v>
      </c>
      <c r="AR62" s="1" t="s">
        <v>567</v>
      </c>
      <c r="AS62" s="3" t="s">
        <v>566</v>
      </c>
      <c r="AT62" s="1" t="s">
        <v>71</v>
      </c>
      <c r="AV62" s="12">
        <v>33.066298342541401</v>
      </c>
      <c r="AW62" s="12">
        <v>7.5976895368086801</v>
      </c>
      <c r="AX62" s="13">
        <v>5</v>
      </c>
      <c r="AY62" s="12">
        <v>3.39779005524862</v>
      </c>
      <c r="AZ62" s="12"/>
      <c r="BA62" s="12">
        <v>42.099447513812102</v>
      </c>
      <c r="BB62" s="12">
        <v>14.8247600718218</v>
      </c>
      <c r="BC62" s="13">
        <v>5</v>
      </c>
      <c r="BD62" s="12">
        <v>6.6298342541436401</v>
      </c>
    </row>
    <row r="63" spans="1:60" x14ac:dyDescent="0.2">
      <c r="A63" s="1" t="s">
        <v>534</v>
      </c>
      <c r="B63" s="2" t="s">
        <v>442</v>
      </c>
      <c r="C63" s="2" t="s">
        <v>535</v>
      </c>
      <c r="D63" s="49" t="s">
        <v>568</v>
      </c>
      <c r="E63" s="2" t="s">
        <v>569</v>
      </c>
      <c r="F63" s="2" t="s">
        <v>71</v>
      </c>
      <c r="G63" s="1" t="s">
        <v>538</v>
      </c>
      <c r="H63" s="1" t="s">
        <v>539</v>
      </c>
      <c r="I63" s="1" t="s">
        <v>540</v>
      </c>
      <c r="J63" s="2" t="s">
        <v>541</v>
      </c>
      <c r="L63" s="5" t="s">
        <v>493</v>
      </c>
      <c r="M63" s="2" t="s">
        <v>494</v>
      </c>
      <c r="N63" s="2" t="s">
        <v>542</v>
      </c>
      <c r="P63" s="2" t="s">
        <v>80</v>
      </c>
      <c r="Q63" s="2" t="s">
        <v>543</v>
      </c>
      <c r="R63" s="2" t="s">
        <v>544</v>
      </c>
      <c r="S63" s="26">
        <v>9</v>
      </c>
      <c r="T63" s="2" t="s">
        <v>83</v>
      </c>
      <c r="U63" s="1">
        <v>0.25</v>
      </c>
      <c r="V63" s="2" t="s">
        <v>180</v>
      </c>
      <c r="W63" s="2" t="s">
        <v>545</v>
      </c>
      <c r="X63" s="27">
        <v>90</v>
      </c>
      <c r="Z63" s="2" t="s">
        <v>86</v>
      </c>
      <c r="AB63" s="1" t="s">
        <v>546</v>
      </c>
      <c r="AC63" s="2" t="s">
        <v>88</v>
      </c>
      <c r="AD63" s="26">
        <v>35</v>
      </c>
      <c r="AE63" s="2" t="s">
        <v>547</v>
      </c>
      <c r="AF63" s="2" t="s">
        <v>90</v>
      </c>
      <c r="AH63" s="2" t="s">
        <v>91</v>
      </c>
      <c r="AI63" s="1" t="s">
        <v>131</v>
      </c>
      <c r="AK63" s="2" t="s">
        <v>570</v>
      </c>
      <c r="AL63" s="2" t="s">
        <v>107</v>
      </c>
      <c r="AM63" s="2" t="s">
        <v>107</v>
      </c>
      <c r="AN63" s="2" t="s">
        <v>86</v>
      </c>
      <c r="AO63" s="2" t="s">
        <v>571</v>
      </c>
      <c r="AP63" s="2" t="s">
        <v>572</v>
      </c>
      <c r="AQ63" s="1" t="s">
        <v>573</v>
      </c>
      <c r="AR63" s="1" t="s">
        <v>574</v>
      </c>
      <c r="AS63" s="3" t="s">
        <v>573</v>
      </c>
      <c r="AT63" s="2" t="s">
        <v>71</v>
      </c>
      <c r="AV63" s="12">
        <v>3.9736842105263199</v>
      </c>
      <c r="AW63" s="12">
        <v>1.7064729301972099</v>
      </c>
      <c r="AX63" s="13">
        <v>5</v>
      </c>
      <c r="AY63" s="12">
        <v>0.76315789473684204</v>
      </c>
      <c r="AZ63" s="12"/>
      <c r="BA63" s="12">
        <v>3.57894736842105</v>
      </c>
      <c r="BB63" s="12">
        <v>1.17687788289463</v>
      </c>
      <c r="BC63" s="13">
        <v>5</v>
      </c>
      <c r="BD63" s="12">
        <v>0.52631578947368496</v>
      </c>
    </row>
    <row r="64" spans="1:60" x14ac:dyDescent="0.2">
      <c r="A64" s="1" t="s">
        <v>534</v>
      </c>
      <c r="B64" s="2" t="s">
        <v>486</v>
      </c>
      <c r="C64" s="2" t="s">
        <v>554</v>
      </c>
      <c r="D64" s="49" t="s">
        <v>568</v>
      </c>
      <c r="E64" s="2" t="s">
        <v>575</v>
      </c>
      <c r="F64" s="2" t="s">
        <v>71</v>
      </c>
      <c r="G64" s="1" t="s">
        <v>538</v>
      </c>
      <c r="H64" s="1" t="s">
        <v>539</v>
      </c>
      <c r="I64" s="1" t="s">
        <v>540</v>
      </c>
      <c r="J64" s="2" t="s">
        <v>541</v>
      </c>
      <c r="L64" s="5" t="s">
        <v>493</v>
      </c>
      <c r="M64" s="2" t="s">
        <v>494</v>
      </c>
      <c r="N64" s="2" t="s">
        <v>542</v>
      </c>
      <c r="P64" s="2" t="s">
        <v>80</v>
      </c>
      <c r="Q64" s="2" t="s">
        <v>543</v>
      </c>
      <c r="R64" s="2" t="s">
        <v>544</v>
      </c>
      <c r="S64" s="26">
        <v>9</v>
      </c>
      <c r="T64" s="2" t="s">
        <v>83</v>
      </c>
      <c r="U64" s="1">
        <v>0.25</v>
      </c>
      <c r="V64" s="2" t="s">
        <v>180</v>
      </c>
      <c r="W64" s="2" t="s">
        <v>545</v>
      </c>
      <c r="X64" s="27">
        <v>90</v>
      </c>
      <c r="Z64" s="2" t="s">
        <v>86</v>
      </c>
      <c r="AB64" s="1" t="s">
        <v>546</v>
      </c>
      <c r="AC64" s="2" t="s">
        <v>288</v>
      </c>
      <c r="AD64" s="26">
        <v>35</v>
      </c>
      <c r="AE64" s="2" t="s">
        <v>547</v>
      </c>
      <c r="AF64" s="2" t="s">
        <v>90</v>
      </c>
      <c r="AH64" s="2" t="s">
        <v>91</v>
      </c>
      <c r="AI64" s="1" t="s">
        <v>131</v>
      </c>
      <c r="AK64" s="2" t="s">
        <v>570</v>
      </c>
      <c r="AL64" s="2" t="s">
        <v>107</v>
      </c>
      <c r="AM64" s="2" t="s">
        <v>107</v>
      </c>
      <c r="AN64" s="2" t="s">
        <v>86</v>
      </c>
      <c r="AO64" s="2" t="s">
        <v>571</v>
      </c>
      <c r="AP64" s="2" t="s">
        <v>572</v>
      </c>
      <c r="AQ64" s="1" t="s">
        <v>576</v>
      </c>
      <c r="AR64" s="1" t="s">
        <v>577</v>
      </c>
      <c r="AS64" s="3" t="s">
        <v>576</v>
      </c>
      <c r="AT64" s="2" t="s">
        <v>71</v>
      </c>
      <c r="AV64" s="12">
        <v>6.6842105263157903</v>
      </c>
      <c r="AW64" s="12">
        <v>2.4125996599339801</v>
      </c>
      <c r="AX64" s="13">
        <v>5</v>
      </c>
      <c r="AY64" s="12">
        <v>1.07894736842105</v>
      </c>
      <c r="AZ64" s="12"/>
      <c r="BA64" s="12">
        <v>4.5526315789473699</v>
      </c>
      <c r="BB64" s="12">
        <v>1.14745593582226</v>
      </c>
      <c r="BC64" s="13">
        <v>5</v>
      </c>
      <c r="BD64" s="12">
        <v>0.51315789473684204</v>
      </c>
    </row>
    <row r="65" spans="1:71" x14ac:dyDescent="0.2">
      <c r="A65" s="1" t="s">
        <v>578</v>
      </c>
      <c r="B65" s="2" t="s">
        <v>579</v>
      </c>
      <c r="C65" s="2" t="s">
        <v>580</v>
      </c>
      <c r="D65" s="49" t="s">
        <v>581</v>
      </c>
      <c r="E65" s="2" t="s">
        <v>582</v>
      </c>
      <c r="F65" s="2" t="s">
        <v>71</v>
      </c>
      <c r="G65" s="1" t="s">
        <v>583</v>
      </c>
      <c r="H65" s="1" t="s">
        <v>584</v>
      </c>
      <c r="I65" s="2" t="s">
        <v>585</v>
      </c>
      <c r="J65" s="2" t="s">
        <v>586</v>
      </c>
      <c r="L65" s="5" t="s">
        <v>77</v>
      </c>
      <c r="M65" s="2" t="s">
        <v>78</v>
      </c>
      <c r="N65" s="2" t="s">
        <v>79</v>
      </c>
      <c r="P65" s="2" t="s">
        <v>587</v>
      </c>
      <c r="Q65" s="2" t="s">
        <v>543</v>
      </c>
      <c r="R65" s="2" t="s">
        <v>588</v>
      </c>
      <c r="S65" s="26">
        <v>9</v>
      </c>
      <c r="T65" s="2" t="s">
        <v>83</v>
      </c>
      <c r="U65" s="1">
        <v>0.75</v>
      </c>
      <c r="V65" s="2" t="s">
        <v>84</v>
      </c>
      <c r="W65" s="2" t="s">
        <v>85</v>
      </c>
      <c r="X65" s="27">
        <v>100</v>
      </c>
      <c r="Z65" s="2" t="s">
        <v>86</v>
      </c>
      <c r="AB65" s="1" t="s">
        <v>589</v>
      </c>
      <c r="AC65" s="2" t="s">
        <v>88</v>
      </c>
      <c r="AD65" s="26">
        <v>70</v>
      </c>
      <c r="AE65" s="2"/>
      <c r="AF65" s="1" t="s">
        <v>90</v>
      </c>
      <c r="AH65" s="2" t="s">
        <v>416</v>
      </c>
      <c r="AI65" s="1" t="s">
        <v>417</v>
      </c>
      <c r="AJ65" s="1" t="s">
        <v>590</v>
      </c>
      <c r="AK65" s="2" t="s">
        <v>418</v>
      </c>
      <c r="AL65" s="2" t="s">
        <v>94</v>
      </c>
      <c r="AM65" s="2" t="s">
        <v>95</v>
      </c>
      <c r="AN65" s="2" t="s">
        <v>96</v>
      </c>
      <c r="AO65" s="2" t="s">
        <v>591</v>
      </c>
      <c r="AP65" s="2" t="s">
        <v>592</v>
      </c>
      <c r="AQ65" s="2" t="s">
        <v>593</v>
      </c>
      <c r="AR65" s="2" t="s">
        <v>594</v>
      </c>
      <c r="AS65" s="3" t="s">
        <v>595</v>
      </c>
      <c r="AT65" s="2" t="s">
        <v>102</v>
      </c>
      <c r="AV65" s="12">
        <v>45.87</v>
      </c>
      <c r="AW65" s="19">
        <f>AY65*SQRT(AX65)</f>
        <v>24.869999999999997</v>
      </c>
      <c r="AX65" s="13">
        <v>9</v>
      </c>
      <c r="AY65" s="12">
        <v>8.2899999999999991</v>
      </c>
      <c r="BA65" s="12">
        <v>26.79</v>
      </c>
      <c r="BB65" s="19">
        <f>BD65*SQRT(BC65)</f>
        <v>24.855502408923464</v>
      </c>
      <c r="BC65" s="13">
        <v>10</v>
      </c>
      <c r="BD65" s="12">
        <v>7.86</v>
      </c>
      <c r="BG65" s="1" t="s">
        <v>596</v>
      </c>
      <c r="BH65" s="14">
        <v>1.2500000000000001E-2</v>
      </c>
    </row>
    <row r="66" spans="1:71" x14ac:dyDescent="0.2">
      <c r="A66" s="1" t="s">
        <v>578</v>
      </c>
      <c r="B66" s="2" t="s">
        <v>579</v>
      </c>
      <c r="C66" s="2" t="s">
        <v>580</v>
      </c>
      <c r="D66" s="49" t="s">
        <v>581</v>
      </c>
      <c r="E66" s="2" t="s">
        <v>597</v>
      </c>
      <c r="F66" s="2" t="s">
        <v>71</v>
      </c>
      <c r="G66" s="1" t="s">
        <v>583</v>
      </c>
      <c r="H66" s="1" t="s">
        <v>584</v>
      </c>
      <c r="I66" s="2" t="s">
        <v>585</v>
      </c>
      <c r="J66" s="2" t="s">
        <v>586</v>
      </c>
      <c r="L66" s="5" t="s">
        <v>77</v>
      </c>
      <c r="M66" s="2" t="s">
        <v>78</v>
      </c>
      <c r="N66" s="2" t="s">
        <v>79</v>
      </c>
      <c r="P66" s="2" t="s">
        <v>587</v>
      </c>
      <c r="Q66" s="2" t="s">
        <v>543</v>
      </c>
      <c r="R66" s="2" t="s">
        <v>588</v>
      </c>
      <c r="S66" s="26">
        <v>9</v>
      </c>
      <c r="T66" s="2" t="s">
        <v>83</v>
      </c>
      <c r="U66" s="1">
        <v>0.75</v>
      </c>
      <c r="V66" s="2" t="s">
        <v>84</v>
      </c>
      <c r="W66" s="2" t="s">
        <v>85</v>
      </c>
      <c r="X66" s="27">
        <v>100</v>
      </c>
      <c r="Z66" s="2" t="s">
        <v>86</v>
      </c>
      <c r="AB66" s="1" t="s">
        <v>589</v>
      </c>
      <c r="AC66" s="2" t="s">
        <v>88</v>
      </c>
      <c r="AD66" s="26">
        <v>70</v>
      </c>
      <c r="AE66" s="2"/>
      <c r="AF66" s="1" t="s">
        <v>90</v>
      </c>
      <c r="AH66" s="2" t="s">
        <v>416</v>
      </c>
      <c r="AI66" s="1" t="s">
        <v>417</v>
      </c>
      <c r="AJ66" s="1" t="s">
        <v>590</v>
      </c>
      <c r="AK66" s="2" t="s">
        <v>418</v>
      </c>
      <c r="AL66" s="2" t="s">
        <v>94</v>
      </c>
      <c r="AM66" s="2" t="s">
        <v>95</v>
      </c>
      <c r="AN66" s="2" t="s">
        <v>96</v>
      </c>
      <c r="AO66" s="2" t="s">
        <v>591</v>
      </c>
      <c r="AP66" s="2" t="s">
        <v>592</v>
      </c>
      <c r="AQ66" s="2" t="s">
        <v>593</v>
      </c>
      <c r="AR66" s="2" t="s">
        <v>594</v>
      </c>
      <c r="AS66" s="3" t="s">
        <v>598</v>
      </c>
      <c r="AT66" s="2" t="s">
        <v>102</v>
      </c>
      <c r="AV66" s="12">
        <v>79.05</v>
      </c>
      <c r="AW66" s="19">
        <f t="shared" ref="AW66:AW72" si="3">AY66*SQRT(AX66)</f>
        <v>40.56</v>
      </c>
      <c r="AX66" s="13">
        <v>9</v>
      </c>
      <c r="AY66" s="12">
        <v>13.52</v>
      </c>
      <c r="BA66" s="12">
        <v>48.87</v>
      </c>
      <c r="BB66" s="19">
        <f t="shared" ref="BB66:BB72" si="4">BD66*SQRT(BC66)</f>
        <v>40.572022379960309</v>
      </c>
      <c r="BC66" s="13">
        <v>10</v>
      </c>
      <c r="BD66" s="12">
        <v>12.83</v>
      </c>
    </row>
    <row r="67" spans="1:71" x14ac:dyDescent="0.2">
      <c r="A67" s="1" t="s">
        <v>578</v>
      </c>
      <c r="B67" s="2" t="s">
        <v>579</v>
      </c>
      <c r="C67" s="2" t="s">
        <v>580</v>
      </c>
      <c r="D67" s="49" t="s">
        <v>599</v>
      </c>
      <c r="E67" s="2" t="s">
        <v>600</v>
      </c>
      <c r="F67" s="2" t="s">
        <v>71</v>
      </c>
      <c r="G67" s="1" t="s">
        <v>583</v>
      </c>
      <c r="H67" s="1" t="s">
        <v>584</v>
      </c>
      <c r="I67" s="2" t="s">
        <v>585</v>
      </c>
      <c r="J67" s="2" t="s">
        <v>586</v>
      </c>
      <c r="L67" s="5" t="s">
        <v>77</v>
      </c>
      <c r="M67" s="2" t="s">
        <v>78</v>
      </c>
      <c r="N67" s="2" t="s">
        <v>79</v>
      </c>
      <c r="P67" s="2" t="s">
        <v>587</v>
      </c>
      <c r="Q67" s="2" t="s">
        <v>543</v>
      </c>
      <c r="R67" s="2" t="s">
        <v>588</v>
      </c>
      <c r="S67" s="26">
        <v>9</v>
      </c>
      <c r="T67" s="2" t="s">
        <v>83</v>
      </c>
      <c r="U67" s="1">
        <v>0.75</v>
      </c>
      <c r="V67" s="2" t="s">
        <v>84</v>
      </c>
      <c r="W67" s="2" t="s">
        <v>85</v>
      </c>
      <c r="X67" s="27">
        <v>100</v>
      </c>
      <c r="Z67" s="2" t="s">
        <v>86</v>
      </c>
      <c r="AB67" s="1" t="s">
        <v>589</v>
      </c>
      <c r="AC67" s="2" t="s">
        <v>88</v>
      </c>
      <c r="AD67" s="26">
        <v>70</v>
      </c>
      <c r="AE67" s="2"/>
      <c r="AF67" s="1" t="s">
        <v>90</v>
      </c>
      <c r="AH67" s="2" t="s">
        <v>416</v>
      </c>
      <c r="AI67" s="1" t="s">
        <v>417</v>
      </c>
      <c r="AJ67" s="1" t="s">
        <v>590</v>
      </c>
      <c r="AK67" s="2" t="s">
        <v>601</v>
      </c>
      <c r="AL67" s="2" t="s">
        <v>94</v>
      </c>
      <c r="AM67" s="2" t="s">
        <v>95</v>
      </c>
      <c r="AN67" s="2" t="s">
        <v>96</v>
      </c>
      <c r="AO67" s="2" t="s">
        <v>591</v>
      </c>
      <c r="AP67" s="2" t="s">
        <v>592</v>
      </c>
      <c r="AQ67" s="2" t="s">
        <v>602</v>
      </c>
      <c r="AR67" s="2" t="s">
        <v>603</v>
      </c>
      <c r="AS67" s="3" t="s">
        <v>604</v>
      </c>
      <c r="AT67" s="2" t="s">
        <v>71</v>
      </c>
      <c r="AV67" s="12">
        <v>20.09</v>
      </c>
      <c r="AW67" s="19">
        <f t="shared" si="3"/>
        <v>18.84</v>
      </c>
      <c r="AX67" s="13">
        <v>9</v>
      </c>
      <c r="AY67" s="12">
        <v>6.28</v>
      </c>
      <c r="BA67" s="12">
        <v>39.08</v>
      </c>
      <c r="BB67" s="19">
        <f t="shared" si="4"/>
        <v>18.847174854603541</v>
      </c>
      <c r="BC67" s="13">
        <v>10</v>
      </c>
      <c r="BD67" s="12">
        <v>5.96</v>
      </c>
    </row>
    <row r="68" spans="1:71" x14ac:dyDescent="0.2">
      <c r="A68" s="1" t="s">
        <v>578</v>
      </c>
      <c r="B68" s="2" t="s">
        <v>579</v>
      </c>
      <c r="C68" s="2" t="s">
        <v>580</v>
      </c>
      <c r="D68" s="49" t="s">
        <v>599</v>
      </c>
      <c r="E68" s="2" t="s">
        <v>605</v>
      </c>
      <c r="F68" s="2" t="s">
        <v>71</v>
      </c>
      <c r="G68" s="1" t="s">
        <v>583</v>
      </c>
      <c r="H68" s="1" t="s">
        <v>584</v>
      </c>
      <c r="I68" s="2" t="s">
        <v>585</v>
      </c>
      <c r="J68" s="2" t="s">
        <v>586</v>
      </c>
      <c r="L68" s="5" t="s">
        <v>77</v>
      </c>
      <c r="M68" s="2" t="s">
        <v>78</v>
      </c>
      <c r="N68" s="2" t="s">
        <v>79</v>
      </c>
      <c r="P68" s="2" t="s">
        <v>587</v>
      </c>
      <c r="Q68" s="2" t="s">
        <v>543</v>
      </c>
      <c r="R68" s="2" t="s">
        <v>588</v>
      </c>
      <c r="S68" s="26">
        <v>9</v>
      </c>
      <c r="T68" s="2" t="s">
        <v>83</v>
      </c>
      <c r="U68" s="1">
        <v>0.75</v>
      </c>
      <c r="V68" s="2" t="s">
        <v>84</v>
      </c>
      <c r="W68" s="2" t="s">
        <v>85</v>
      </c>
      <c r="X68" s="27">
        <v>100</v>
      </c>
      <c r="Z68" s="2" t="s">
        <v>86</v>
      </c>
      <c r="AB68" s="1" t="s">
        <v>589</v>
      </c>
      <c r="AC68" s="2" t="s">
        <v>88</v>
      </c>
      <c r="AD68" s="26">
        <v>70</v>
      </c>
      <c r="AE68" s="2"/>
      <c r="AF68" s="1" t="s">
        <v>90</v>
      </c>
      <c r="AH68" s="2" t="s">
        <v>416</v>
      </c>
      <c r="AI68" s="1" t="s">
        <v>417</v>
      </c>
      <c r="AJ68" s="1" t="s">
        <v>590</v>
      </c>
      <c r="AK68" s="2" t="s">
        <v>601</v>
      </c>
      <c r="AL68" s="2" t="s">
        <v>94</v>
      </c>
      <c r="AM68" s="2" t="s">
        <v>95</v>
      </c>
      <c r="AN68" s="2" t="s">
        <v>96</v>
      </c>
      <c r="AO68" s="2" t="s">
        <v>591</v>
      </c>
      <c r="AP68" s="2" t="s">
        <v>592</v>
      </c>
      <c r="AQ68" s="2" t="s">
        <v>602</v>
      </c>
      <c r="AR68" s="2" t="s">
        <v>603</v>
      </c>
      <c r="AS68" s="3" t="s">
        <v>606</v>
      </c>
      <c r="AT68" s="2" t="s">
        <v>71</v>
      </c>
      <c r="AV68" s="12">
        <v>31.89</v>
      </c>
      <c r="AW68" s="19">
        <f t="shared" si="3"/>
        <v>39.450000000000003</v>
      </c>
      <c r="AX68" s="13">
        <v>9</v>
      </c>
      <c r="AY68" s="12">
        <v>13.15</v>
      </c>
      <c r="BA68" s="12">
        <v>33.44</v>
      </c>
      <c r="BB68" s="19">
        <f t="shared" si="4"/>
        <v>39.465225198901379</v>
      </c>
      <c r="BC68" s="13">
        <v>10</v>
      </c>
      <c r="BD68" s="12">
        <v>12.48</v>
      </c>
    </row>
    <row r="69" spans="1:71" x14ac:dyDescent="0.2">
      <c r="A69" s="1" t="s">
        <v>578</v>
      </c>
      <c r="B69" s="2" t="s">
        <v>579</v>
      </c>
      <c r="C69" s="2" t="s">
        <v>580</v>
      </c>
      <c r="D69" s="49" t="s">
        <v>607</v>
      </c>
      <c r="E69" s="2" t="s">
        <v>608</v>
      </c>
      <c r="F69" s="2" t="s">
        <v>71</v>
      </c>
      <c r="G69" s="1" t="s">
        <v>583</v>
      </c>
      <c r="H69" s="1" t="s">
        <v>584</v>
      </c>
      <c r="I69" s="2" t="s">
        <v>585</v>
      </c>
      <c r="J69" s="2" t="s">
        <v>586</v>
      </c>
      <c r="L69" s="5" t="s">
        <v>77</v>
      </c>
      <c r="M69" s="2" t="s">
        <v>78</v>
      </c>
      <c r="N69" s="2" t="s">
        <v>79</v>
      </c>
      <c r="P69" s="2" t="s">
        <v>587</v>
      </c>
      <c r="Q69" s="2" t="s">
        <v>543</v>
      </c>
      <c r="R69" s="2" t="s">
        <v>588</v>
      </c>
      <c r="S69" s="26">
        <v>9</v>
      </c>
      <c r="T69" s="2" t="s">
        <v>83</v>
      </c>
      <c r="U69" s="1">
        <v>0.75</v>
      </c>
      <c r="V69" s="2" t="s">
        <v>84</v>
      </c>
      <c r="W69" s="2" t="s">
        <v>85</v>
      </c>
      <c r="X69" s="27">
        <v>100</v>
      </c>
      <c r="Z69" s="2" t="s">
        <v>86</v>
      </c>
      <c r="AB69" s="1" t="s">
        <v>589</v>
      </c>
      <c r="AC69" s="2" t="s">
        <v>88</v>
      </c>
      <c r="AD69" s="26">
        <v>70</v>
      </c>
      <c r="AE69" s="2"/>
      <c r="AF69" s="1" t="s">
        <v>90</v>
      </c>
      <c r="AH69" s="2" t="s">
        <v>416</v>
      </c>
      <c r="AI69" s="1" t="s">
        <v>417</v>
      </c>
      <c r="AJ69" s="1" t="s">
        <v>590</v>
      </c>
      <c r="AK69" s="2" t="s">
        <v>609</v>
      </c>
      <c r="AL69" s="2" t="s">
        <v>107</v>
      </c>
      <c r="AM69" s="2" t="s">
        <v>107</v>
      </c>
      <c r="AN69" s="2" t="s">
        <v>96</v>
      </c>
      <c r="AO69" s="2" t="s">
        <v>591</v>
      </c>
      <c r="AP69" s="2" t="s">
        <v>592</v>
      </c>
      <c r="AQ69" s="2" t="s">
        <v>610</v>
      </c>
      <c r="AR69" s="2" t="s">
        <v>611</v>
      </c>
      <c r="AS69" s="3" t="s">
        <v>612</v>
      </c>
      <c r="AT69" s="2" t="s">
        <v>71</v>
      </c>
      <c r="AV69" s="12">
        <v>5.44</v>
      </c>
      <c r="AW69" s="19">
        <f t="shared" si="3"/>
        <v>4.47</v>
      </c>
      <c r="AX69" s="13">
        <v>9</v>
      </c>
      <c r="AY69" s="12">
        <v>1.49</v>
      </c>
      <c r="BA69" s="12">
        <v>6.2</v>
      </c>
      <c r="BB69" s="19">
        <f t="shared" si="4"/>
        <v>4.4904342774390988</v>
      </c>
      <c r="BC69" s="13">
        <v>10</v>
      </c>
      <c r="BD69" s="12">
        <v>1.42</v>
      </c>
    </row>
    <row r="70" spans="1:71" x14ac:dyDescent="0.2">
      <c r="A70" s="1" t="s">
        <v>578</v>
      </c>
      <c r="B70" s="2" t="s">
        <v>579</v>
      </c>
      <c r="C70" s="2" t="s">
        <v>580</v>
      </c>
      <c r="D70" s="49" t="s">
        <v>607</v>
      </c>
      <c r="E70" s="2" t="s">
        <v>613</v>
      </c>
      <c r="F70" s="2" t="s">
        <v>71</v>
      </c>
      <c r="G70" s="1" t="s">
        <v>583</v>
      </c>
      <c r="H70" s="1" t="s">
        <v>584</v>
      </c>
      <c r="I70" s="2" t="s">
        <v>585</v>
      </c>
      <c r="J70" s="2" t="s">
        <v>586</v>
      </c>
      <c r="L70" s="5" t="s">
        <v>77</v>
      </c>
      <c r="M70" s="2" t="s">
        <v>78</v>
      </c>
      <c r="N70" s="2" t="s">
        <v>79</v>
      </c>
      <c r="P70" s="2" t="s">
        <v>587</v>
      </c>
      <c r="Q70" s="2" t="s">
        <v>543</v>
      </c>
      <c r="R70" s="2" t="s">
        <v>588</v>
      </c>
      <c r="S70" s="26">
        <v>9</v>
      </c>
      <c r="T70" s="2" t="s">
        <v>83</v>
      </c>
      <c r="U70" s="1">
        <v>0.75</v>
      </c>
      <c r="V70" s="2" t="s">
        <v>84</v>
      </c>
      <c r="W70" s="2" t="s">
        <v>85</v>
      </c>
      <c r="X70" s="27">
        <v>100</v>
      </c>
      <c r="Z70" s="2" t="s">
        <v>86</v>
      </c>
      <c r="AB70" s="1" t="s">
        <v>589</v>
      </c>
      <c r="AC70" s="2" t="s">
        <v>88</v>
      </c>
      <c r="AD70" s="26">
        <v>70</v>
      </c>
      <c r="AE70" s="2"/>
      <c r="AF70" s="1" t="s">
        <v>90</v>
      </c>
      <c r="AH70" s="2" t="s">
        <v>416</v>
      </c>
      <c r="AI70" s="1" t="s">
        <v>417</v>
      </c>
      <c r="AJ70" s="1" t="s">
        <v>590</v>
      </c>
      <c r="AK70" s="2" t="s">
        <v>609</v>
      </c>
      <c r="AL70" s="2" t="s">
        <v>107</v>
      </c>
      <c r="AM70" s="2" t="s">
        <v>107</v>
      </c>
      <c r="AN70" s="2" t="s">
        <v>96</v>
      </c>
      <c r="AO70" s="2" t="s">
        <v>591</v>
      </c>
      <c r="AP70" s="2" t="s">
        <v>592</v>
      </c>
      <c r="AQ70" s="2" t="s">
        <v>610</v>
      </c>
      <c r="AR70" s="2" t="s">
        <v>611</v>
      </c>
      <c r="AS70" s="3" t="s">
        <v>614</v>
      </c>
      <c r="AT70" s="2" t="s">
        <v>71</v>
      </c>
      <c r="AV70" s="12">
        <v>2.56</v>
      </c>
      <c r="AW70" s="19">
        <f>AY70*SQRT(AX70)</f>
        <v>2.8499999999999996</v>
      </c>
      <c r="AX70" s="13">
        <v>9</v>
      </c>
      <c r="AY70" s="12">
        <v>0.95</v>
      </c>
      <c r="BA70" s="12">
        <v>1.7</v>
      </c>
      <c r="BB70" s="19">
        <f t="shared" si="4"/>
        <v>2.8460498941515415</v>
      </c>
      <c r="BC70" s="13">
        <v>10</v>
      </c>
      <c r="BD70" s="12">
        <v>0.9</v>
      </c>
    </row>
    <row r="71" spans="1:71" x14ac:dyDescent="0.2">
      <c r="A71" s="1" t="s">
        <v>578</v>
      </c>
      <c r="B71" s="2" t="s">
        <v>579</v>
      </c>
      <c r="C71" s="2" t="s">
        <v>580</v>
      </c>
      <c r="D71" s="49" t="s">
        <v>615</v>
      </c>
      <c r="E71" s="2" t="s">
        <v>616</v>
      </c>
      <c r="F71" s="2" t="s">
        <v>71</v>
      </c>
      <c r="G71" s="1" t="s">
        <v>583</v>
      </c>
      <c r="H71" s="1" t="s">
        <v>584</v>
      </c>
      <c r="I71" s="2" t="s">
        <v>585</v>
      </c>
      <c r="J71" s="2" t="s">
        <v>586</v>
      </c>
      <c r="L71" s="5" t="s">
        <v>77</v>
      </c>
      <c r="M71" s="2" t="s">
        <v>78</v>
      </c>
      <c r="N71" s="2" t="s">
        <v>79</v>
      </c>
      <c r="P71" s="2" t="s">
        <v>587</v>
      </c>
      <c r="Q71" s="2" t="s">
        <v>543</v>
      </c>
      <c r="R71" s="2" t="s">
        <v>588</v>
      </c>
      <c r="S71" s="26">
        <v>9</v>
      </c>
      <c r="T71" s="2" t="s">
        <v>83</v>
      </c>
      <c r="U71" s="1">
        <v>0.75</v>
      </c>
      <c r="V71" s="2" t="s">
        <v>84</v>
      </c>
      <c r="W71" s="2" t="s">
        <v>85</v>
      </c>
      <c r="X71" s="27">
        <v>100</v>
      </c>
      <c r="Z71" s="2" t="s">
        <v>86</v>
      </c>
      <c r="AB71" s="1" t="s">
        <v>589</v>
      </c>
      <c r="AC71" s="2" t="s">
        <v>88</v>
      </c>
      <c r="AD71" s="26">
        <v>70</v>
      </c>
      <c r="AE71" s="2"/>
      <c r="AF71" s="1" t="s">
        <v>90</v>
      </c>
      <c r="AH71" s="2" t="s">
        <v>416</v>
      </c>
      <c r="AI71" s="1" t="s">
        <v>417</v>
      </c>
      <c r="AJ71" s="1" t="s">
        <v>590</v>
      </c>
      <c r="AK71" s="2" t="s">
        <v>617</v>
      </c>
      <c r="AL71" s="2" t="s">
        <v>107</v>
      </c>
      <c r="AM71" s="2" t="s">
        <v>107</v>
      </c>
      <c r="AN71" s="2" t="s">
        <v>96</v>
      </c>
      <c r="AO71" s="2" t="s">
        <v>591</v>
      </c>
      <c r="AP71" s="2" t="s">
        <v>592</v>
      </c>
      <c r="AQ71" s="2" t="s">
        <v>618</v>
      </c>
      <c r="AR71" s="2" t="s">
        <v>619</v>
      </c>
      <c r="AS71" s="3" t="s">
        <v>620</v>
      </c>
      <c r="AT71" s="2" t="s">
        <v>71</v>
      </c>
      <c r="AV71" s="12">
        <v>26.78</v>
      </c>
      <c r="AW71" s="19">
        <f t="shared" si="3"/>
        <v>14.669999999999998</v>
      </c>
      <c r="AX71" s="13">
        <v>9</v>
      </c>
      <c r="AY71" s="12">
        <v>4.8899999999999997</v>
      </c>
      <c r="BA71" s="12">
        <v>23</v>
      </c>
      <c r="BB71" s="19">
        <f t="shared" si="4"/>
        <v>14.67296834318128</v>
      </c>
      <c r="BC71" s="13">
        <v>10</v>
      </c>
      <c r="BD71" s="12">
        <v>4.6399999999999997</v>
      </c>
    </row>
    <row r="72" spans="1:71" x14ac:dyDescent="0.2">
      <c r="A72" s="1" t="s">
        <v>578</v>
      </c>
      <c r="B72" s="2" t="s">
        <v>579</v>
      </c>
      <c r="C72" s="2" t="s">
        <v>580</v>
      </c>
      <c r="D72" s="49" t="s">
        <v>615</v>
      </c>
      <c r="E72" s="2" t="s">
        <v>621</v>
      </c>
      <c r="F72" s="2" t="s">
        <v>71</v>
      </c>
      <c r="G72" s="1" t="s">
        <v>583</v>
      </c>
      <c r="H72" s="1" t="s">
        <v>584</v>
      </c>
      <c r="I72" s="2" t="s">
        <v>585</v>
      </c>
      <c r="J72" s="2" t="s">
        <v>586</v>
      </c>
      <c r="L72" s="5" t="s">
        <v>77</v>
      </c>
      <c r="M72" s="2" t="s">
        <v>78</v>
      </c>
      <c r="N72" s="2" t="s">
        <v>79</v>
      </c>
      <c r="P72" s="2" t="s">
        <v>587</v>
      </c>
      <c r="Q72" s="2" t="s">
        <v>543</v>
      </c>
      <c r="R72" s="2" t="s">
        <v>588</v>
      </c>
      <c r="S72" s="26">
        <v>9</v>
      </c>
      <c r="T72" s="2" t="s">
        <v>83</v>
      </c>
      <c r="U72" s="1">
        <v>0.75</v>
      </c>
      <c r="V72" s="2" t="s">
        <v>84</v>
      </c>
      <c r="W72" s="2" t="s">
        <v>85</v>
      </c>
      <c r="X72" s="27">
        <v>100</v>
      </c>
      <c r="Z72" s="2" t="s">
        <v>86</v>
      </c>
      <c r="AB72" s="1" t="s">
        <v>589</v>
      </c>
      <c r="AC72" s="2" t="s">
        <v>88</v>
      </c>
      <c r="AD72" s="26">
        <v>70</v>
      </c>
      <c r="AE72" s="2"/>
      <c r="AF72" s="1" t="s">
        <v>90</v>
      </c>
      <c r="AH72" s="2" t="s">
        <v>416</v>
      </c>
      <c r="AI72" s="1" t="s">
        <v>417</v>
      </c>
      <c r="AJ72" s="1" t="s">
        <v>590</v>
      </c>
      <c r="AK72" s="2" t="s">
        <v>617</v>
      </c>
      <c r="AL72" s="2" t="s">
        <v>107</v>
      </c>
      <c r="AM72" s="2" t="s">
        <v>107</v>
      </c>
      <c r="AN72" s="2" t="s">
        <v>96</v>
      </c>
      <c r="AO72" s="2" t="s">
        <v>591</v>
      </c>
      <c r="AP72" s="2" t="s">
        <v>592</v>
      </c>
      <c r="AQ72" s="2" t="s">
        <v>618</v>
      </c>
      <c r="AR72" s="2" t="s">
        <v>619</v>
      </c>
      <c r="AS72" s="3" t="s">
        <v>622</v>
      </c>
      <c r="AT72" s="2" t="s">
        <v>71</v>
      </c>
      <c r="AV72" s="12">
        <v>16</v>
      </c>
      <c r="AW72" s="19">
        <f t="shared" si="3"/>
        <v>11.790000000000001</v>
      </c>
      <c r="AX72" s="13">
        <v>9</v>
      </c>
      <c r="AY72" s="12">
        <v>3.93</v>
      </c>
      <c r="BA72" s="12">
        <v>18.399999999999999</v>
      </c>
      <c r="BB72" s="19">
        <f t="shared" si="4"/>
        <v>11.795295672428056</v>
      </c>
      <c r="BC72" s="13">
        <v>10</v>
      </c>
      <c r="BD72" s="12">
        <v>3.73</v>
      </c>
    </row>
    <row r="73" spans="1:71" x14ac:dyDescent="0.2">
      <c r="A73" s="3" t="s">
        <v>623</v>
      </c>
      <c r="B73" s="2" t="s">
        <v>624</v>
      </c>
      <c r="C73" s="2" t="s">
        <v>625</v>
      </c>
      <c r="D73" s="49" t="s">
        <v>626</v>
      </c>
      <c r="E73" s="2" t="s">
        <v>627</v>
      </c>
      <c r="F73" s="2" t="s">
        <v>71</v>
      </c>
      <c r="G73" s="1" t="s">
        <v>72</v>
      </c>
      <c r="H73" s="3" t="s">
        <v>628</v>
      </c>
      <c r="I73" s="2" t="s">
        <v>629</v>
      </c>
      <c r="J73" s="2" t="s">
        <v>630</v>
      </c>
      <c r="L73" s="5" t="s">
        <v>77</v>
      </c>
      <c r="M73" s="2" t="s">
        <v>78</v>
      </c>
      <c r="N73" s="2" t="s">
        <v>126</v>
      </c>
      <c r="O73" s="27">
        <v>18</v>
      </c>
      <c r="P73" s="2" t="s">
        <v>631</v>
      </c>
      <c r="Q73" s="2" t="s">
        <v>543</v>
      </c>
      <c r="R73" s="2" t="s">
        <v>632</v>
      </c>
      <c r="S73" s="26">
        <v>9</v>
      </c>
      <c r="T73" s="2" t="s">
        <v>83</v>
      </c>
      <c r="V73" s="2" t="s">
        <v>633</v>
      </c>
      <c r="W73" s="2" t="s">
        <v>634</v>
      </c>
      <c r="X73" s="27">
        <v>85</v>
      </c>
      <c r="Z73" s="2" t="s">
        <v>86</v>
      </c>
      <c r="AB73" s="1" t="s">
        <v>635</v>
      </c>
      <c r="AC73" s="1" t="s">
        <v>636</v>
      </c>
      <c r="AD73" s="26">
        <v>25</v>
      </c>
      <c r="AF73" s="1" t="s">
        <v>90</v>
      </c>
      <c r="AH73" s="2" t="s">
        <v>637</v>
      </c>
      <c r="AI73" s="1" t="s">
        <v>185</v>
      </c>
      <c r="AK73" s="2" t="s">
        <v>375</v>
      </c>
      <c r="AL73" s="2" t="s">
        <v>107</v>
      </c>
      <c r="AM73" s="2" t="s">
        <v>107</v>
      </c>
      <c r="AN73" s="2" t="s">
        <v>136</v>
      </c>
      <c r="AO73" s="2" t="s">
        <v>638</v>
      </c>
      <c r="AP73" s="2" t="s">
        <v>592</v>
      </c>
      <c r="AQ73" s="2" t="s">
        <v>639</v>
      </c>
      <c r="AR73" s="2" t="s">
        <v>640</v>
      </c>
      <c r="AS73" s="3" t="s">
        <v>641</v>
      </c>
      <c r="AT73" s="2" t="s">
        <v>71</v>
      </c>
      <c r="AV73" s="12">
        <v>19.5</v>
      </c>
      <c r="AW73" s="1">
        <v>8.4</v>
      </c>
      <c r="AX73" s="13">
        <v>63</v>
      </c>
      <c r="AY73" s="19">
        <f>AW73/SQRT(AX73)</f>
        <v>1.0583005244258363</v>
      </c>
      <c r="BA73" s="12">
        <v>14.2</v>
      </c>
      <c r="BB73" s="1">
        <v>8.3000000000000007</v>
      </c>
      <c r="BC73" s="13">
        <v>35</v>
      </c>
      <c r="BD73" s="19">
        <f>BB73/SQRT(BC73)</f>
        <v>1.4029560628493376</v>
      </c>
      <c r="BG73" s="1" t="s">
        <v>642</v>
      </c>
      <c r="BH73" s="14">
        <v>2.2916666666666665E-2</v>
      </c>
      <c r="BJ73"/>
      <c r="BK73"/>
      <c r="BL73"/>
      <c r="BM73"/>
      <c r="BN73"/>
      <c r="BO73"/>
      <c r="BP73"/>
      <c r="BQ73"/>
      <c r="BR73"/>
      <c r="BS73"/>
    </row>
    <row r="74" spans="1:71" x14ac:dyDescent="0.2">
      <c r="A74" s="3" t="s">
        <v>623</v>
      </c>
      <c r="B74" s="2" t="s">
        <v>624</v>
      </c>
      <c r="C74" s="2" t="s">
        <v>625</v>
      </c>
      <c r="D74" s="49" t="s">
        <v>643</v>
      </c>
      <c r="E74" s="2" t="s">
        <v>644</v>
      </c>
      <c r="F74" s="2" t="s">
        <v>71</v>
      </c>
      <c r="G74" s="1" t="s">
        <v>72</v>
      </c>
      <c r="H74" s="3" t="s">
        <v>628</v>
      </c>
      <c r="I74" s="2" t="s">
        <v>629</v>
      </c>
      <c r="J74" s="2" t="s">
        <v>630</v>
      </c>
      <c r="L74" s="5" t="s">
        <v>77</v>
      </c>
      <c r="M74" s="2" t="s">
        <v>78</v>
      </c>
      <c r="N74" s="2" t="s">
        <v>126</v>
      </c>
      <c r="O74" s="27">
        <v>18</v>
      </c>
      <c r="P74" s="2" t="s">
        <v>631</v>
      </c>
      <c r="Q74" s="2" t="s">
        <v>543</v>
      </c>
      <c r="R74" s="2" t="s">
        <v>632</v>
      </c>
      <c r="S74" s="26">
        <v>9</v>
      </c>
      <c r="T74" s="2" t="s">
        <v>83</v>
      </c>
      <c r="V74" s="2" t="s">
        <v>633</v>
      </c>
      <c r="W74" s="2" t="s">
        <v>634</v>
      </c>
      <c r="X74" s="27">
        <v>85</v>
      </c>
      <c r="Z74" s="2" t="s">
        <v>86</v>
      </c>
      <c r="AB74" s="1" t="s">
        <v>635</v>
      </c>
      <c r="AC74" s="1" t="s">
        <v>636</v>
      </c>
      <c r="AD74" s="26">
        <v>25</v>
      </c>
      <c r="AF74" s="1" t="s">
        <v>90</v>
      </c>
      <c r="AH74" s="2" t="s">
        <v>637</v>
      </c>
      <c r="AI74" s="1" t="s">
        <v>185</v>
      </c>
      <c r="AK74" s="2" t="s">
        <v>645</v>
      </c>
      <c r="AL74" s="2" t="s">
        <v>95</v>
      </c>
      <c r="AM74" s="2" t="s">
        <v>95</v>
      </c>
      <c r="AN74" s="2" t="s">
        <v>136</v>
      </c>
      <c r="AO74" s="2" t="s">
        <v>638</v>
      </c>
      <c r="AP74" s="2" t="s">
        <v>592</v>
      </c>
      <c r="AQ74" s="2" t="s">
        <v>646</v>
      </c>
      <c r="AR74" s="2" t="s">
        <v>647</v>
      </c>
      <c r="AS74" s="3" t="s">
        <v>648</v>
      </c>
      <c r="AT74" s="2" t="s">
        <v>102</v>
      </c>
      <c r="AV74" s="12">
        <v>13.1</v>
      </c>
      <c r="AW74" s="1">
        <v>7.9</v>
      </c>
      <c r="AX74" s="13">
        <v>63</v>
      </c>
      <c r="AY74" s="19">
        <f>AW74/SQRT(AX74)</f>
        <v>0.99530644559096504</v>
      </c>
      <c r="BA74" s="12">
        <v>18.8</v>
      </c>
      <c r="BB74" s="1">
        <v>8.1999999999999993</v>
      </c>
      <c r="BC74" s="13">
        <v>35</v>
      </c>
      <c r="BD74" s="19">
        <f>BB74/SQRT(BC74)</f>
        <v>1.386052977754767</v>
      </c>
      <c r="BJ74"/>
      <c r="BK74"/>
      <c r="BL74"/>
      <c r="BM74"/>
      <c r="BN74"/>
      <c r="BO74"/>
      <c r="BP74"/>
      <c r="BQ74"/>
      <c r="BR74"/>
      <c r="BS74"/>
    </row>
    <row r="75" spans="1:71" x14ac:dyDescent="0.2">
      <c r="A75" s="1" t="s">
        <v>649</v>
      </c>
      <c r="B75" s="2" t="s">
        <v>650</v>
      </c>
      <c r="C75" s="2" t="s">
        <v>651</v>
      </c>
      <c r="D75" s="49" t="s">
        <v>652</v>
      </c>
      <c r="E75" s="2" t="s">
        <v>653</v>
      </c>
      <c r="F75" s="2" t="s">
        <v>71</v>
      </c>
      <c r="G75" s="1" t="s">
        <v>654</v>
      </c>
      <c r="H75" s="1" t="s">
        <v>655</v>
      </c>
      <c r="I75" s="2" t="s">
        <v>656</v>
      </c>
      <c r="J75" s="2" t="s">
        <v>657</v>
      </c>
      <c r="L75" s="5" t="s">
        <v>77</v>
      </c>
      <c r="M75" s="2" t="s">
        <v>78</v>
      </c>
      <c r="N75" s="2" t="s">
        <v>126</v>
      </c>
      <c r="P75" s="2" t="s">
        <v>80</v>
      </c>
      <c r="Q75" s="2" t="s">
        <v>244</v>
      </c>
      <c r="R75" s="2" t="s">
        <v>658</v>
      </c>
      <c r="S75" s="26">
        <v>21</v>
      </c>
      <c r="T75" s="2" t="s">
        <v>283</v>
      </c>
      <c r="V75" s="2" t="s">
        <v>284</v>
      </c>
      <c r="W75" s="2" t="s">
        <v>217</v>
      </c>
      <c r="X75" s="27">
        <v>50</v>
      </c>
      <c r="Y75" s="26" t="s">
        <v>285</v>
      </c>
      <c r="Z75" s="1" t="s">
        <v>286</v>
      </c>
      <c r="AB75" s="2" t="s">
        <v>659</v>
      </c>
      <c r="AC75" s="2" t="s">
        <v>288</v>
      </c>
      <c r="AD75" s="26">
        <v>20</v>
      </c>
      <c r="AF75" s="1" t="s">
        <v>90</v>
      </c>
      <c r="AH75" s="2" t="s">
        <v>637</v>
      </c>
      <c r="AI75" s="1" t="s">
        <v>185</v>
      </c>
      <c r="AJ75" s="1" t="s">
        <v>660</v>
      </c>
      <c r="AK75" s="2" t="s">
        <v>375</v>
      </c>
      <c r="AL75" s="2" t="s">
        <v>107</v>
      </c>
      <c r="AM75" s="2" t="s">
        <v>107</v>
      </c>
      <c r="AN75" s="2" t="s">
        <v>96</v>
      </c>
      <c r="AO75" s="2" t="s">
        <v>661</v>
      </c>
      <c r="AP75" s="1" t="s">
        <v>662</v>
      </c>
      <c r="AQ75" s="1" t="s">
        <v>663</v>
      </c>
      <c r="AR75" s="1" t="s">
        <v>664</v>
      </c>
      <c r="AS75" s="1" t="s">
        <v>665</v>
      </c>
      <c r="AT75" s="2" t="s">
        <v>71</v>
      </c>
      <c r="AV75" s="1">
        <v>29</v>
      </c>
      <c r="AW75" s="1">
        <v>15.79029238</v>
      </c>
      <c r="AX75" s="1">
        <v>25</v>
      </c>
      <c r="AY75" s="1">
        <v>3.1580584749999998</v>
      </c>
      <c r="AZ75" s="12"/>
      <c r="BA75" s="1">
        <v>24.842105263157894</v>
      </c>
      <c r="BB75" s="1">
        <v>12.69848266480307</v>
      </c>
      <c r="BC75" s="1">
        <v>19</v>
      </c>
      <c r="BD75" s="1">
        <v>2.9132317195884028</v>
      </c>
      <c r="BF75" s="1" t="s">
        <v>666</v>
      </c>
      <c r="BH75" s="14">
        <v>8.3333333333333329E-2</v>
      </c>
      <c r="BJ75"/>
      <c r="BK75"/>
      <c r="BL75"/>
      <c r="BM75"/>
      <c r="BN75"/>
      <c r="BO75"/>
      <c r="BP75"/>
      <c r="BQ75"/>
      <c r="BR75"/>
      <c r="BS75"/>
    </row>
    <row r="76" spans="1:71" x14ac:dyDescent="0.2">
      <c r="A76" s="1" t="s">
        <v>649</v>
      </c>
      <c r="B76" s="2" t="s">
        <v>667</v>
      </c>
      <c r="C76" s="2" t="s">
        <v>668</v>
      </c>
      <c r="D76" s="49" t="s">
        <v>652</v>
      </c>
      <c r="E76" s="2" t="s">
        <v>669</v>
      </c>
      <c r="F76" s="2" t="s">
        <v>71</v>
      </c>
      <c r="G76" s="1" t="s">
        <v>654</v>
      </c>
      <c r="H76" s="1" t="s">
        <v>655</v>
      </c>
      <c r="I76" s="2" t="s">
        <v>656</v>
      </c>
      <c r="J76" s="2" t="s">
        <v>657</v>
      </c>
      <c r="L76" s="5" t="s">
        <v>77</v>
      </c>
      <c r="M76" s="2" t="s">
        <v>78</v>
      </c>
      <c r="N76" s="2" t="s">
        <v>126</v>
      </c>
      <c r="P76" s="2" t="s">
        <v>80</v>
      </c>
      <c r="Q76" s="2" t="s">
        <v>244</v>
      </c>
      <c r="R76" s="2" t="s">
        <v>658</v>
      </c>
      <c r="S76" s="26">
        <v>21</v>
      </c>
      <c r="T76" s="2" t="s">
        <v>283</v>
      </c>
      <c r="V76" s="2" t="s">
        <v>284</v>
      </c>
      <c r="W76" s="2" t="s">
        <v>217</v>
      </c>
      <c r="X76" s="27">
        <v>50</v>
      </c>
      <c r="Y76" s="26" t="s">
        <v>285</v>
      </c>
      <c r="Z76" s="1" t="s">
        <v>286</v>
      </c>
      <c r="AB76" s="2" t="s">
        <v>659</v>
      </c>
      <c r="AC76" s="2" t="s">
        <v>88</v>
      </c>
      <c r="AD76" s="26">
        <v>20</v>
      </c>
      <c r="AF76" s="1" t="s">
        <v>90</v>
      </c>
      <c r="AH76" s="2" t="s">
        <v>637</v>
      </c>
      <c r="AI76" s="1" t="s">
        <v>185</v>
      </c>
      <c r="AK76" s="2" t="s">
        <v>375</v>
      </c>
      <c r="AL76" s="2" t="s">
        <v>107</v>
      </c>
      <c r="AM76" s="2" t="s">
        <v>107</v>
      </c>
      <c r="AN76" s="2" t="s">
        <v>96</v>
      </c>
      <c r="AO76" s="2" t="s">
        <v>661</v>
      </c>
      <c r="AP76" s="1" t="s">
        <v>670</v>
      </c>
      <c r="AQ76" s="1" t="s">
        <v>671</v>
      </c>
      <c r="AR76" s="1" t="s">
        <v>672</v>
      </c>
      <c r="AS76" s="1" t="s">
        <v>673</v>
      </c>
      <c r="AT76" s="2" t="s">
        <v>71</v>
      </c>
      <c r="AV76" s="1">
        <v>33.739130430000003</v>
      </c>
      <c r="AW76" s="1">
        <v>16.895984980000001</v>
      </c>
      <c r="AX76" s="1">
        <v>23</v>
      </c>
      <c r="AY76" s="1">
        <v>3.5230564069999999</v>
      </c>
      <c r="AZ76" s="12"/>
      <c r="BA76" s="1">
        <v>22.166666666666668</v>
      </c>
      <c r="BB76" s="1">
        <v>14.5733439176181</v>
      </c>
      <c r="BC76" s="1">
        <v>18</v>
      </c>
      <c r="BD76" s="1">
        <v>3.4349701029038289</v>
      </c>
      <c r="BF76" s="1" t="s">
        <v>666</v>
      </c>
      <c r="BJ76"/>
      <c r="BK76"/>
      <c r="BL76"/>
      <c r="BM76"/>
      <c r="BN76"/>
      <c r="BO76"/>
      <c r="BP76"/>
      <c r="BQ76"/>
      <c r="BR76"/>
      <c r="BS76"/>
    </row>
    <row r="77" spans="1:71" x14ac:dyDescent="0.2">
      <c r="A77" s="1" t="s">
        <v>649</v>
      </c>
      <c r="B77" s="2" t="s">
        <v>650</v>
      </c>
      <c r="C77" s="2" t="s">
        <v>651</v>
      </c>
      <c r="D77" s="49" t="s">
        <v>674</v>
      </c>
      <c r="E77" s="2" t="s">
        <v>675</v>
      </c>
      <c r="F77" s="2" t="s">
        <v>71</v>
      </c>
      <c r="G77" s="1" t="s">
        <v>654</v>
      </c>
      <c r="H77" s="1" t="s">
        <v>655</v>
      </c>
      <c r="I77" s="2" t="s">
        <v>656</v>
      </c>
      <c r="J77" s="2" t="s">
        <v>657</v>
      </c>
      <c r="L77" s="5" t="s">
        <v>77</v>
      </c>
      <c r="M77" s="2" t="s">
        <v>78</v>
      </c>
      <c r="N77" s="2" t="s">
        <v>126</v>
      </c>
      <c r="P77" s="2" t="s">
        <v>80</v>
      </c>
      <c r="Q77" s="2" t="s">
        <v>244</v>
      </c>
      <c r="R77" s="2" t="s">
        <v>658</v>
      </c>
      <c r="S77" s="26">
        <v>21</v>
      </c>
      <c r="T77" s="2" t="s">
        <v>283</v>
      </c>
      <c r="V77" s="2" t="s">
        <v>284</v>
      </c>
      <c r="W77" s="2" t="s">
        <v>217</v>
      </c>
      <c r="X77" s="27">
        <v>50</v>
      </c>
      <c r="Y77" s="26" t="s">
        <v>285</v>
      </c>
      <c r="Z77" s="1" t="s">
        <v>286</v>
      </c>
      <c r="AB77" s="2" t="s">
        <v>659</v>
      </c>
      <c r="AC77" s="2" t="s">
        <v>288</v>
      </c>
      <c r="AD77" s="26">
        <v>20</v>
      </c>
      <c r="AF77" s="1" t="s">
        <v>90</v>
      </c>
      <c r="AH77" s="2" t="s">
        <v>637</v>
      </c>
      <c r="AI77" s="1" t="s">
        <v>185</v>
      </c>
      <c r="AK77" s="2" t="s">
        <v>676</v>
      </c>
      <c r="AL77" s="2" t="s">
        <v>107</v>
      </c>
      <c r="AM77" s="2" t="s">
        <v>107</v>
      </c>
      <c r="AN77" s="2" t="s">
        <v>96</v>
      </c>
      <c r="AO77" s="2" t="s">
        <v>677</v>
      </c>
      <c r="AP77" s="1" t="s">
        <v>678</v>
      </c>
      <c r="AQ77" s="1" t="s">
        <v>679</v>
      </c>
      <c r="AR77" s="1" t="s">
        <v>367</v>
      </c>
      <c r="AS77" s="1" t="s">
        <v>680</v>
      </c>
      <c r="AT77" s="1" t="s">
        <v>71</v>
      </c>
      <c r="AV77" s="1">
        <v>8.92</v>
      </c>
      <c r="AW77" s="1">
        <v>6.9337339629999999</v>
      </c>
      <c r="AX77" s="1">
        <v>25</v>
      </c>
      <c r="AY77" s="1">
        <v>1.3867467929999999</v>
      </c>
      <c r="AZ77" s="12"/>
      <c r="BA77" s="1">
        <v>6.8947368421052628</v>
      </c>
      <c r="BB77" s="1">
        <v>4.4208437711734181</v>
      </c>
      <c r="BC77" s="1">
        <v>19</v>
      </c>
      <c r="BD77" s="1">
        <v>1.0142111180908515</v>
      </c>
      <c r="BF77" s="1" t="s">
        <v>666</v>
      </c>
      <c r="BJ77"/>
      <c r="BK77"/>
      <c r="BL77"/>
      <c r="BM77"/>
      <c r="BN77"/>
      <c r="BO77"/>
      <c r="BP77"/>
      <c r="BQ77"/>
      <c r="BR77"/>
      <c r="BS77"/>
    </row>
    <row r="78" spans="1:71" x14ac:dyDescent="0.2">
      <c r="A78" s="1" t="s">
        <v>649</v>
      </c>
      <c r="B78" s="2" t="s">
        <v>667</v>
      </c>
      <c r="C78" s="2" t="s">
        <v>668</v>
      </c>
      <c r="D78" s="49" t="s">
        <v>674</v>
      </c>
      <c r="E78" s="2" t="s">
        <v>681</v>
      </c>
      <c r="F78" s="2" t="s">
        <v>71</v>
      </c>
      <c r="G78" s="1" t="s">
        <v>654</v>
      </c>
      <c r="H78" s="1" t="s">
        <v>655</v>
      </c>
      <c r="I78" s="2" t="s">
        <v>656</v>
      </c>
      <c r="J78" s="2" t="s">
        <v>657</v>
      </c>
      <c r="L78" s="5" t="s">
        <v>77</v>
      </c>
      <c r="M78" s="2" t="s">
        <v>78</v>
      </c>
      <c r="N78" s="2" t="s">
        <v>126</v>
      </c>
      <c r="P78" s="2" t="s">
        <v>80</v>
      </c>
      <c r="Q78" s="2" t="s">
        <v>244</v>
      </c>
      <c r="R78" s="2" t="s">
        <v>658</v>
      </c>
      <c r="S78" s="26">
        <v>21</v>
      </c>
      <c r="T78" s="2" t="s">
        <v>283</v>
      </c>
      <c r="V78" s="2" t="s">
        <v>284</v>
      </c>
      <c r="W78" s="2" t="s">
        <v>217</v>
      </c>
      <c r="X78" s="27">
        <v>50</v>
      </c>
      <c r="Y78" s="26" t="s">
        <v>285</v>
      </c>
      <c r="Z78" s="1" t="s">
        <v>286</v>
      </c>
      <c r="AB78" s="2" t="s">
        <v>659</v>
      </c>
      <c r="AC78" s="2" t="s">
        <v>88</v>
      </c>
      <c r="AD78" s="26">
        <v>20</v>
      </c>
      <c r="AF78" s="1" t="s">
        <v>90</v>
      </c>
      <c r="AH78" s="2" t="s">
        <v>637</v>
      </c>
      <c r="AI78" s="1" t="s">
        <v>185</v>
      </c>
      <c r="AK78" s="2" t="s">
        <v>676</v>
      </c>
      <c r="AL78" s="2" t="s">
        <v>107</v>
      </c>
      <c r="AM78" s="2" t="s">
        <v>107</v>
      </c>
      <c r="AN78" s="2" t="s">
        <v>96</v>
      </c>
      <c r="AO78" s="2" t="s">
        <v>677</v>
      </c>
      <c r="AP78" s="1" t="s">
        <v>682</v>
      </c>
      <c r="AQ78" s="1" t="s">
        <v>683</v>
      </c>
      <c r="AR78" s="1" t="s">
        <v>371</v>
      </c>
      <c r="AS78" s="1" t="s">
        <v>684</v>
      </c>
      <c r="AT78" s="2" t="s">
        <v>71</v>
      </c>
      <c r="AV78" s="1">
        <v>10.13043478</v>
      </c>
      <c r="AW78" s="1">
        <v>8.7557998850000001</v>
      </c>
      <c r="AX78" s="1">
        <v>23</v>
      </c>
      <c r="AY78" s="1">
        <v>1.8257104829999999</v>
      </c>
      <c r="AZ78" s="12"/>
      <c r="BA78" s="1">
        <v>4.3888888888888893</v>
      </c>
      <c r="BB78" s="1">
        <v>4.1746981418017999</v>
      </c>
      <c r="BC78" s="1">
        <v>18</v>
      </c>
      <c r="BD78" s="1">
        <v>0.98398578849164409</v>
      </c>
      <c r="BF78" s="1" t="s">
        <v>666</v>
      </c>
      <c r="BJ78"/>
      <c r="BK78"/>
      <c r="BL78"/>
      <c r="BM78"/>
      <c r="BN78"/>
      <c r="BO78"/>
      <c r="BP78"/>
      <c r="BQ78"/>
      <c r="BR78"/>
      <c r="BS78"/>
    </row>
    <row r="79" spans="1:71" x14ac:dyDescent="0.2">
      <c r="A79" s="1" t="s">
        <v>649</v>
      </c>
      <c r="B79" s="2" t="s">
        <v>650</v>
      </c>
      <c r="C79" s="2" t="s">
        <v>651</v>
      </c>
      <c r="D79" s="49" t="s">
        <v>685</v>
      </c>
      <c r="E79" s="2" t="s">
        <v>686</v>
      </c>
      <c r="F79" s="2" t="s">
        <v>71</v>
      </c>
      <c r="G79" s="1" t="s">
        <v>654</v>
      </c>
      <c r="H79" s="1" t="s">
        <v>655</v>
      </c>
      <c r="I79" s="2" t="s">
        <v>656</v>
      </c>
      <c r="J79" s="2" t="s">
        <v>657</v>
      </c>
      <c r="L79" s="5" t="s">
        <v>77</v>
      </c>
      <c r="M79" s="2" t="s">
        <v>78</v>
      </c>
      <c r="N79" s="2" t="s">
        <v>126</v>
      </c>
      <c r="P79" s="2" t="s">
        <v>80</v>
      </c>
      <c r="Q79" s="2" t="s">
        <v>244</v>
      </c>
      <c r="R79" s="2" t="s">
        <v>658</v>
      </c>
      <c r="S79" s="26">
        <v>21</v>
      </c>
      <c r="T79" s="2" t="s">
        <v>283</v>
      </c>
      <c r="V79" s="2" t="s">
        <v>284</v>
      </c>
      <c r="W79" s="2" t="s">
        <v>217</v>
      </c>
      <c r="X79" s="27">
        <v>50</v>
      </c>
      <c r="Y79" s="26" t="s">
        <v>285</v>
      </c>
      <c r="Z79" s="1" t="s">
        <v>286</v>
      </c>
      <c r="AB79" s="2" t="s">
        <v>659</v>
      </c>
      <c r="AC79" s="2" t="s">
        <v>288</v>
      </c>
      <c r="AD79" s="26">
        <v>20</v>
      </c>
      <c r="AF79" s="1" t="s">
        <v>90</v>
      </c>
      <c r="AH79" s="2" t="s">
        <v>637</v>
      </c>
      <c r="AI79" s="1" t="s">
        <v>185</v>
      </c>
      <c r="AK79" s="2" t="s">
        <v>687</v>
      </c>
      <c r="AL79" s="2" t="s">
        <v>107</v>
      </c>
      <c r="AM79" s="2" t="s">
        <v>107</v>
      </c>
      <c r="AN79" s="2" t="s">
        <v>96</v>
      </c>
      <c r="AO79" s="2" t="s">
        <v>688</v>
      </c>
      <c r="AP79" s="1" t="s">
        <v>689</v>
      </c>
      <c r="AQ79" s="1" t="s">
        <v>690</v>
      </c>
      <c r="AR79" s="1" t="s">
        <v>691</v>
      </c>
      <c r="AS79" s="1" t="s">
        <v>692</v>
      </c>
      <c r="AT79" s="2" t="s">
        <v>71</v>
      </c>
      <c r="AV79" s="1">
        <v>1.1599999999999999</v>
      </c>
      <c r="AW79" s="1">
        <v>1.491084616</v>
      </c>
      <c r="AX79" s="1">
        <v>25</v>
      </c>
      <c r="AY79" s="1">
        <v>0.29821692300000002</v>
      </c>
      <c r="BA79" s="1">
        <v>1.3157894736842106</v>
      </c>
      <c r="BB79" s="1">
        <v>2.0290290940071523</v>
      </c>
      <c r="BC79" s="1">
        <v>19</v>
      </c>
      <c r="BD79" s="1">
        <v>0.46549119864637184</v>
      </c>
      <c r="BF79" s="1" t="s">
        <v>666</v>
      </c>
      <c r="BJ79"/>
      <c r="BK79"/>
      <c r="BL79"/>
      <c r="BM79"/>
      <c r="BN79"/>
      <c r="BO79"/>
      <c r="BP79"/>
      <c r="BQ79"/>
      <c r="BR79"/>
      <c r="BS79"/>
    </row>
    <row r="80" spans="1:71" x14ac:dyDescent="0.2">
      <c r="A80" s="1" t="s">
        <v>649</v>
      </c>
      <c r="B80" s="2" t="s">
        <v>667</v>
      </c>
      <c r="C80" s="2" t="s">
        <v>668</v>
      </c>
      <c r="D80" s="49" t="s">
        <v>685</v>
      </c>
      <c r="E80" s="2" t="s">
        <v>693</v>
      </c>
      <c r="F80" s="2" t="s">
        <v>71</v>
      </c>
      <c r="G80" s="1" t="s">
        <v>654</v>
      </c>
      <c r="H80" s="1" t="s">
        <v>655</v>
      </c>
      <c r="I80" s="2" t="s">
        <v>656</v>
      </c>
      <c r="J80" s="2" t="s">
        <v>657</v>
      </c>
      <c r="L80" s="5" t="s">
        <v>77</v>
      </c>
      <c r="M80" s="2" t="s">
        <v>78</v>
      </c>
      <c r="N80" s="2" t="s">
        <v>126</v>
      </c>
      <c r="P80" s="2" t="s">
        <v>80</v>
      </c>
      <c r="Q80" s="2" t="s">
        <v>244</v>
      </c>
      <c r="R80" s="2" t="s">
        <v>658</v>
      </c>
      <c r="S80" s="26">
        <v>21</v>
      </c>
      <c r="T80" s="2" t="s">
        <v>283</v>
      </c>
      <c r="V80" s="2" t="s">
        <v>284</v>
      </c>
      <c r="W80" s="2" t="s">
        <v>217</v>
      </c>
      <c r="X80" s="27">
        <v>50</v>
      </c>
      <c r="Y80" s="26" t="s">
        <v>285</v>
      </c>
      <c r="Z80" s="1" t="s">
        <v>286</v>
      </c>
      <c r="AB80" s="2" t="s">
        <v>659</v>
      </c>
      <c r="AC80" s="2" t="s">
        <v>88</v>
      </c>
      <c r="AD80" s="26">
        <v>20</v>
      </c>
      <c r="AF80" s="1" t="s">
        <v>90</v>
      </c>
      <c r="AH80" s="2" t="s">
        <v>637</v>
      </c>
      <c r="AI80" s="1" t="s">
        <v>185</v>
      </c>
      <c r="AK80" s="2" t="s">
        <v>687</v>
      </c>
      <c r="AL80" s="2" t="s">
        <v>107</v>
      </c>
      <c r="AM80" s="2" t="s">
        <v>107</v>
      </c>
      <c r="AN80" s="2" t="s">
        <v>96</v>
      </c>
      <c r="AO80" s="2" t="s">
        <v>688</v>
      </c>
      <c r="AP80" s="1" t="s">
        <v>694</v>
      </c>
      <c r="AQ80" s="1" t="s">
        <v>695</v>
      </c>
      <c r="AR80" s="1" t="s">
        <v>696</v>
      </c>
      <c r="AS80" s="1" t="s">
        <v>697</v>
      </c>
      <c r="AT80" s="2" t="s">
        <v>71</v>
      </c>
      <c r="AV80" s="1">
        <v>2.2608695650000001</v>
      </c>
      <c r="AW80" s="1">
        <v>2.526538978</v>
      </c>
      <c r="AX80" s="1">
        <v>23</v>
      </c>
      <c r="AY80" s="1">
        <v>0.52681979499999998</v>
      </c>
      <c r="BA80" s="1">
        <v>0.88888888888888884</v>
      </c>
      <c r="BB80" s="1">
        <v>2.3235087282938096</v>
      </c>
      <c r="BC80" s="1">
        <v>18</v>
      </c>
      <c r="BD80" s="1">
        <v>0.54765625930756145</v>
      </c>
      <c r="BF80" s="1" t="s">
        <v>666</v>
      </c>
      <c r="BJ80"/>
      <c r="BK80"/>
      <c r="BL80"/>
      <c r="BM80"/>
      <c r="BN80"/>
      <c r="BO80"/>
      <c r="BP80"/>
      <c r="BQ80"/>
      <c r="BR80"/>
      <c r="BS80"/>
    </row>
    <row r="81" spans="1:71" x14ac:dyDescent="0.2">
      <c r="A81" s="1" t="s">
        <v>649</v>
      </c>
      <c r="B81" s="2" t="s">
        <v>650</v>
      </c>
      <c r="C81" s="2" t="s">
        <v>651</v>
      </c>
      <c r="D81" s="49" t="s">
        <v>698</v>
      </c>
      <c r="E81" s="2" t="s">
        <v>699</v>
      </c>
      <c r="F81" s="2" t="s">
        <v>71</v>
      </c>
      <c r="G81" s="1" t="s">
        <v>654</v>
      </c>
      <c r="H81" s="1" t="s">
        <v>655</v>
      </c>
      <c r="I81" s="2" t="s">
        <v>656</v>
      </c>
      <c r="J81" s="2" t="s">
        <v>657</v>
      </c>
      <c r="L81" s="5" t="s">
        <v>77</v>
      </c>
      <c r="M81" s="2" t="s">
        <v>78</v>
      </c>
      <c r="N81" s="2" t="s">
        <v>126</v>
      </c>
      <c r="P81" s="2" t="s">
        <v>80</v>
      </c>
      <c r="Q81" s="2" t="s">
        <v>244</v>
      </c>
      <c r="R81" s="2" t="s">
        <v>658</v>
      </c>
      <c r="S81" s="26">
        <v>21</v>
      </c>
      <c r="T81" s="2" t="s">
        <v>283</v>
      </c>
      <c r="V81" s="2" t="s">
        <v>284</v>
      </c>
      <c r="W81" s="2" t="s">
        <v>217</v>
      </c>
      <c r="X81" s="27">
        <v>50</v>
      </c>
      <c r="Y81" s="26" t="s">
        <v>285</v>
      </c>
      <c r="Z81" s="1" t="s">
        <v>286</v>
      </c>
      <c r="AB81" s="2" t="s">
        <v>659</v>
      </c>
      <c r="AC81" s="2" t="s">
        <v>288</v>
      </c>
      <c r="AD81" s="26">
        <v>20</v>
      </c>
      <c r="AF81" s="1" t="s">
        <v>90</v>
      </c>
      <c r="AH81" s="2" t="s">
        <v>637</v>
      </c>
      <c r="AI81" s="1" t="s">
        <v>185</v>
      </c>
      <c r="AK81" s="2" t="s">
        <v>700</v>
      </c>
      <c r="AL81" s="2" t="s">
        <v>107</v>
      </c>
      <c r="AM81" s="2" t="s">
        <v>107</v>
      </c>
      <c r="AN81" s="2" t="s">
        <v>96</v>
      </c>
      <c r="AO81" s="2" t="s">
        <v>688</v>
      </c>
      <c r="AP81" s="1" t="s">
        <v>701</v>
      </c>
      <c r="AQ81" s="1" t="s">
        <v>702</v>
      </c>
      <c r="AR81" s="1" t="s">
        <v>703</v>
      </c>
      <c r="AS81" s="1" t="s">
        <v>704</v>
      </c>
      <c r="AT81" s="2" t="s">
        <v>71</v>
      </c>
      <c r="AV81" s="1">
        <v>2.0964</v>
      </c>
      <c r="AW81" s="1">
        <v>3.3900674529999999</v>
      </c>
      <c r="AX81" s="1">
        <v>25</v>
      </c>
      <c r="AY81" s="1">
        <v>0.67801349099999997</v>
      </c>
      <c r="BA81" s="1">
        <v>2.9368421052631577</v>
      </c>
      <c r="BB81" s="1">
        <v>5.1190418511362266</v>
      </c>
      <c r="BC81" s="1">
        <v>19</v>
      </c>
      <c r="BD81" s="1">
        <v>1.1743887429925364</v>
      </c>
      <c r="BF81" s="1" t="s">
        <v>666</v>
      </c>
      <c r="BJ81"/>
      <c r="BK81"/>
      <c r="BL81"/>
      <c r="BM81"/>
      <c r="BN81"/>
      <c r="BO81"/>
      <c r="BP81"/>
      <c r="BQ81"/>
      <c r="BR81"/>
      <c r="BS81"/>
    </row>
    <row r="82" spans="1:71" x14ac:dyDescent="0.2">
      <c r="A82" s="1" t="s">
        <v>649</v>
      </c>
      <c r="B82" s="2" t="s">
        <v>667</v>
      </c>
      <c r="C82" s="2" t="s">
        <v>668</v>
      </c>
      <c r="D82" s="49" t="s">
        <v>698</v>
      </c>
      <c r="E82" s="2" t="s">
        <v>705</v>
      </c>
      <c r="F82" s="2" t="s">
        <v>71</v>
      </c>
      <c r="G82" s="1" t="s">
        <v>654</v>
      </c>
      <c r="H82" s="1" t="s">
        <v>655</v>
      </c>
      <c r="I82" s="2" t="s">
        <v>656</v>
      </c>
      <c r="J82" s="2" t="s">
        <v>657</v>
      </c>
      <c r="L82" s="5" t="s">
        <v>77</v>
      </c>
      <c r="M82" s="2" t="s">
        <v>78</v>
      </c>
      <c r="N82" s="2" t="s">
        <v>126</v>
      </c>
      <c r="P82" s="2" t="s">
        <v>80</v>
      </c>
      <c r="Q82" s="2" t="s">
        <v>244</v>
      </c>
      <c r="R82" s="2" t="s">
        <v>658</v>
      </c>
      <c r="S82" s="26">
        <v>21</v>
      </c>
      <c r="T82" s="2" t="s">
        <v>283</v>
      </c>
      <c r="V82" s="2" t="s">
        <v>284</v>
      </c>
      <c r="W82" s="2" t="s">
        <v>217</v>
      </c>
      <c r="X82" s="27">
        <v>50</v>
      </c>
      <c r="Y82" s="26" t="s">
        <v>285</v>
      </c>
      <c r="Z82" s="1" t="s">
        <v>286</v>
      </c>
      <c r="AB82" s="2" t="s">
        <v>659</v>
      </c>
      <c r="AC82" s="2" t="s">
        <v>88</v>
      </c>
      <c r="AD82" s="26">
        <v>20</v>
      </c>
      <c r="AF82" s="1" t="s">
        <v>90</v>
      </c>
      <c r="AH82" s="2" t="s">
        <v>637</v>
      </c>
      <c r="AI82" s="1" t="s">
        <v>185</v>
      </c>
      <c r="AK82" s="2" t="s">
        <v>700</v>
      </c>
      <c r="AL82" s="2" t="s">
        <v>107</v>
      </c>
      <c r="AM82" s="2" t="s">
        <v>107</v>
      </c>
      <c r="AN82" s="2" t="s">
        <v>96</v>
      </c>
      <c r="AO82" s="2" t="s">
        <v>688</v>
      </c>
      <c r="AP82" s="1" t="s">
        <v>706</v>
      </c>
      <c r="AQ82" s="1" t="s">
        <v>707</v>
      </c>
      <c r="AR82" s="1" t="s">
        <v>708</v>
      </c>
      <c r="AS82" s="1" t="s">
        <v>709</v>
      </c>
      <c r="AT82" s="2" t="s">
        <v>71</v>
      </c>
      <c r="AV82" s="1">
        <v>5.1769565220000002</v>
      </c>
      <c r="AW82" s="1">
        <v>6.8376759969999998</v>
      </c>
      <c r="AX82" s="1">
        <v>23</v>
      </c>
      <c r="AY82" s="1">
        <v>1.4257540040000001</v>
      </c>
      <c r="BA82" s="18">
        <v>0.77388888888888874</v>
      </c>
      <c r="BB82" s="1">
        <v>2.1925438861766153</v>
      </c>
      <c r="BC82" s="1">
        <v>18</v>
      </c>
      <c r="BD82" s="1">
        <v>0.51678754998819687</v>
      </c>
      <c r="BF82" s="1" t="s">
        <v>666</v>
      </c>
      <c r="BJ82"/>
      <c r="BK82"/>
      <c r="BL82"/>
      <c r="BM82"/>
      <c r="BN82"/>
      <c r="BO82"/>
      <c r="BP82"/>
      <c r="BQ82"/>
      <c r="BR82"/>
      <c r="BS82"/>
    </row>
    <row r="83" spans="1:71" x14ac:dyDescent="0.2">
      <c r="A83" s="1" t="s">
        <v>649</v>
      </c>
      <c r="B83" s="2" t="s">
        <v>650</v>
      </c>
      <c r="C83" s="2" t="s">
        <v>651</v>
      </c>
      <c r="D83" s="49" t="s">
        <v>710</v>
      </c>
      <c r="E83" s="2" t="s">
        <v>711</v>
      </c>
      <c r="F83" s="2" t="s">
        <v>71</v>
      </c>
      <c r="G83" s="1" t="s">
        <v>654</v>
      </c>
      <c r="H83" s="1" t="s">
        <v>655</v>
      </c>
      <c r="I83" s="2" t="s">
        <v>656</v>
      </c>
      <c r="J83" s="2" t="s">
        <v>657</v>
      </c>
      <c r="L83" s="5" t="s">
        <v>77</v>
      </c>
      <c r="M83" s="2" t="s">
        <v>78</v>
      </c>
      <c r="N83" s="2" t="s">
        <v>126</v>
      </c>
      <c r="P83" s="2" t="s">
        <v>80</v>
      </c>
      <c r="Q83" s="2" t="s">
        <v>244</v>
      </c>
      <c r="R83" s="2" t="s">
        <v>658</v>
      </c>
      <c r="S83" s="26">
        <v>21</v>
      </c>
      <c r="T83" s="2" t="s">
        <v>283</v>
      </c>
      <c r="V83" s="2" t="s">
        <v>284</v>
      </c>
      <c r="W83" s="2" t="s">
        <v>217</v>
      </c>
      <c r="X83" s="27">
        <v>50</v>
      </c>
      <c r="Y83" s="26" t="s">
        <v>285</v>
      </c>
      <c r="Z83" s="1" t="s">
        <v>286</v>
      </c>
      <c r="AB83" s="2" t="s">
        <v>659</v>
      </c>
      <c r="AC83" s="2" t="s">
        <v>288</v>
      </c>
      <c r="AD83" s="26">
        <v>20</v>
      </c>
      <c r="AF83" s="1" t="s">
        <v>90</v>
      </c>
      <c r="AH83" s="2" t="s">
        <v>637</v>
      </c>
      <c r="AI83" s="1" t="s">
        <v>185</v>
      </c>
      <c r="AK83" s="2" t="s">
        <v>404</v>
      </c>
      <c r="AL83" s="2" t="s">
        <v>107</v>
      </c>
      <c r="AM83" s="2" t="s">
        <v>107</v>
      </c>
      <c r="AN83" s="2" t="s">
        <v>96</v>
      </c>
      <c r="AO83" s="2" t="s">
        <v>688</v>
      </c>
      <c r="AP83" s="1" t="s">
        <v>712</v>
      </c>
      <c r="AQ83" s="1" t="s">
        <v>713</v>
      </c>
      <c r="AR83" s="1" t="s">
        <v>714</v>
      </c>
      <c r="AS83" s="1" t="s">
        <v>715</v>
      </c>
      <c r="AT83" s="2" t="s">
        <v>102</v>
      </c>
      <c r="AV83" s="1">
        <v>3.76</v>
      </c>
      <c r="AW83" s="1">
        <v>1.6653328000000001</v>
      </c>
      <c r="AX83" s="1">
        <v>25</v>
      </c>
      <c r="AY83" s="1">
        <v>0.33306656000000001</v>
      </c>
      <c r="BA83" s="1">
        <v>2.7894736842105261</v>
      </c>
      <c r="BB83" s="1">
        <v>1.7819760370137496</v>
      </c>
      <c r="BC83" s="1">
        <v>19</v>
      </c>
      <c r="BD83" s="1">
        <v>0.40881334027126465</v>
      </c>
      <c r="BF83" s="1" t="s">
        <v>666</v>
      </c>
      <c r="BJ83"/>
      <c r="BK83"/>
      <c r="BL83"/>
      <c r="BM83"/>
      <c r="BN83"/>
      <c r="BO83"/>
      <c r="BP83"/>
      <c r="BQ83"/>
      <c r="BR83"/>
      <c r="BS83"/>
    </row>
    <row r="84" spans="1:71" x14ac:dyDescent="0.2">
      <c r="A84" s="1" t="s">
        <v>649</v>
      </c>
      <c r="B84" s="2" t="s">
        <v>667</v>
      </c>
      <c r="C84" s="2" t="s">
        <v>668</v>
      </c>
      <c r="D84" s="49" t="s">
        <v>710</v>
      </c>
      <c r="E84" s="2" t="s">
        <v>716</v>
      </c>
      <c r="F84" s="2" t="s">
        <v>71</v>
      </c>
      <c r="G84" s="1" t="s">
        <v>654</v>
      </c>
      <c r="H84" s="1" t="s">
        <v>655</v>
      </c>
      <c r="I84" s="2" t="s">
        <v>656</v>
      </c>
      <c r="J84" s="2" t="s">
        <v>657</v>
      </c>
      <c r="L84" s="5" t="s">
        <v>77</v>
      </c>
      <c r="M84" s="2" t="s">
        <v>78</v>
      </c>
      <c r="N84" s="2" t="s">
        <v>126</v>
      </c>
      <c r="P84" s="2" t="s">
        <v>80</v>
      </c>
      <c r="Q84" s="2" t="s">
        <v>244</v>
      </c>
      <c r="R84" s="2" t="s">
        <v>658</v>
      </c>
      <c r="S84" s="26">
        <v>21</v>
      </c>
      <c r="T84" s="2" t="s">
        <v>283</v>
      </c>
      <c r="V84" s="2" t="s">
        <v>284</v>
      </c>
      <c r="W84" s="2" t="s">
        <v>217</v>
      </c>
      <c r="X84" s="27">
        <v>50</v>
      </c>
      <c r="Y84" s="26" t="s">
        <v>285</v>
      </c>
      <c r="Z84" s="1" t="s">
        <v>286</v>
      </c>
      <c r="AB84" s="2" t="s">
        <v>659</v>
      </c>
      <c r="AC84" s="2" t="s">
        <v>88</v>
      </c>
      <c r="AD84" s="26">
        <v>20</v>
      </c>
      <c r="AF84" s="1" t="s">
        <v>90</v>
      </c>
      <c r="AH84" s="2" t="s">
        <v>637</v>
      </c>
      <c r="AI84" s="1" t="s">
        <v>185</v>
      </c>
      <c r="AK84" s="2" t="s">
        <v>404</v>
      </c>
      <c r="AL84" s="2" t="s">
        <v>107</v>
      </c>
      <c r="AM84" s="2" t="s">
        <v>107</v>
      </c>
      <c r="AN84" s="2" t="s">
        <v>96</v>
      </c>
      <c r="AO84" s="2" t="s">
        <v>688</v>
      </c>
      <c r="AP84" s="1" t="s">
        <v>717</v>
      </c>
      <c r="AQ84" s="1" t="s">
        <v>718</v>
      </c>
      <c r="AR84" s="1" t="s">
        <v>719</v>
      </c>
      <c r="AS84" s="1" t="s">
        <v>720</v>
      </c>
      <c r="AT84" s="2" t="s">
        <v>102</v>
      </c>
      <c r="AV84" s="1">
        <v>2.6521739129999999</v>
      </c>
      <c r="AW84" s="1">
        <v>1.4650068460000001</v>
      </c>
      <c r="AX84" s="1">
        <v>23</v>
      </c>
      <c r="AY84" s="1">
        <v>0.30547504399999997</v>
      </c>
      <c r="BA84" s="18">
        <v>3</v>
      </c>
      <c r="BB84" s="1">
        <v>1.7489492643904123</v>
      </c>
      <c r="BC84" s="1">
        <v>18</v>
      </c>
      <c r="BD84" s="1">
        <v>0.41223129493389488</v>
      </c>
      <c r="BF84" s="1" t="s">
        <v>666</v>
      </c>
      <c r="BJ84"/>
      <c r="BK84"/>
      <c r="BL84"/>
      <c r="BM84"/>
      <c r="BN84"/>
      <c r="BO84"/>
      <c r="BP84"/>
      <c r="BQ84"/>
      <c r="BR84"/>
      <c r="BS84"/>
    </row>
    <row r="85" spans="1:71" x14ac:dyDescent="0.2">
      <c r="A85" s="1" t="s">
        <v>649</v>
      </c>
      <c r="B85" s="2" t="s">
        <v>650</v>
      </c>
      <c r="C85" s="2" t="s">
        <v>651</v>
      </c>
      <c r="D85" s="49" t="s">
        <v>721</v>
      </c>
      <c r="E85" s="2" t="s">
        <v>722</v>
      </c>
      <c r="F85" s="2" t="s">
        <v>71</v>
      </c>
      <c r="G85" s="1" t="s">
        <v>654</v>
      </c>
      <c r="H85" s="1" t="s">
        <v>655</v>
      </c>
      <c r="I85" s="2" t="s">
        <v>656</v>
      </c>
      <c r="J85" s="2" t="s">
        <v>657</v>
      </c>
      <c r="L85" s="5" t="s">
        <v>77</v>
      </c>
      <c r="M85" s="2" t="s">
        <v>78</v>
      </c>
      <c r="N85" s="2" t="s">
        <v>126</v>
      </c>
      <c r="P85" s="2" t="s">
        <v>80</v>
      </c>
      <c r="Q85" s="2" t="s">
        <v>244</v>
      </c>
      <c r="R85" s="2" t="s">
        <v>658</v>
      </c>
      <c r="S85" s="26">
        <v>21</v>
      </c>
      <c r="T85" s="2" t="s">
        <v>283</v>
      </c>
      <c r="V85" s="2" t="s">
        <v>284</v>
      </c>
      <c r="W85" s="2" t="s">
        <v>217</v>
      </c>
      <c r="X85" s="27">
        <v>50</v>
      </c>
      <c r="Y85" s="26" t="s">
        <v>285</v>
      </c>
      <c r="Z85" s="1" t="s">
        <v>286</v>
      </c>
      <c r="AB85" s="2" t="s">
        <v>659</v>
      </c>
      <c r="AC85" s="2" t="s">
        <v>288</v>
      </c>
      <c r="AD85" s="26">
        <v>20</v>
      </c>
      <c r="AF85" s="1" t="s">
        <v>90</v>
      </c>
      <c r="AH85" s="2" t="s">
        <v>637</v>
      </c>
      <c r="AI85" s="1" t="s">
        <v>185</v>
      </c>
      <c r="AK85" s="2" t="s">
        <v>723</v>
      </c>
      <c r="AL85" s="2" t="s">
        <v>94</v>
      </c>
      <c r="AM85" s="2" t="s">
        <v>95</v>
      </c>
      <c r="AN85" s="2" t="s">
        <v>96</v>
      </c>
      <c r="AO85" s="2" t="s">
        <v>688</v>
      </c>
      <c r="AP85" s="1" t="s">
        <v>724</v>
      </c>
      <c r="AQ85" s="1" t="s">
        <v>725</v>
      </c>
      <c r="AR85" s="1" t="s">
        <v>726</v>
      </c>
      <c r="AS85" s="1" t="s">
        <v>727</v>
      </c>
      <c r="AT85" s="2" t="s">
        <v>102</v>
      </c>
      <c r="AV85" s="1">
        <v>34.048000000000002</v>
      </c>
      <c r="AW85" s="1">
        <v>25.085266919999999</v>
      </c>
      <c r="AX85" s="1">
        <v>25</v>
      </c>
      <c r="AY85" s="1">
        <v>5.0170533849999996</v>
      </c>
      <c r="BA85" s="18">
        <v>28.251578947368419</v>
      </c>
      <c r="BB85" s="1">
        <v>24.69022507056361</v>
      </c>
      <c r="BC85" s="1">
        <v>19</v>
      </c>
      <c r="BD85" s="1">
        <v>5.6643261039926927</v>
      </c>
      <c r="BF85" s="1" t="s">
        <v>666</v>
      </c>
      <c r="BJ85"/>
      <c r="BK85"/>
      <c r="BL85"/>
      <c r="BM85"/>
      <c r="BN85"/>
      <c r="BO85"/>
      <c r="BP85"/>
      <c r="BQ85"/>
      <c r="BR85"/>
      <c r="BS85"/>
    </row>
    <row r="86" spans="1:71" x14ac:dyDescent="0.2">
      <c r="A86" s="1" t="s">
        <v>649</v>
      </c>
      <c r="B86" s="2" t="s">
        <v>667</v>
      </c>
      <c r="C86" s="2" t="s">
        <v>668</v>
      </c>
      <c r="D86" s="49" t="s">
        <v>721</v>
      </c>
      <c r="E86" s="2" t="s">
        <v>728</v>
      </c>
      <c r="F86" s="2" t="s">
        <v>71</v>
      </c>
      <c r="G86" s="1" t="s">
        <v>654</v>
      </c>
      <c r="H86" s="1" t="s">
        <v>655</v>
      </c>
      <c r="I86" s="2" t="s">
        <v>656</v>
      </c>
      <c r="J86" s="2" t="s">
        <v>657</v>
      </c>
      <c r="L86" s="5" t="s">
        <v>77</v>
      </c>
      <c r="M86" s="2" t="s">
        <v>78</v>
      </c>
      <c r="N86" s="2" t="s">
        <v>126</v>
      </c>
      <c r="P86" s="2" t="s">
        <v>80</v>
      </c>
      <c r="Q86" s="2" t="s">
        <v>244</v>
      </c>
      <c r="R86" s="2" t="s">
        <v>658</v>
      </c>
      <c r="S86" s="26">
        <v>21</v>
      </c>
      <c r="T86" s="2" t="s">
        <v>283</v>
      </c>
      <c r="V86" s="2" t="s">
        <v>284</v>
      </c>
      <c r="W86" s="2" t="s">
        <v>217</v>
      </c>
      <c r="X86" s="27">
        <v>50</v>
      </c>
      <c r="Y86" s="26" t="s">
        <v>285</v>
      </c>
      <c r="Z86" s="1" t="s">
        <v>286</v>
      </c>
      <c r="AB86" s="2" t="s">
        <v>659</v>
      </c>
      <c r="AC86" s="2" t="s">
        <v>88</v>
      </c>
      <c r="AD86" s="26">
        <v>20</v>
      </c>
      <c r="AF86" s="1" t="s">
        <v>90</v>
      </c>
      <c r="AH86" s="2" t="s">
        <v>637</v>
      </c>
      <c r="AI86" s="1" t="s">
        <v>185</v>
      </c>
      <c r="AK86" s="2" t="s">
        <v>723</v>
      </c>
      <c r="AL86" s="2" t="s">
        <v>94</v>
      </c>
      <c r="AM86" s="2" t="s">
        <v>95</v>
      </c>
      <c r="AN86" s="2" t="s">
        <v>96</v>
      </c>
      <c r="AO86" s="2" t="s">
        <v>688</v>
      </c>
      <c r="AP86" s="1" t="s">
        <v>729</v>
      </c>
      <c r="AQ86" s="1" t="s">
        <v>730</v>
      </c>
      <c r="AR86" s="1" t="s">
        <v>731</v>
      </c>
      <c r="AS86" s="1" t="s">
        <v>732</v>
      </c>
      <c r="AT86" s="2" t="s">
        <v>102</v>
      </c>
      <c r="AV86" s="1">
        <v>16.378695650000001</v>
      </c>
      <c r="AW86" s="1">
        <v>13.13384016</v>
      </c>
      <c r="AX86" s="1">
        <v>23</v>
      </c>
      <c r="AY86" s="1">
        <v>2.7385949850000002</v>
      </c>
      <c r="BA86" s="18">
        <v>24.206111111111106</v>
      </c>
      <c r="BB86" s="1">
        <v>17.297000127151907</v>
      </c>
      <c r="BC86" s="1">
        <v>18</v>
      </c>
      <c r="BD86" s="1">
        <v>4.0769420280312296</v>
      </c>
      <c r="BF86" s="1" t="s">
        <v>666</v>
      </c>
    </row>
    <row r="87" spans="1:71" x14ac:dyDescent="0.2">
      <c r="A87" s="1" t="s">
        <v>649</v>
      </c>
      <c r="B87" s="2" t="s">
        <v>650</v>
      </c>
      <c r="C87" s="2" t="s">
        <v>651</v>
      </c>
      <c r="D87" s="49" t="s">
        <v>733</v>
      </c>
      <c r="E87" s="2" t="s">
        <v>734</v>
      </c>
      <c r="F87" s="2" t="s">
        <v>71</v>
      </c>
      <c r="G87" s="1" t="s">
        <v>654</v>
      </c>
      <c r="H87" s="1" t="s">
        <v>655</v>
      </c>
      <c r="I87" s="2" t="s">
        <v>656</v>
      </c>
      <c r="J87" s="2" t="s">
        <v>657</v>
      </c>
      <c r="L87" s="5" t="s">
        <v>77</v>
      </c>
      <c r="M87" s="2" t="s">
        <v>78</v>
      </c>
      <c r="N87" s="2" t="s">
        <v>126</v>
      </c>
      <c r="P87" s="2" t="s">
        <v>80</v>
      </c>
      <c r="Q87" s="2" t="s">
        <v>244</v>
      </c>
      <c r="R87" s="2" t="s">
        <v>658</v>
      </c>
      <c r="S87" s="26">
        <v>21</v>
      </c>
      <c r="T87" s="2" t="s">
        <v>283</v>
      </c>
      <c r="V87" s="2" t="s">
        <v>284</v>
      </c>
      <c r="W87" s="2" t="s">
        <v>217</v>
      </c>
      <c r="X87" s="27">
        <v>50</v>
      </c>
      <c r="Y87" s="26" t="s">
        <v>285</v>
      </c>
      <c r="Z87" s="1" t="s">
        <v>286</v>
      </c>
      <c r="AB87" s="2" t="s">
        <v>659</v>
      </c>
      <c r="AC87" s="2" t="s">
        <v>288</v>
      </c>
      <c r="AD87" s="26">
        <v>20</v>
      </c>
      <c r="AF87" s="1" t="s">
        <v>90</v>
      </c>
      <c r="AH87" s="2" t="s">
        <v>637</v>
      </c>
      <c r="AI87" s="1" t="s">
        <v>185</v>
      </c>
      <c r="AK87" s="2" t="s">
        <v>735</v>
      </c>
      <c r="AL87" s="2" t="s">
        <v>94</v>
      </c>
      <c r="AM87" s="2" t="s">
        <v>95</v>
      </c>
      <c r="AN87" s="2" t="s">
        <v>96</v>
      </c>
      <c r="AO87" s="2" t="s">
        <v>736</v>
      </c>
      <c r="AP87" s="1" t="s">
        <v>737</v>
      </c>
      <c r="AQ87" s="1" t="s">
        <v>738</v>
      </c>
      <c r="AR87" s="1" t="s">
        <v>320</v>
      </c>
      <c r="AS87" s="1" t="s">
        <v>739</v>
      </c>
      <c r="AT87" s="2" t="s">
        <v>102</v>
      </c>
      <c r="AV87" s="1">
        <v>36.677999999999997</v>
      </c>
      <c r="AW87" s="1">
        <v>36.638021690000002</v>
      </c>
      <c r="AX87" s="1">
        <v>25</v>
      </c>
      <c r="AY87" s="1">
        <v>7.3276043380000004</v>
      </c>
      <c r="BA87" s="18">
        <v>62.359473684210521</v>
      </c>
      <c r="BB87" s="1">
        <v>53.847680283646618</v>
      </c>
      <c r="BC87" s="1">
        <v>19</v>
      </c>
      <c r="BD87" s="1">
        <v>12.353505089500167</v>
      </c>
      <c r="BF87" s="1" t="s">
        <v>666</v>
      </c>
      <c r="BP87" s="20"/>
    </row>
    <row r="88" spans="1:71" x14ac:dyDescent="0.2">
      <c r="A88" s="1" t="s">
        <v>649</v>
      </c>
      <c r="B88" s="2" t="s">
        <v>667</v>
      </c>
      <c r="C88" s="2" t="s">
        <v>668</v>
      </c>
      <c r="D88" s="49" t="s">
        <v>733</v>
      </c>
      <c r="E88" s="2" t="s">
        <v>740</v>
      </c>
      <c r="F88" s="2" t="s">
        <v>71</v>
      </c>
      <c r="G88" s="1" t="s">
        <v>654</v>
      </c>
      <c r="H88" s="1" t="s">
        <v>655</v>
      </c>
      <c r="I88" s="2" t="s">
        <v>656</v>
      </c>
      <c r="J88" s="2" t="s">
        <v>657</v>
      </c>
      <c r="L88" s="5" t="s">
        <v>77</v>
      </c>
      <c r="M88" s="2" t="s">
        <v>78</v>
      </c>
      <c r="N88" s="2" t="s">
        <v>126</v>
      </c>
      <c r="P88" s="2" t="s">
        <v>80</v>
      </c>
      <c r="Q88" s="2" t="s">
        <v>244</v>
      </c>
      <c r="R88" s="2" t="s">
        <v>658</v>
      </c>
      <c r="S88" s="26">
        <v>21</v>
      </c>
      <c r="T88" s="2" t="s">
        <v>283</v>
      </c>
      <c r="V88" s="2" t="s">
        <v>284</v>
      </c>
      <c r="W88" s="2" t="s">
        <v>217</v>
      </c>
      <c r="X88" s="27">
        <v>50</v>
      </c>
      <c r="Y88" s="26" t="s">
        <v>285</v>
      </c>
      <c r="Z88" s="1" t="s">
        <v>286</v>
      </c>
      <c r="AB88" s="2" t="s">
        <v>659</v>
      </c>
      <c r="AC88" s="2" t="s">
        <v>88</v>
      </c>
      <c r="AD88" s="26">
        <v>20</v>
      </c>
      <c r="AF88" s="1" t="s">
        <v>90</v>
      </c>
      <c r="AH88" s="2" t="s">
        <v>637</v>
      </c>
      <c r="AI88" s="1" t="s">
        <v>185</v>
      </c>
      <c r="AK88" s="2" t="s">
        <v>735</v>
      </c>
      <c r="AL88" s="2" t="s">
        <v>94</v>
      </c>
      <c r="AM88" s="2" t="s">
        <v>95</v>
      </c>
      <c r="AN88" s="2" t="s">
        <v>96</v>
      </c>
      <c r="AO88" s="2" t="s">
        <v>736</v>
      </c>
      <c r="AP88" s="1" t="s">
        <v>741</v>
      </c>
      <c r="AQ88" s="1" t="s">
        <v>742</v>
      </c>
      <c r="AR88" s="1" t="s">
        <v>324</v>
      </c>
      <c r="AS88" s="1" t="s">
        <v>743</v>
      </c>
      <c r="AT88" s="2" t="s">
        <v>102</v>
      </c>
      <c r="AV88" s="1">
        <v>39.256956520000003</v>
      </c>
      <c r="AW88" s="1">
        <v>41.727391859999997</v>
      </c>
      <c r="AX88" s="1">
        <v>23</v>
      </c>
      <c r="AY88" s="1">
        <v>8.7007626630000008</v>
      </c>
      <c r="BA88" s="18">
        <v>79.87833333333333</v>
      </c>
      <c r="BB88" s="1">
        <v>55.48299689199969</v>
      </c>
      <c r="BC88" s="1">
        <v>18</v>
      </c>
      <c r="BD88" s="1">
        <v>13.077467780961708</v>
      </c>
      <c r="BF88" s="1" t="s">
        <v>666</v>
      </c>
    </row>
    <row r="89" spans="1:71" x14ac:dyDescent="0.2">
      <c r="A89" s="1" t="s">
        <v>744</v>
      </c>
      <c r="B89" s="2" t="s">
        <v>745</v>
      </c>
      <c r="C89" s="2" t="s">
        <v>746</v>
      </c>
      <c r="D89" s="49" t="s">
        <v>747</v>
      </c>
      <c r="E89" s="2" t="s">
        <v>748</v>
      </c>
      <c r="F89" s="2" t="s">
        <v>71</v>
      </c>
      <c r="G89" s="1" t="s">
        <v>583</v>
      </c>
      <c r="H89" s="1" t="s">
        <v>749</v>
      </c>
      <c r="I89" s="2" t="s">
        <v>750</v>
      </c>
      <c r="J89" s="2" t="s">
        <v>751</v>
      </c>
      <c r="L89" s="5" t="s">
        <v>77</v>
      </c>
      <c r="M89" s="2" t="s">
        <v>78</v>
      </c>
      <c r="N89" s="2" t="s">
        <v>126</v>
      </c>
      <c r="O89" s="27">
        <v>13</v>
      </c>
      <c r="P89" s="2" t="s">
        <v>752</v>
      </c>
      <c r="Q89" s="2" t="s">
        <v>543</v>
      </c>
      <c r="R89" s="16" t="s">
        <v>753</v>
      </c>
      <c r="S89" s="26">
        <v>9</v>
      </c>
      <c r="T89" s="2" t="s">
        <v>83</v>
      </c>
      <c r="U89" s="1">
        <v>0.05</v>
      </c>
      <c r="V89" s="2" t="s">
        <v>754</v>
      </c>
      <c r="W89" s="2" t="s">
        <v>181</v>
      </c>
      <c r="X89" s="27">
        <v>110</v>
      </c>
      <c r="Y89" s="27">
        <v>500</v>
      </c>
      <c r="Z89" s="1" t="s">
        <v>86</v>
      </c>
      <c r="AB89" s="2" t="s">
        <v>546</v>
      </c>
      <c r="AC89" s="2" t="s">
        <v>88</v>
      </c>
      <c r="AD89" s="26">
        <v>45</v>
      </c>
      <c r="AF89" s="1" t="s">
        <v>90</v>
      </c>
      <c r="AH89" s="2" t="s">
        <v>91</v>
      </c>
      <c r="AI89" s="1" t="s">
        <v>185</v>
      </c>
      <c r="AK89" s="2" t="s">
        <v>755</v>
      </c>
      <c r="AL89" s="2" t="s">
        <v>94</v>
      </c>
      <c r="AM89" s="2" t="s">
        <v>95</v>
      </c>
      <c r="AN89" s="2" t="s">
        <v>96</v>
      </c>
      <c r="AO89" s="2" t="s">
        <v>756</v>
      </c>
      <c r="AP89" s="1" t="s">
        <v>757</v>
      </c>
      <c r="AQ89" s="1" t="s">
        <v>758</v>
      </c>
      <c r="AR89" s="12" t="s">
        <v>759</v>
      </c>
      <c r="AS89" s="3" t="s">
        <v>760</v>
      </c>
      <c r="AT89" s="2" t="s">
        <v>102</v>
      </c>
      <c r="AV89" s="12">
        <v>216.89189189189199</v>
      </c>
      <c r="AW89" s="12">
        <v>47.027027027027103</v>
      </c>
      <c r="AX89" s="12">
        <v>16</v>
      </c>
      <c r="AY89" s="12">
        <v>11.756756756756801</v>
      </c>
      <c r="BA89" s="12">
        <v>253.783783783784</v>
      </c>
      <c r="BB89" s="12">
        <v>51.891891891892101</v>
      </c>
      <c r="BC89" s="12">
        <v>16</v>
      </c>
      <c r="BD89" s="12">
        <v>12.972972972973</v>
      </c>
      <c r="BH89" s="14">
        <v>1.9444444444444445E-2</v>
      </c>
    </row>
    <row r="90" spans="1:71" x14ac:dyDescent="0.2">
      <c r="A90" s="1" t="s">
        <v>744</v>
      </c>
      <c r="B90" s="2" t="s">
        <v>745</v>
      </c>
      <c r="C90" s="2" t="s">
        <v>746</v>
      </c>
      <c r="D90" s="49" t="s">
        <v>761</v>
      </c>
      <c r="E90" s="2" t="s">
        <v>762</v>
      </c>
      <c r="F90" s="2" t="s">
        <v>71</v>
      </c>
      <c r="G90" s="1" t="s">
        <v>583</v>
      </c>
      <c r="H90" s="1" t="s">
        <v>749</v>
      </c>
      <c r="I90" s="2" t="s">
        <v>750</v>
      </c>
      <c r="J90" s="2" t="s">
        <v>751</v>
      </c>
      <c r="L90" s="5" t="s">
        <v>77</v>
      </c>
      <c r="M90" s="2" t="s">
        <v>78</v>
      </c>
      <c r="N90" s="2" t="s">
        <v>126</v>
      </c>
      <c r="O90" s="27">
        <v>13</v>
      </c>
      <c r="P90" s="2" t="s">
        <v>752</v>
      </c>
      <c r="Q90" s="2" t="s">
        <v>543</v>
      </c>
      <c r="R90" s="16" t="s">
        <v>753</v>
      </c>
      <c r="S90" s="26">
        <v>9</v>
      </c>
      <c r="T90" s="2" t="s">
        <v>83</v>
      </c>
      <c r="U90" s="1">
        <v>0.05</v>
      </c>
      <c r="V90" s="2" t="s">
        <v>754</v>
      </c>
      <c r="W90" s="2" t="s">
        <v>181</v>
      </c>
      <c r="X90" s="27">
        <v>110</v>
      </c>
      <c r="Y90" s="27">
        <v>500</v>
      </c>
      <c r="Z90" s="1" t="s">
        <v>86</v>
      </c>
      <c r="AB90" s="2" t="s">
        <v>546</v>
      </c>
      <c r="AC90" s="2" t="s">
        <v>88</v>
      </c>
      <c r="AD90" s="26">
        <v>45</v>
      </c>
      <c r="AF90" s="1" t="s">
        <v>90</v>
      </c>
      <c r="AH90" s="2" t="s">
        <v>91</v>
      </c>
      <c r="AI90" s="1" t="s">
        <v>185</v>
      </c>
      <c r="AK90" s="2" t="s">
        <v>375</v>
      </c>
      <c r="AL90" s="2" t="s">
        <v>107</v>
      </c>
      <c r="AM90" s="2" t="s">
        <v>107</v>
      </c>
      <c r="AN90" s="2" t="s">
        <v>96</v>
      </c>
      <c r="AO90" s="2" t="s">
        <v>763</v>
      </c>
      <c r="AP90" s="1" t="s">
        <v>764</v>
      </c>
      <c r="AQ90" s="1" t="s">
        <v>765</v>
      </c>
      <c r="AR90" s="12" t="s">
        <v>766</v>
      </c>
      <c r="AS90" s="3" t="s">
        <v>767</v>
      </c>
      <c r="AT90" s="2" t="s">
        <v>71</v>
      </c>
      <c r="AV90" s="12">
        <v>70.4382470119522</v>
      </c>
      <c r="AW90" s="12">
        <v>16.148738379814102</v>
      </c>
      <c r="AX90" s="12">
        <v>16</v>
      </c>
      <c r="AY90" s="12">
        <v>4.0371845949535201</v>
      </c>
      <c r="BA90" s="12">
        <v>45.258964143426297</v>
      </c>
      <c r="BB90" s="12">
        <v>8.9243027888446704</v>
      </c>
      <c r="BC90" s="12">
        <v>16</v>
      </c>
      <c r="BD90" s="12">
        <v>2.2310756972111698</v>
      </c>
    </row>
    <row r="91" spans="1:71" x14ac:dyDescent="0.2">
      <c r="A91" s="1" t="s">
        <v>744</v>
      </c>
      <c r="B91" s="2" t="s">
        <v>745</v>
      </c>
      <c r="C91" s="2" t="s">
        <v>746</v>
      </c>
      <c r="D91" s="49" t="s">
        <v>768</v>
      </c>
      <c r="E91" s="2" t="s">
        <v>769</v>
      </c>
      <c r="F91" s="2" t="s">
        <v>71</v>
      </c>
      <c r="G91" s="1" t="s">
        <v>583</v>
      </c>
      <c r="H91" s="1" t="s">
        <v>749</v>
      </c>
      <c r="I91" s="2" t="s">
        <v>750</v>
      </c>
      <c r="J91" s="2" t="s">
        <v>751</v>
      </c>
      <c r="L91" s="5" t="s">
        <v>77</v>
      </c>
      <c r="M91" s="2" t="s">
        <v>78</v>
      </c>
      <c r="N91" s="2" t="s">
        <v>126</v>
      </c>
      <c r="O91" s="27">
        <v>13</v>
      </c>
      <c r="P91" s="2" t="s">
        <v>752</v>
      </c>
      <c r="Q91" s="2" t="s">
        <v>543</v>
      </c>
      <c r="R91" s="16" t="s">
        <v>753</v>
      </c>
      <c r="S91" s="26">
        <v>9</v>
      </c>
      <c r="T91" s="2" t="s">
        <v>83</v>
      </c>
      <c r="U91" s="1">
        <v>0.05</v>
      </c>
      <c r="V91" s="2" t="s">
        <v>754</v>
      </c>
      <c r="W91" s="2" t="s">
        <v>181</v>
      </c>
      <c r="X91" s="27">
        <v>110</v>
      </c>
      <c r="Y91" s="27">
        <v>500</v>
      </c>
      <c r="Z91" s="1" t="s">
        <v>86</v>
      </c>
      <c r="AB91" s="2" t="s">
        <v>546</v>
      </c>
      <c r="AC91" s="2" t="s">
        <v>88</v>
      </c>
      <c r="AD91" s="26">
        <v>45</v>
      </c>
      <c r="AF91" s="1" t="s">
        <v>90</v>
      </c>
      <c r="AH91" s="2" t="s">
        <v>91</v>
      </c>
      <c r="AI91" s="1" t="s">
        <v>185</v>
      </c>
      <c r="AK91" s="2" t="s">
        <v>220</v>
      </c>
      <c r="AL91" s="2" t="s">
        <v>94</v>
      </c>
      <c r="AM91" s="2" t="s">
        <v>95</v>
      </c>
      <c r="AN91" s="2" t="s">
        <v>96</v>
      </c>
      <c r="AO91" s="2" t="s">
        <v>770</v>
      </c>
      <c r="AP91" s="1" t="s">
        <v>771</v>
      </c>
      <c r="AQ91" s="1" t="s">
        <v>772</v>
      </c>
      <c r="AR91" s="12" t="s">
        <v>773</v>
      </c>
      <c r="AS91" s="3" t="s">
        <v>774</v>
      </c>
      <c r="AT91" s="2" t="s">
        <v>71</v>
      </c>
      <c r="AV91" s="12">
        <v>4.1335978835978802</v>
      </c>
      <c r="AW91" s="12">
        <v>0.92592592592592704</v>
      </c>
      <c r="AX91" s="12">
        <v>16</v>
      </c>
      <c r="AY91" s="12">
        <v>0.23148148148148201</v>
      </c>
      <c r="BA91" s="12">
        <v>0.17857142857142799</v>
      </c>
      <c r="BB91" s="12">
        <v>0.26455026455026498</v>
      </c>
      <c r="BC91" s="12">
        <v>16</v>
      </c>
      <c r="BD91" s="12">
        <v>6.6137566137566203E-2</v>
      </c>
    </row>
    <row r="92" spans="1:71" x14ac:dyDescent="0.2">
      <c r="A92" s="1" t="s">
        <v>744</v>
      </c>
      <c r="B92" s="2" t="s">
        <v>745</v>
      </c>
      <c r="C92" s="2" t="s">
        <v>746</v>
      </c>
      <c r="D92" s="49" t="s">
        <v>775</v>
      </c>
      <c r="E92" s="2" t="s">
        <v>776</v>
      </c>
      <c r="F92" s="2" t="s">
        <v>71</v>
      </c>
      <c r="G92" s="1" t="s">
        <v>583</v>
      </c>
      <c r="H92" s="1" t="s">
        <v>749</v>
      </c>
      <c r="I92" s="2" t="s">
        <v>750</v>
      </c>
      <c r="J92" s="2" t="s">
        <v>751</v>
      </c>
      <c r="L92" s="5" t="s">
        <v>77</v>
      </c>
      <c r="M92" s="2" t="s">
        <v>78</v>
      </c>
      <c r="N92" s="2" t="s">
        <v>126</v>
      </c>
      <c r="O92" s="27">
        <v>13</v>
      </c>
      <c r="P92" s="2" t="s">
        <v>752</v>
      </c>
      <c r="Q92" s="2" t="s">
        <v>543</v>
      </c>
      <c r="R92" s="16" t="s">
        <v>753</v>
      </c>
      <c r="S92" s="26">
        <v>9</v>
      </c>
      <c r="T92" s="2" t="s">
        <v>83</v>
      </c>
      <c r="U92" s="1">
        <v>0.05</v>
      </c>
      <c r="V92" s="2" t="s">
        <v>754</v>
      </c>
      <c r="W92" s="2" t="s">
        <v>181</v>
      </c>
      <c r="X92" s="27">
        <v>110</v>
      </c>
      <c r="Y92" s="27">
        <v>500</v>
      </c>
      <c r="Z92" s="1" t="s">
        <v>86</v>
      </c>
      <c r="AB92" s="2" t="s">
        <v>546</v>
      </c>
      <c r="AC92" s="2" t="s">
        <v>88</v>
      </c>
      <c r="AD92" s="26">
        <v>45</v>
      </c>
      <c r="AF92" s="1" t="s">
        <v>90</v>
      </c>
      <c r="AH92" s="2" t="s">
        <v>91</v>
      </c>
      <c r="AI92" s="1" t="s">
        <v>185</v>
      </c>
      <c r="AK92" s="2" t="s">
        <v>195</v>
      </c>
      <c r="AL92" s="1" t="s">
        <v>94</v>
      </c>
      <c r="AM92" s="1" t="s">
        <v>95</v>
      </c>
      <c r="AN92" s="2" t="s">
        <v>96</v>
      </c>
      <c r="AO92" s="2" t="s">
        <v>777</v>
      </c>
      <c r="AP92" s="1" t="s">
        <v>778</v>
      </c>
      <c r="AQ92" s="1" t="s">
        <v>779</v>
      </c>
      <c r="AR92" s="12" t="s">
        <v>780</v>
      </c>
      <c r="AS92" s="3" t="s">
        <v>781</v>
      </c>
      <c r="AT92" s="2" t="s">
        <v>71</v>
      </c>
      <c r="AV92" s="12">
        <v>22.003865979381398</v>
      </c>
      <c r="AW92" s="12">
        <v>5.0257731958762699</v>
      </c>
      <c r="AX92" s="12">
        <v>16</v>
      </c>
      <c r="AY92" s="12">
        <v>1.2564432989690699</v>
      </c>
      <c r="BA92" s="12">
        <v>8.5373711340206206</v>
      </c>
      <c r="BB92" s="12">
        <v>1.9329896907216499</v>
      </c>
      <c r="BC92" s="12">
        <v>16</v>
      </c>
      <c r="BD92" s="12">
        <v>0.48324742268041199</v>
      </c>
    </row>
    <row r="93" spans="1:71" x14ac:dyDescent="0.2">
      <c r="A93" s="1" t="s">
        <v>744</v>
      </c>
      <c r="B93" s="2" t="s">
        <v>745</v>
      </c>
      <c r="C93" s="2" t="s">
        <v>746</v>
      </c>
      <c r="D93" s="49" t="s">
        <v>782</v>
      </c>
      <c r="E93" s="2" t="s">
        <v>783</v>
      </c>
      <c r="F93" s="2" t="s">
        <v>71</v>
      </c>
      <c r="G93" s="1" t="s">
        <v>583</v>
      </c>
      <c r="H93" s="1" t="s">
        <v>749</v>
      </c>
      <c r="I93" s="2" t="s">
        <v>750</v>
      </c>
      <c r="J93" s="2" t="s">
        <v>751</v>
      </c>
      <c r="L93" s="5" t="s">
        <v>77</v>
      </c>
      <c r="M93" s="2" t="s">
        <v>78</v>
      </c>
      <c r="N93" s="2" t="s">
        <v>126</v>
      </c>
      <c r="O93" s="27">
        <v>13</v>
      </c>
      <c r="P93" s="2" t="s">
        <v>752</v>
      </c>
      <c r="Q93" s="2" t="s">
        <v>543</v>
      </c>
      <c r="R93" s="16" t="s">
        <v>753</v>
      </c>
      <c r="S93" s="26">
        <v>9</v>
      </c>
      <c r="T93" s="2" t="s">
        <v>83</v>
      </c>
      <c r="U93" s="1">
        <v>0.05</v>
      </c>
      <c r="V93" s="2" t="s">
        <v>754</v>
      </c>
      <c r="W93" s="2" t="s">
        <v>181</v>
      </c>
      <c r="X93" s="27">
        <v>110</v>
      </c>
      <c r="Y93" s="27">
        <v>500</v>
      </c>
      <c r="Z93" s="1" t="s">
        <v>86</v>
      </c>
      <c r="AB93" s="2" t="s">
        <v>546</v>
      </c>
      <c r="AC93" s="2" t="s">
        <v>88</v>
      </c>
      <c r="AD93" s="26">
        <v>46</v>
      </c>
      <c r="AF93" s="1" t="s">
        <v>90</v>
      </c>
      <c r="AH93" s="2" t="s">
        <v>91</v>
      </c>
      <c r="AI93" s="1" t="s">
        <v>131</v>
      </c>
      <c r="AK93" s="2" t="s">
        <v>146</v>
      </c>
      <c r="AL93" s="2" t="s">
        <v>94</v>
      </c>
      <c r="AM93" s="2" t="s">
        <v>95</v>
      </c>
      <c r="AN93" s="2" t="s">
        <v>96</v>
      </c>
      <c r="AO93" s="2" t="s">
        <v>784</v>
      </c>
      <c r="AP93" s="1" t="s">
        <v>785</v>
      </c>
      <c r="AQ93" s="1" t="s">
        <v>786</v>
      </c>
      <c r="AR93" s="12" t="s">
        <v>787</v>
      </c>
      <c r="AS93" s="3" t="s">
        <v>788</v>
      </c>
      <c r="AT93" s="2" t="s">
        <v>71</v>
      </c>
      <c r="AV93" s="12">
        <v>135.51020408163299</v>
      </c>
      <c r="AW93" s="12">
        <v>31.836734693877599</v>
      </c>
      <c r="AX93" s="12">
        <v>16</v>
      </c>
      <c r="AY93" s="12">
        <v>7.9591836734693997</v>
      </c>
      <c r="BA93" s="12">
        <v>67.959183673469397</v>
      </c>
      <c r="BB93" s="12">
        <v>14.6938775510204</v>
      </c>
      <c r="BC93" s="12">
        <v>16</v>
      </c>
      <c r="BD93" s="12">
        <v>3.6734693877550999</v>
      </c>
    </row>
    <row r="94" spans="1:71" x14ac:dyDescent="0.2">
      <c r="A94" s="1" t="s">
        <v>744</v>
      </c>
      <c r="B94" s="2" t="s">
        <v>745</v>
      </c>
      <c r="C94" s="2" t="s">
        <v>746</v>
      </c>
      <c r="D94" s="49" t="s">
        <v>789</v>
      </c>
      <c r="E94" s="2" t="s">
        <v>790</v>
      </c>
      <c r="F94" s="2" t="s">
        <v>71</v>
      </c>
      <c r="G94" s="1" t="s">
        <v>583</v>
      </c>
      <c r="H94" s="1" t="s">
        <v>749</v>
      </c>
      <c r="I94" s="2" t="s">
        <v>750</v>
      </c>
      <c r="J94" s="2" t="s">
        <v>751</v>
      </c>
      <c r="L94" s="5" t="s">
        <v>77</v>
      </c>
      <c r="M94" s="2" t="s">
        <v>78</v>
      </c>
      <c r="N94" s="2" t="s">
        <v>126</v>
      </c>
      <c r="O94" s="27">
        <v>13</v>
      </c>
      <c r="P94" s="2" t="s">
        <v>752</v>
      </c>
      <c r="Q94" s="2" t="s">
        <v>543</v>
      </c>
      <c r="R94" s="16" t="s">
        <v>753</v>
      </c>
      <c r="S94" s="26">
        <v>9</v>
      </c>
      <c r="T94" s="2" t="s">
        <v>83</v>
      </c>
      <c r="U94" s="1">
        <v>0.05</v>
      </c>
      <c r="V94" s="2" t="s">
        <v>754</v>
      </c>
      <c r="W94" s="2" t="s">
        <v>181</v>
      </c>
      <c r="X94" s="27">
        <v>110</v>
      </c>
      <c r="Y94" s="27">
        <v>500</v>
      </c>
      <c r="Z94" s="1" t="s">
        <v>86</v>
      </c>
      <c r="AB94" s="2" t="s">
        <v>546</v>
      </c>
      <c r="AC94" s="2" t="s">
        <v>88</v>
      </c>
      <c r="AD94" s="26">
        <v>46</v>
      </c>
      <c r="AF94" s="1" t="s">
        <v>791</v>
      </c>
      <c r="AH94" s="2" t="s">
        <v>91</v>
      </c>
      <c r="AI94" s="1" t="s">
        <v>131</v>
      </c>
      <c r="AK94" s="2" t="s">
        <v>195</v>
      </c>
      <c r="AL94" s="2" t="s">
        <v>94</v>
      </c>
      <c r="AM94" s="2" t="s">
        <v>95</v>
      </c>
      <c r="AN94" s="2" t="s">
        <v>96</v>
      </c>
      <c r="AO94" s="2" t="s">
        <v>792</v>
      </c>
      <c r="AP94" s="1" t="s">
        <v>793</v>
      </c>
      <c r="AQ94" s="1" t="s">
        <v>794</v>
      </c>
      <c r="AR94" s="12" t="s">
        <v>795</v>
      </c>
      <c r="AS94" s="3" t="s">
        <v>796</v>
      </c>
      <c r="AT94" s="2" t="s">
        <v>71</v>
      </c>
      <c r="AV94" s="12">
        <v>18.116438356164402</v>
      </c>
      <c r="AW94" s="12">
        <v>4.5205479452054798</v>
      </c>
      <c r="AX94" s="12">
        <v>16</v>
      </c>
      <c r="AY94" s="12">
        <v>1.1301369863013699</v>
      </c>
      <c r="BA94" s="12">
        <v>7.7739726027397298</v>
      </c>
      <c r="BB94" s="12">
        <v>2.0547945205479401</v>
      </c>
      <c r="BC94" s="12">
        <v>16</v>
      </c>
      <c r="BD94" s="12">
        <v>0.51369863013698602</v>
      </c>
    </row>
    <row r="95" spans="1:71" x14ac:dyDescent="0.2">
      <c r="A95" s="1" t="s">
        <v>797</v>
      </c>
      <c r="B95" s="2" t="s">
        <v>798</v>
      </c>
      <c r="C95" s="2" t="s">
        <v>799</v>
      </c>
      <c r="D95" s="49" t="s">
        <v>800</v>
      </c>
      <c r="E95" s="2" t="s">
        <v>801</v>
      </c>
      <c r="F95" s="2" t="s">
        <v>71</v>
      </c>
      <c r="G95" s="2" t="s">
        <v>802</v>
      </c>
      <c r="H95" s="1" t="s">
        <v>803</v>
      </c>
      <c r="J95" s="2" t="s">
        <v>804</v>
      </c>
      <c r="L95" s="21" t="s">
        <v>77</v>
      </c>
      <c r="M95" s="1" t="s">
        <v>805</v>
      </c>
      <c r="N95" s="2" t="s">
        <v>806</v>
      </c>
      <c r="P95" s="1" t="s">
        <v>80</v>
      </c>
      <c r="Q95" s="1" t="s">
        <v>543</v>
      </c>
      <c r="R95" s="1" t="s">
        <v>807</v>
      </c>
      <c r="S95" s="27">
        <v>8</v>
      </c>
      <c r="T95" s="2" t="s">
        <v>83</v>
      </c>
      <c r="U95" s="1">
        <v>5.0000000000000001E-3</v>
      </c>
      <c r="V95" s="2" t="s">
        <v>808</v>
      </c>
      <c r="W95" s="2" t="s">
        <v>85</v>
      </c>
      <c r="X95" s="27">
        <v>85</v>
      </c>
      <c r="Z95" s="1" t="s">
        <v>809</v>
      </c>
      <c r="AB95" s="2" t="s">
        <v>810</v>
      </c>
      <c r="AC95" s="2" t="s">
        <v>88</v>
      </c>
      <c r="AD95" s="26">
        <v>25</v>
      </c>
      <c r="AF95" s="1" t="s">
        <v>791</v>
      </c>
      <c r="AH95" s="2" t="s">
        <v>91</v>
      </c>
      <c r="AI95" s="1" t="s">
        <v>185</v>
      </c>
      <c r="AJ95" s="1" t="s">
        <v>811</v>
      </c>
      <c r="AK95" s="2" t="s">
        <v>812</v>
      </c>
      <c r="AL95" s="2" t="s">
        <v>107</v>
      </c>
      <c r="AM95" s="2" t="s">
        <v>107</v>
      </c>
      <c r="AN95" s="2" t="s">
        <v>136</v>
      </c>
      <c r="AO95" s="2" t="s">
        <v>188</v>
      </c>
      <c r="AP95" s="2" t="s">
        <v>813</v>
      </c>
      <c r="AQ95" s="1" t="s">
        <v>814</v>
      </c>
      <c r="AR95" s="1" t="s">
        <v>815</v>
      </c>
      <c r="AS95" s="3" t="s">
        <v>816</v>
      </c>
      <c r="AT95" s="2" t="s">
        <v>71</v>
      </c>
      <c r="AV95" s="12">
        <v>65.627476882430699</v>
      </c>
      <c r="AW95" s="19">
        <f>SQRT(AV95)</f>
        <v>8.1010787480699573</v>
      </c>
      <c r="AX95" s="1">
        <v>20</v>
      </c>
      <c r="AY95" s="19">
        <f>AW95/SQRT(AX95)</f>
        <v>1.8114562771763316</v>
      </c>
      <c r="BA95" s="1">
        <v>71.228533685601107</v>
      </c>
      <c r="BB95" s="1">
        <f>SQRT(BA95)</f>
        <v>8.4396998575542437</v>
      </c>
      <c r="BC95" s="1">
        <v>20</v>
      </c>
      <c r="BD95" s="19">
        <f>BB95/SQRT(BC95)</f>
        <v>1.887174259118658</v>
      </c>
      <c r="BG95" s="1" t="s">
        <v>817</v>
      </c>
    </row>
    <row r="96" spans="1:71" x14ac:dyDescent="0.2">
      <c r="A96" s="1" t="s">
        <v>797</v>
      </c>
      <c r="B96" s="2" t="s">
        <v>818</v>
      </c>
      <c r="C96" s="2" t="s">
        <v>799</v>
      </c>
      <c r="D96" s="49" t="s">
        <v>800</v>
      </c>
      <c r="E96" s="2" t="s">
        <v>819</v>
      </c>
      <c r="F96" s="2" t="s">
        <v>71</v>
      </c>
      <c r="G96" s="2" t="s">
        <v>802</v>
      </c>
      <c r="H96" s="1" t="s">
        <v>803</v>
      </c>
      <c r="J96" s="2" t="s">
        <v>804</v>
      </c>
      <c r="L96" s="21" t="s">
        <v>77</v>
      </c>
      <c r="M96" s="1" t="s">
        <v>805</v>
      </c>
      <c r="N96" s="2" t="s">
        <v>806</v>
      </c>
      <c r="P96" s="1" t="s">
        <v>80</v>
      </c>
      <c r="Q96" s="1" t="s">
        <v>543</v>
      </c>
      <c r="R96" s="1" t="s">
        <v>807</v>
      </c>
      <c r="S96" s="27">
        <v>8</v>
      </c>
      <c r="T96" s="2" t="s">
        <v>83</v>
      </c>
      <c r="U96" s="1">
        <v>5.0000000000000001E-3</v>
      </c>
      <c r="V96" s="2" t="s">
        <v>808</v>
      </c>
      <c r="W96" s="2" t="s">
        <v>85</v>
      </c>
      <c r="X96" s="27">
        <v>65</v>
      </c>
      <c r="Z96" s="1" t="s">
        <v>809</v>
      </c>
      <c r="AB96" s="2" t="s">
        <v>810</v>
      </c>
      <c r="AC96" s="2" t="s">
        <v>88</v>
      </c>
      <c r="AD96" s="26">
        <v>25</v>
      </c>
      <c r="AF96" s="1" t="s">
        <v>791</v>
      </c>
      <c r="AH96" s="2" t="s">
        <v>91</v>
      </c>
      <c r="AI96" s="1" t="s">
        <v>185</v>
      </c>
      <c r="AJ96" s="1" t="s">
        <v>811</v>
      </c>
      <c r="AK96" s="2" t="s">
        <v>812</v>
      </c>
      <c r="AL96" s="2" t="s">
        <v>107</v>
      </c>
      <c r="AM96" s="2" t="s">
        <v>107</v>
      </c>
      <c r="AN96" s="2" t="s">
        <v>136</v>
      </c>
      <c r="AO96" s="2" t="s">
        <v>188</v>
      </c>
      <c r="AP96" s="2" t="s">
        <v>813</v>
      </c>
      <c r="AQ96" s="1" t="s">
        <v>814</v>
      </c>
      <c r="AR96" s="1" t="s">
        <v>820</v>
      </c>
      <c r="AS96" s="3" t="s">
        <v>821</v>
      </c>
      <c r="AT96" s="2" t="s">
        <v>71</v>
      </c>
      <c r="AV96" s="12">
        <v>65.627476882430699</v>
      </c>
      <c r="AW96" s="19">
        <f t="shared" ref="AW96:AW130" si="5">SQRT(AV96)</f>
        <v>8.1010787480699573</v>
      </c>
      <c r="AX96" s="1">
        <v>20</v>
      </c>
      <c r="AY96" s="19">
        <f t="shared" ref="AY96:AY130" si="6">AW96/SQRT(AX96)</f>
        <v>1.8114562771763316</v>
      </c>
      <c r="BA96" s="1">
        <v>60.871862615587801</v>
      </c>
      <c r="BB96" s="1">
        <f t="shared" ref="BB96:BB130" si="7">SQRT(BA96)</f>
        <v>7.8020422080111693</v>
      </c>
      <c r="BC96" s="1">
        <v>20</v>
      </c>
      <c r="BD96" s="19">
        <f t="shared" ref="BD96:BD130" si="8">BB96/SQRT(BC96)</f>
        <v>1.7445896740435527</v>
      </c>
      <c r="BG96" s="1" t="s">
        <v>822</v>
      </c>
    </row>
    <row r="97" spans="1:76" x14ac:dyDescent="0.2">
      <c r="A97" s="1" t="s">
        <v>797</v>
      </c>
      <c r="B97" s="2" t="s">
        <v>798</v>
      </c>
      <c r="C97" s="2" t="s">
        <v>799</v>
      </c>
      <c r="D97" s="49" t="s">
        <v>800</v>
      </c>
      <c r="E97" s="2" t="s">
        <v>823</v>
      </c>
      <c r="F97" s="2" t="s">
        <v>71</v>
      </c>
      <c r="G97" s="2" t="s">
        <v>802</v>
      </c>
      <c r="H97" s="1" t="s">
        <v>803</v>
      </c>
      <c r="J97" s="2" t="s">
        <v>804</v>
      </c>
      <c r="L97" s="21" t="s">
        <v>77</v>
      </c>
      <c r="M97" s="1" t="s">
        <v>805</v>
      </c>
      <c r="N97" s="2" t="s">
        <v>806</v>
      </c>
      <c r="P97" s="1" t="s">
        <v>80</v>
      </c>
      <c r="Q97" s="1" t="s">
        <v>543</v>
      </c>
      <c r="R97" s="1" t="s">
        <v>807</v>
      </c>
      <c r="S97" s="27">
        <v>8</v>
      </c>
      <c r="T97" s="2" t="s">
        <v>83</v>
      </c>
      <c r="U97" s="1">
        <v>5.0000000000000001E-3</v>
      </c>
      <c r="V97" s="2" t="s">
        <v>808</v>
      </c>
      <c r="W97" s="2" t="s">
        <v>85</v>
      </c>
      <c r="X97" s="27">
        <v>85</v>
      </c>
      <c r="Z97" s="1" t="s">
        <v>809</v>
      </c>
      <c r="AB97" s="2" t="s">
        <v>810</v>
      </c>
      <c r="AC97" s="2" t="s">
        <v>88</v>
      </c>
      <c r="AD97" s="26">
        <v>26</v>
      </c>
      <c r="AF97" s="1" t="s">
        <v>791</v>
      </c>
      <c r="AH97" s="2" t="s">
        <v>91</v>
      </c>
      <c r="AI97" s="1" t="s">
        <v>185</v>
      </c>
      <c r="AJ97" s="1" t="s">
        <v>811</v>
      </c>
      <c r="AK97" s="2" t="s">
        <v>812</v>
      </c>
      <c r="AL97" s="2" t="s">
        <v>107</v>
      </c>
      <c r="AM97" s="2" t="s">
        <v>107</v>
      </c>
      <c r="AN97" s="2" t="s">
        <v>136</v>
      </c>
      <c r="AO97" s="2" t="s">
        <v>188</v>
      </c>
      <c r="AP97" s="2" t="s">
        <v>813</v>
      </c>
      <c r="AQ97" s="1" t="s">
        <v>824</v>
      </c>
      <c r="AR97" s="1" t="s">
        <v>825</v>
      </c>
      <c r="AS97" s="3" t="s">
        <v>826</v>
      </c>
      <c r="AT97" s="2" t="s">
        <v>71</v>
      </c>
      <c r="AV97" s="12">
        <v>39.735799207397598</v>
      </c>
      <c r="AW97" s="19">
        <f t="shared" si="5"/>
        <v>6.3036338097479616</v>
      </c>
      <c r="AX97" s="1">
        <v>20</v>
      </c>
      <c r="AY97" s="19">
        <f t="shared" si="6"/>
        <v>1.4095353703862419</v>
      </c>
      <c r="BA97" s="1">
        <v>42.800528401585197</v>
      </c>
      <c r="BB97" s="1">
        <f t="shared" si="7"/>
        <v>6.5422112776633252</v>
      </c>
      <c r="BC97" s="1">
        <v>20</v>
      </c>
      <c r="BD97" s="19">
        <f t="shared" si="8"/>
        <v>1.4628829140020947</v>
      </c>
    </row>
    <row r="98" spans="1:76" x14ac:dyDescent="0.2">
      <c r="A98" s="1" t="s">
        <v>797</v>
      </c>
      <c r="B98" s="2" t="s">
        <v>818</v>
      </c>
      <c r="C98" s="2" t="s">
        <v>799</v>
      </c>
      <c r="D98" s="49" t="s">
        <v>800</v>
      </c>
      <c r="E98" s="2" t="s">
        <v>827</v>
      </c>
      <c r="F98" s="2" t="s">
        <v>71</v>
      </c>
      <c r="G98" s="2" t="s">
        <v>802</v>
      </c>
      <c r="H98" s="1" t="s">
        <v>803</v>
      </c>
      <c r="J98" s="2" t="s">
        <v>804</v>
      </c>
      <c r="L98" s="21" t="s">
        <v>77</v>
      </c>
      <c r="M98" s="1" t="s">
        <v>805</v>
      </c>
      <c r="N98" s="2" t="s">
        <v>806</v>
      </c>
      <c r="P98" s="1" t="s">
        <v>80</v>
      </c>
      <c r="Q98" s="1" t="s">
        <v>543</v>
      </c>
      <c r="R98" s="1" t="s">
        <v>807</v>
      </c>
      <c r="S98" s="27">
        <v>8</v>
      </c>
      <c r="T98" s="2" t="s">
        <v>83</v>
      </c>
      <c r="U98" s="1">
        <v>5.0000000000000001E-3</v>
      </c>
      <c r="V98" s="2" t="s">
        <v>808</v>
      </c>
      <c r="W98" s="2" t="s">
        <v>85</v>
      </c>
      <c r="X98" s="27">
        <v>65</v>
      </c>
      <c r="Z98" s="1" t="s">
        <v>809</v>
      </c>
      <c r="AB98" s="2" t="s">
        <v>810</v>
      </c>
      <c r="AC98" s="2" t="s">
        <v>88</v>
      </c>
      <c r="AD98" s="26">
        <v>26</v>
      </c>
      <c r="AF98" s="1" t="s">
        <v>791</v>
      </c>
      <c r="AH98" s="2" t="s">
        <v>91</v>
      </c>
      <c r="AI98" s="1" t="s">
        <v>185</v>
      </c>
      <c r="AJ98" s="1" t="s">
        <v>811</v>
      </c>
      <c r="AK98" s="2" t="s">
        <v>812</v>
      </c>
      <c r="AL98" s="2" t="s">
        <v>107</v>
      </c>
      <c r="AM98" s="2" t="s">
        <v>107</v>
      </c>
      <c r="AN98" s="2" t="s">
        <v>136</v>
      </c>
      <c r="AO98" s="2" t="s">
        <v>188</v>
      </c>
      <c r="AP98" s="2" t="s">
        <v>813</v>
      </c>
      <c r="AQ98" s="1" t="s">
        <v>824</v>
      </c>
      <c r="AR98" s="1" t="s">
        <v>828</v>
      </c>
      <c r="AS98" s="3" t="s">
        <v>829</v>
      </c>
      <c r="AT98" s="2" t="s">
        <v>71</v>
      </c>
      <c r="AV98" s="12">
        <v>39.735799207397598</v>
      </c>
      <c r="AW98" s="19">
        <f t="shared" si="5"/>
        <v>6.3036338097479616</v>
      </c>
      <c r="AX98" s="1">
        <v>20</v>
      </c>
      <c r="AY98" s="19">
        <f t="shared" si="6"/>
        <v>1.4095353703862419</v>
      </c>
      <c r="BA98" s="1">
        <v>36.882430647291997</v>
      </c>
      <c r="BB98" s="1">
        <f t="shared" si="7"/>
        <v>6.073090699741936</v>
      </c>
      <c r="BC98" s="1">
        <v>20</v>
      </c>
      <c r="BD98" s="19">
        <f t="shared" si="8"/>
        <v>1.3579843638144733</v>
      </c>
    </row>
    <row r="99" spans="1:76" x14ac:dyDescent="0.2">
      <c r="A99" s="1" t="s">
        <v>797</v>
      </c>
      <c r="B99" s="2" t="s">
        <v>798</v>
      </c>
      <c r="C99" s="2" t="s">
        <v>799</v>
      </c>
      <c r="D99" s="49" t="s">
        <v>800</v>
      </c>
      <c r="E99" s="2" t="s">
        <v>830</v>
      </c>
      <c r="F99" s="2" t="s">
        <v>71</v>
      </c>
      <c r="G99" s="2" t="s">
        <v>802</v>
      </c>
      <c r="H99" s="1" t="s">
        <v>803</v>
      </c>
      <c r="J99" s="2" t="s">
        <v>804</v>
      </c>
      <c r="L99" s="21" t="s">
        <v>77</v>
      </c>
      <c r="M99" s="1" t="s">
        <v>805</v>
      </c>
      <c r="N99" s="2" t="s">
        <v>806</v>
      </c>
      <c r="P99" s="1" t="s">
        <v>80</v>
      </c>
      <c r="Q99" s="1" t="s">
        <v>543</v>
      </c>
      <c r="R99" s="1" t="s">
        <v>807</v>
      </c>
      <c r="S99" s="27">
        <v>8</v>
      </c>
      <c r="T99" s="2" t="s">
        <v>83</v>
      </c>
      <c r="U99" s="1">
        <v>5.0000000000000001E-3</v>
      </c>
      <c r="V99" s="2" t="s">
        <v>808</v>
      </c>
      <c r="W99" s="2" t="s">
        <v>85</v>
      </c>
      <c r="X99" s="27">
        <v>85</v>
      </c>
      <c r="Z99" s="1" t="s">
        <v>809</v>
      </c>
      <c r="AB99" s="2" t="s">
        <v>810</v>
      </c>
      <c r="AC99" s="2" t="s">
        <v>88</v>
      </c>
      <c r="AD99" s="26">
        <v>27</v>
      </c>
      <c r="AF99" s="1" t="s">
        <v>791</v>
      </c>
      <c r="AH99" s="2" t="s">
        <v>91</v>
      </c>
      <c r="AI99" s="1" t="s">
        <v>185</v>
      </c>
      <c r="AJ99" s="1" t="s">
        <v>811</v>
      </c>
      <c r="AK99" s="2" t="s">
        <v>812</v>
      </c>
      <c r="AL99" s="2" t="s">
        <v>107</v>
      </c>
      <c r="AM99" s="2" t="s">
        <v>107</v>
      </c>
      <c r="AN99" s="2" t="s">
        <v>136</v>
      </c>
      <c r="AO99" s="2" t="s">
        <v>188</v>
      </c>
      <c r="AP99" s="2" t="s">
        <v>813</v>
      </c>
      <c r="AQ99" s="1" t="s">
        <v>831</v>
      </c>
      <c r="AR99" s="1" t="s">
        <v>832</v>
      </c>
      <c r="AS99" s="22" t="s">
        <v>833</v>
      </c>
      <c r="AT99" s="2" t="s">
        <v>71</v>
      </c>
      <c r="AV99" s="12">
        <v>17.331571994716001</v>
      </c>
      <c r="AW99" s="19">
        <f t="shared" si="5"/>
        <v>4.1631204636325378</v>
      </c>
      <c r="AX99" s="1">
        <v>20</v>
      </c>
      <c r="AY99" s="19">
        <f t="shared" si="6"/>
        <v>0.9309020355202795</v>
      </c>
      <c r="BA99" s="1">
        <v>26.7371202113607</v>
      </c>
      <c r="BB99" s="1">
        <f t="shared" si="7"/>
        <v>5.1707949303139742</v>
      </c>
      <c r="BC99" s="1">
        <v>20</v>
      </c>
      <c r="BD99" s="19">
        <f t="shared" si="8"/>
        <v>1.1562248961893333</v>
      </c>
      <c r="BH99"/>
      <c r="BI99"/>
      <c r="BJ99"/>
      <c r="BK99"/>
      <c r="BL99"/>
      <c r="BM99"/>
      <c r="BN99"/>
      <c r="BO99"/>
      <c r="BP99"/>
      <c r="BQ99"/>
      <c r="BR99"/>
      <c r="BS99"/>
      <c r="BT99"/>
      <c r="BU99"/>
      <c r="BV99"/>
      <c r="BW99"/>
      <c r="BX99"/>
    </row>
    <row r="100" spans="1:76" x14ac:dyDescent="0.2">
      <c r="A100" s="1" t="s">
        <v>797</v>
      </c>
      <c r="B100" s="2" t="s">
        <v>818</v>
      </c>
      <c r="C100" s="2" t="s">
        <v>799</v>
      </c>
      <c r="D100" s="49" t="s">
        <v>800</v>
      </c>
      <c r="E100" s="2" t="s">
        <v>834</v>
      </c>
      <c r="F100" s="2" t="s">
        <v>71</v>
      </c>
      <c r="G100" s="2" t="s">
        <v>802</v>
      </c>
      <c r="H100" s="1" t="s">
        <v>803</v>
      </c>
      <c r="J100" s="2" t="s">
        <v>804</v>
      </c>
      <c r="L100" s="21" t="s">
        <v>77</v>
      </c>
      <c r="M100" s="1" t="s">
        <v>805</v>
      </c>
      <c r="N100" s="2" t="s">
        <v>806</v>
      </c>
      <c r="P100" s="1" t="s">
        <v>80</v>
      </c>
      <c r="Q100" s="1" t="s">
        <v>543</v>
      </c>
      <c r="R100" s="1" t="s">
        <v>807</v>
      </c>
      <c r="S100" s="27">
        <v>8</v>
      </c>
      <c r="T100" s="2" t="s">
        <v>83</v>
      </c>
      <c r="U100" s="1">
        <v>5.0000000000000001E-3</v>
      </c>
      <c r="V100" s="2" t="s">
        <v>808</v>
      </c>
      <c r="W100" s="2" t="s">
        <v>85</v>
      </c>
      <c r="X100" s="27">
        <v>65</v>
      </c>
      <c r="Z100" s="1" t="s">
        <v>809</v>
      </c>
      <c r="AB100" s="2" t="s">
        <v>810</v>
      </c>
      <c r="AC100" s="2" t="s">
        <v>88</v>
      </c>
      <c r="AD100" s="26">
        <v>27</v>
      </c>
      <c r="AF100" s="1" t="s">
        <v>791</v>
      </c>
      <c r="AH100" s="2" t="s">
        <v>91</v>
      </c>
      <c r="AI100" s="1" t="s">
        <v>185</v>
      </c>
      <c r="AJ100" s="1" t="s">
        <v>811</v>
      </c>
      <c r="AK100" s="2" t="s">
        <v>812</v>
      </c>
      <c r="AL100" s="2" t="s">
        <v>107</v>
      </c>
      <c r="AM100" s="2" t="s">
        <v>107</v>
      </c>
      <c r="AN100" s="2" t="s">
        <v>136</v>
      </c>
      <c r="AO100" s="2" t="s">
        <v>188</v>
      </c>
      <c r="AP100" s="2" t="s">
        <v>813</v>
      </c>
      <c r="AQ100" s="1" t="s">
        <v>831</v>
      </c>
      <c r="AR100" s="1" t="s">
        <v>835</v>
      </c>
      <c r="AS100" s="22" t="s">
        <v>836</v>
      </c>
      <c r="AT100" s="2" t="s">
        <v>71</v>
      </c>
      <c r="AV100" s="12">
        <v>17.331571994716001</v>
      </c>
      <c r="AW100" s="19">
        <f t="shared" si="5"/>
        <v>4.1631204636325378</v>
      </c>
      <c r="AX100" s="1">
        <v>20</v>
      </c>
      <c r="AY100" s="19">
        <f t="shared" si="6"/>
        <v>0.9309020355202795</v>
      </c>
      <c r="BA100" s="1">
        <v>15.7463672391017</v>
      </c>
      <c r="BB100" s="1">
        <f t="shared" si="7"/>
        <v>3.9681692553495873</v>
      </c>
      <c r="BC100" s="1">
        <v>20</v>
      </c>
      <c r="BD100" s="19">
        <f t="shared" si="8"/>
        <v>0.88730962011863979</v>
      </c>
      <c r="BH100"/>
      <c r="BI100"/>
      <c r="BJ100"/>
      <c r="BK100"/>
      <c r="BL100"/>
      <c r="BM100"/>
      <c r="BN100"/>
      <c r="BO100"/>
      <c r="BP100"/>
      <c r="BQ100"/>
      <c r="BR100"/>
      <c r="BS100"/>
      <c r="BT100"/>
      <c r="BU100"/>
      <c r="BV100"/>
      <c r="BW100"/>
      <c r="BX100"/>
    </row>
    <row r="101" spans="1:76" x14ac:dyDescent="0.2">
      <c r="A101" s="1" t="s">
        <v>797</v>
      </c>
      <c r="B101" s="2" t="s">
        <v>798</v>
      </c>
      <c r="C101" s="2" t="s">
        <v>799</v>
      </c>
      <c r="D101" s="49" t="s">
        <v>837</v>
      </c>
      <c r="E101" s="2" t="s">
        <v>838</v>
      </c>
      <c r="F101" s="2" t="s">
        <v>71</v>
      </c>
      <c r="G101" s="2" t="s">
        <v>802</v>
      </c>
      <c r="H101" s="1" t="s">
        <v>803</v>
      </c>
      <c r="J101" s="2" t="s">
        <v>804</v>
      </c>
      <c r="L101" s="21" t="s">
        <v>77</v>
      </c>
      <c r="M101" s="1" t="s">
        <v>805</v>
      </c>
      <c r="N101" s="2" t="s">
        <v>806</v>
      </c>
      <c r="P101" s="1" t="s">
        <v>80</v>
      </c>
      <c r="Q101" s="1" t="s">
        <v>543</v>
      </c>
      <c r="R101" s="1" t="s">
        <v>807</v>
      </c>
      <c r="S101" s="27">
        <v>8</v>
      </c>
      <c r="T101" s="2" t="s">
        <v>83</v>
      </c>
      <c r="U101" s="1">
        <v>5.0000000000000001E-3</v>
      </c>
      <c r="V101" s="2" t="s">
        <v>808</v>
      </c>
      <c r="W101" s="2" t="s">
        <v>85</v>
      </c>
      <c r="X101" s="27">
        <v>85</v>
      </c>
      <c r="Z101" s="1" t="s">
        <v>809</v>
      </c>
      <c r="AB101" s="2" t="s">
        <v>810</v>
      </c>
      <c r="AC101" s="2" t="s">
        <v>88</v>
      </c>
      <c r="AD101" s="26">
        <v>25</v>
      </c>
      <c r="AF101" s="1" t="s">
        <v>791</v>
      </c>
      <c r="AH101" s="2" t="s">
        <v>91</v>
      </c>
      <c r="AI101" s="1" t="s">
        <v>185</v>
      </c>
      <c r="AJ101" s="1" t="s">
        <v>811</v>
      </c>
      <c r="AK101" s="2" t="s">
        <v>404</v>
      </c>
      <c r="AL101" s="2" t="s">
        <v>107</v>
      </c>
      <c r="AM101" s="2" t="s">
        <v>107</v>
      </c>
      <c r="AN101" s="2" t="s">
        <v>136</v>
      </c>
      <c r="AO101" s="2" t="s">
        <v>839</v>
      </c>
      <c r="AP101" s="2" t="s">
        <v>840</v>
      </c>
      <c r="AQ101" s="1" t="s">
        <v>841</v>
      </c>
      <c r="AR101" s="1" t="s">
        <v>842</v>
      </c>
      <c r="AS101" s="3" t="s">
        <v>843</v>
      </c>
      <c r="AT101" s="2" t="s">
        <v>102</v>
      </c>
      <c r="AV101" s="12">
        <v>4.4767441860465098</v>
      </c>
      <c r="AW101" s="19">
        <f t="shared" si="5"/>
        <v>2.1158317953104189</v>
      </c>
      <c r="AX101" s="1">
        <v>20</v>
      </c>
      <c r="AY101" s="19">
        <f t="shared" si="6"/>
        <v>0.47311437232695169</v>
      </c>
      <c r="BA101" s="1">
        <v>3.68087855297158</v>
      </c>
      <c r="BB101" s="1">
        <f t="shared" si="7"/>
        <v>1.9185615843572965</v>
      </c>
      <c r="BC101" s="1">
        <v>20</v>
      </c>
      <c r="BD101" s="19">
        <f t="shared" si="8"/>
        <v>0.42900341216426119</v>
      </c>
      <c r="BH101"/>
      <c r="BI101"/>
      <c r="BJ101"/>
      <c r="BK101"/>
      <c r="BL101"/>
      <c r="BM101"/>
      <c r="BN101"/>
      <c r="BO101"/>
      <c r="BP101"/>
      <c r="BQ101"/>
      <c r="BR101"/>
      <c r="BS101"/>
      <c r="BT101"/>
      <c r="BU101"/>
      <c r="BV101"/>
      <c r="BW101"/>
      <c r="BX101"/>
    </row>
    <row r="102" spans="1:76" x14ac:dyDescent="0.2">
      <c r="A102" s="1" t="s">
        <v>797</v>
      </c>
      <c r="B102" s="2" t="s">
        <v>818</v>
      </c>
      <c r="C102" s="2" t="s">
        <v>799</v>
      </c>
      <c r="D102" s="49" t="s">
        <v>837</v>
      </c>
      <c r="E102" s="2" t="s">
        <v>844</v>
      </c>
      <c r="F102" s="2" t="s">
        <v>71</v>
      </c>
      <c r="G102" s="2" t="s">
        <v>802</v>
      </c>
      <c r="H102" s="1" t="s">
        <v>803</v>
      </c>
      <c r="J102" s="2" t="s">
        <v>804</v>
      </c>
      <c r="L102" s="21" t="s">
        <v>77</v>
      </c>
      <c r="M102" s="1" t="s">
        <v>805</v>
      </c>
      <c r="N102" s="2" t="s">
        <v>806</v>
      </c>
      <c r="P102" s="1" t="s">
        <v>80</v>
      </c>
      <c r="Q102" s="1" t="s">
        <v>543</v>
      </c>
      <c r="R102" s="1" t="s">
        <v>807</v>
      </c>
      <c r="S102" s="27">
        <v>8</v>
      </c>
      <c r="T102" s="2" t="s">
        <v>83</v>
      </c>
      <c r="U102" s="1">
        <v>5.0000000000000001E-3</v>
      </c>
      <c r="V102" s="2" t="s">
        <v>808</v>
      </c>
      <c r="W102" s="2" t="s">
        <v>85</v>
      </c>
      <c r="X102" s="27">
        <v>65</v>
      </c>
      <c r="Z102" s="1" t="s">
        <v>809</v>
      </c>
      <c r="AB102" s="2" t="s">
        <v>810</v>
      </c>
      <c r="AC102" s="2" t="s">
        <v>88</v>
      </c>
      <c r="AD102" s="26">
        <v>25</v>
      </c>
      <c r="AF102" s="1" t="s">
        <v>791</v>
      </c>
      <c r="AH102" s="2" t="s">
        <v>91</v>
      </c>
      <c r="AI102" s="1" t="s">
        <v>185</v>
      </c>
      <c r="AJ102" s="1" t="s">
        <v>811</v>
      </c>
      <c r="AK102" s="2" t="s">
        <v>404</v>
      </c>
      <c r="AL102" s="2" t="s">
        <v>107</v>
      </c>
      <c r="AM102" s="2" t="s">
        <v>107</v>
      </c>
      <c r="AN102" s="2" t="s">
        <v>136</v>
      </c>
      <c r="AO102" s="2" t="s">
        <v>839</v>
      </c>
      <c r="AP102" s="2" t="s">
        <v>840</v>
      </c>
      <c r="AQ102" s="1" t="s">
        <v>841</v>
      </c>
      <c r="AR102" s="1" t="s">
        <v>845</v>
      </c>
      <c r="AS102" s="3" t="s">
        <v>846</v>
      </c>
      <c r="AT102" s="2" t="s">
        <v>102</v>
      </c>
      <c r="AV102" s="12">
        <v>4.4767441860465098</v>
      </c>
      <c r="AW102" s="19">
        <f t="shared" si="5"/>
        <v>2.1158317953104189</v>
      </c>
      <c r="AX102" s="1">
        <v>20</v>
      </c>
      <c r="AY102" s="19">
        <f t="shared" si="6"/>
        <v>0.47311437232695169</v>
      </c>
      <c r="BA102" s="1">
        <v>3.7080103359173102</v>
      </c>
      <c r="BB102" s="1">
        <f t="shared" si="7"/>
        <v>1.9256194680978145</v>
      </c>
      <c r="BC102" s="1">
        <v>20</v>
      </c>
      <c r="BD102" s="19">
        <f t="shared" si="8"/>
        <v>0.43058160294637005</v>
      </c>
      <c r="BH102"/>
      <c r="BI102"/>
      <c r="BJ102"/>
      <c r="BK102"/>
      <c r="BL102"/>
      <c r="BM102"/>
      <c r="BN102"/>
      <c r="BO102"/>
      <c r="BP102"/>
      <c r="BQ102"/>
      <c r="BR102"/>
      <c r="BS102"/>
      <c r="BT102"/>
      <c r="BU102"/>
      <c r="BV102"/>
      <c r="BW102"/>
      <c r="BX102"/>
    </row>
    <row r="103" spans="1:76" x14ac:dyDescent="0.2">
      <c r="A103" s="1" t="s">
        <v>797</v>
      </c>
      <c r="B103" s="2" t="s">
        <v>798</v>
      </c>
      <c r="C103" s="2" t="s">
        <v>799</v>
      </c>
      <c r="D103" s="49" t="s">
        <v>837</v>
      </c>
      <c r="E103" s="2" t="s">
        <v>847</v>
      </c>
      <c r="F103" s="2" t="s">
        <v>71</v>
      </c>
      <c r="G103" s="2" t="s">
        <v>802</v>
      </c>
      <c r="H103" s="1" t="s">
        <v>803</v>
      </c>
      <c r="J103" s="2" t="s">
        <v>804</v>
      </c>
      <c r="L103" s="21" t="s">
        <v>77</v>
      </c>
      <c r="M103" s="1" t="s">
        <v>805</v>
      </c>
      <c r="N103" s="2" t="s">
        <v>806</v>
      </c>
      <c r="P103" s="1" t="s">
        <v>80</v>
      </c>
      <c r="Q103" s="1" t="s">
        <v>543</v>
      </c>
      <c r="R103" s="1" t="s">
        <v>807</v>
      </c>
      <c r="S103" s="27">
        <v>8</v>
      </c>
      <c r="T103" s="2" t="s">
        <v>83</v>
      </c>
      <c r="U103" s="1">
        <v>5.0000000000000001E-3</v>
      </c>
      <c r="V103" s="2" t="s">
        <v>808</v>
      </c>
      <c r="W103" s="2" t="s">
        <v>85</v>
      </c>
      <c r="X103" s="27">
        <v>85</v>
      </c>
      <c r="Z103" s="1" t="s">
        <v>809</v>
      </c>
      <c r="AB103" s="2" t="s">
        <v>810</v>
      </c>
      <c r="AC103" s="2" t="s">
        <v>88</v>
      </c>
      <c r="AD103" s="26">
        <v>26</v>
      </c>
      <c r="AF103" s="1" t="s">
        <v>791</v>
      </c>
      <c r="AH103" s="2" t="s">
        <v>91</v>
      </c>
      <c r="AI103" s="1" t="s">
        <v>185</v>
      </c>
      <c r="AJ103" s="1" t="s">
        <v>811</v>
      </c>
      <c r="AK103" s="2" t="s">
        <v>404</v>
      </c>
      <c r="AL103" s="2" t="s">
        <v>107</v>
      </c>
      <c r="AM103" s="2" t="s">
        <v>107</v>
      </c>
      <c r="AN103" s="2" t="s">
        <v>136</v>
      </c>
      <c r="AO103" s="2" t="s">
        <v>839</v>
      </c>
      <c r="AP103" s="2" t="s">
        <v>840</v>
      </c>
      <c r="AQ103" s="1" t="s">
        <v>848</v>
      </c>
      <c r="AR103" s="1" t="s">
        <v>849</v>
      </c>
      <c r="AS103" s="3" t="s">
        <v>850</v>
      </c>
      <c r="AT103" s="2" t="s">
        <v>102</v>
      </c>
      <c r="AV103" s="12">
        <v>6.3940568475452197</v>
      </c>
      <c r="AW103" s="19">
        <f t="shared" si="5"/>
        <v>2.5286472366752188</v>
      </c>
      <c r="AX103" s="1">
        <v>20</v>
      </c>
      <c r="AY103" s="19">
        <f t="shared" si="6"/>
        <v>0.56542271123227883</v>
      </c>
      <c r="BA103" s="1">
        <v>5.6705426356589204</v>
      </c>
      <c r="BB103" s="1">
        <f t="shared" si="7"/>
        <v>2.3812901200103527</v>
      </c>
      <c r="BC103" s="1">
        <v>20</v>
      </c>
      <c r="BD103" s="19">
        <f t="shared" si="8"/>
        <v>0.532472658249178</v>
      </c>
      <c r="BH103"/>
      <c r="BI103"/>
      <c r="BJ103"/>
      <c r="BK103"/>
      <c r="BL103"/>
      <c r="BM103"/>
      <c r="BN103"/>
      <c r="BO103"/>
      <c r="BP103"/>
      <c r="BQ103"/>
      <c r="BR103"/>
      <c r="BS103"/>
      <c r="BT103"/>
      <c r="BU103"/>
      <c r="BV103"/>
      <c r="BW103"/>
      <c r="BX103"/>
    </row>
    <row r="104" spans="1:76" x14ac:dyDescent="0.2">
      <c r="A104" s="1" t="s">
        <v>797</v>
      </c>
      <c r="B104" s="2" t="s">
        <v>818</v>
      </c>
      <c r="C104" s="2" t="s">
        <v>799</v>
      </c>
      <c r="D104" s="49" t="s">
        <v>837</v>
      </c>
      <c r="E104" s="2" t="s">
        <v>851</v>
      </c>
      <c r="F104" s="2" t="s">
        <v>71</v>
      </c>
      <c r="G104" s="2" t="s">
        <v>802</v>
      </c>
      <c r="H104" s="1" t="s">
        <v>803</v>
      </c>
      <c r="J104" s="2" t="s">
        <v>804</v>
      </c>
      <c r="L104" s="21" t="s">
        <v>77</v>
      </c>
      <c r="M104" s="1" t="s">
        <v>805</v>
      </c>
      <c r="N104" s="2" t="s">
        <v>806</v>
      </c>
      <c r="P104" s="1" t="s">
        <v>80</v>
      </c>
      <c r="Q104" s="1" t="s">
        <v>543</v>
      </c>
      <c r="R104" s="1" t="s">
        <v>807</v>
      </c>
      <c r="S104" s="27">
        <v>8</v>
      </c>
      <c r="T104" s="2" t="s">
        <v>83</v>
      </c>
      <c r="U104" s="1">
        <v>5.0000000000000001E-3</v>
      </c>
      <c r="V104" s="2" t="s">
        <v>808</v>
      </c>
      <c r="W104" s="2" t="s">
        <v>85</v>
      </c>
      <c r="X104" s="27">
        <v>65</v>
      </c>
      <c r="Z104" s="1" t="s">
        <v>809</v>
      </c>
      <c r="AB104" s="2" t="s">
        <v>810</v>
      </c>
      <c r="AC104" s="2" t="s">
        <v>88</v>
      </c>
      <c r="AD104" s="26">
        <v>26</v>
      </c>
      <c r="AF104" s="1" t="s">
        <v>791</v>
      </c>
      <c r="AH104" s="2" t="s">
        <v>91</v>
      </c>
      <c r="AI104" s="1" t="s">
        <v>185</v>
      </c>
      <c r="AJ104" s="1" t="s">
        <v>811</v>
      </c>
      <c r="AK104" s="2" t="s">
        <v>404</v>
      </c>
      <c r="AL104" s="2" t="s">
        <v>107</v>
      </c>
      <c r="AM104" s="2" t="s">
        <v>107</v>
      </c>
      <c r="AN104" s="2" t="s">
        <v>136</v>
      </c>
      <c r="AO104" s="2" t="s">
        <v>839</v>
      </c>
      <c r="AP104" s="2" t="s">
        <v>840</v>
      </c>
      <c r="AQ104" s="1" t="s">
        <v>848</v>
      </c>
      <c r="AR104" s="1" t="s">
        <v>852</v>
      </c>
      <c r="AS104" s="3" t="s">
        <v>853</v>
      </c>
      <c r="AT104" s="2" t="s">
        <v>102</v>
      </c>
      <c r="AV104" s="12">
        <v>6.3940568475452197</v>
      </c>
      <c r="AW104" s="19">
        <f t="shared" si="5"/>
        <v>2.5286472366752188</v>
      </c>
      <c r="AX104" s="1">
        <v>20</v>
      </c>
      <c r="AY104" s="19">
        <f t="shared" si="6"/>
        <v>0.56542271123227883</v>
      </c>
      <c r="BA104" s="1">
        <v>4.8023255813953503</v>
      </c>
      <c r="BB104" s="1">
        <f t="shared" si="7"/>
        <v>2.1914209046633077</v>
      </c>
      <c r="BC104" s="1">
        <v>20</v>
      </c>
      <c r="BD104" s="19">
        <f t="shared" si="8"/>
        <v>0.49001661101412419</v>
      </c>
      <c r="BH104"/>
      <c r="BI104"/>
      <c r="BJ104"/>
      <c r="BK104"/>
      <c r="BL104"/>
      <c r="BM104"/>
      <c r="BN104"/>
      <c r="BO104"/>
      <c r="BP104"/>
      <c r="BQ104"/>
      <c r="BR104"/>
      <c r="BS104"/>
      <c r="BT104"/>
      <c r="BU104"/>
      <c r="BV104"/>
      <c r="BW104"/>
      <c r="BX104"/>
    </row>
    <row r="105" spans="1:76" x14ac:dyDescent="0.2">
      <c r="A105" s="1" t="s">
        <v>797</v>
      </c>
      <c r="B105" s="2" t="s">
        <v>798</v>
      </c>
      <c r="C105" s="2" t="s">
        <v>799</v>
      </c>
      <c r="D105" s="49" t="s">
        <v>837</v>
      </c>
      <c r="E105" s="2" t="s">
        <v>854</v>
      </c>
      <c r="F105" s="2" t="s">
        <v>71</v>
      </c>
      <c r="G105" s="2" t="s">
        <v>802</v>
      </c>
      <c r="H105" s="1" t="s">
        <v>803</v>
      </c>
      <c r="J105" s="2" t="s">
        <v>804</v>
      </c>
      <c r="L105" s="21" t="s">
        <v>77</v>
      </c>
      <c r="M105" s="1" t="s">
        <v>805</v>
      </c>
      <c r="N105" s="2" t="s">
        <v>806</v>
      </c>
      <c r="P105" s="1" t="s">
        <v>80</v>
      </c>
      <c r="Q105" s="1" t="s">
        <v>543</v>
      </c>
      <c r="R105" s="1" t="s">
        <v>807</v>
      </c>
      <c r="S105" s="27">
        <v>8</v>
      </c>
      <c r="T105" s="2" t="s">
        <v>83</v>
      </c>
      <c r="U105" s="1">
        <v>5.0000000000000001E-3</v>
      </c>
      <c r="V105" s="2" t="s">
        <v>808</v>
      </c>
      <c r="W105" s="2" t="s">
        <v>85</v>
      </c>
      <c r="X105" s="27">
        <v>85</v>
      </c>
      <c r="Y105" s="29"/>
      <c r="Z105" s="1" t="s">
        <v>809</v>
      </c>
      <c r="AB105" s="2" t="s">
        <v>810</v>
      </c>
      <c r="AC105" s="2" t="s">
        <v>88</v>
      </c>
      <c r="AD105" s="26">
        <v>27</v>
      </c>
      <c r="AF105" s="1" t="s">
        <v>791</v>
      </c>
      <c r="AH105" s="2" t="s">
        <v>91</v>
      </c>
      <c r="AI105" s="1" t="s">
        <v>185</v>
      </c>
      <c r="AJ105" s="1" t="s">
        <v>811</v>
      </c>
      <c r="AK105" s="2" t="s">
        <v>404</v>
      </c>
      <c r="AL105" s="2" t="s">
        <v>107</v>
      </c>
      <c r="AM105" s="2" t="s">
        <v>107</v>
      </c>
      <c r="AN105" s="2" t="s">
        <v>136</v>
      </c>
      <c r="AO105" s="2" t="s">
        <v>839</v>
      </c>
      <c r="AP105" s="2" t="s">
        <v>840</v>
      </c>
      <c r="AQ105" s="1" t="s">
        <v>855</v>
      </c>
      <c r="AR105" s="1" t="s">
        <v>856</v>
      </c>
      <c r="AS105" s="22" t="s">
        <v>857</v>
      </c>
      <c r="AT105" s="2" t="s">
        <v>102</v>
      </c>
      <c r="AV105" s="12">
        <v>3.8436692506460002</v>
      </c>
      <c r="AW105" s="19">
        <f t="shared" si="5"/>
        <v>1.9605277989985248</v>
      </c>
      <c r="AX105" s="1">
        <v>20</v>
      </c>
      <c r="AY105" s="19">
        <f t="shared" si="6"/>
        <v>0.43838734303387455</v>
      </c>
      <c r="BA105" s="1">
        <v>3.6899224806201598</v>
      </c>
      <c r="BB105" s="1">
        <f t="shared" si="7"/>
        <v>1.9209170936352666</v>
      </c>
      <c r="BC105" s="1">
        <v>20</v>
      </c>
      <c r="BD105" s="19">
        <f t="shared" si="8"/>
        <v>0.42953012005097846</v>
      </c>
      <c r="BP105"/>
      <c r="BQ105"/>
    </row>
    <row r="106" spans="1:76" x14ac:dyDescent="0.2">
      <c r="A106" s="1" t="s">
        <v>797</v>
      </c>
      <c r="B106" s="2" t="s">
        <v>818</v>
      </c>
      <c r="C106" s="2" t="s">
        <v>799</v>
      </c>
      <c r="D106" s="49" t="s">
        <v>837</v>
      </c>
      <c r="E106" s="2" t="s">
        <v>858</v>
      </c>
      <c r="F106" s="2" t="s">
        <v>71</v>
      </c>
      <c r="G106" s="2" t="s">
        <v>802</v>
      </c>
      <c r="H106" s="1" t="s">
        <v>803</v>
      </c>
      <c r="J106" s="2" t="s">
        <v>804</v>
      </c>
      <c r="L106" s="21" t="s">
        <v>77</v>
      </c>
      <c r="M106" s="1" t="s">
        <v>805</v>
      </c>
      <c r="N106" s="2" t="s">
        <v>806</v>
      </c>
      <c r="P106" s="1" t="s">
        <v>80</v>
      </c>
      <c r="Q106" s="1" t="s">
        <v>543</v>
      </c>
      <c r="R106" s="1" t="s">
        <v>807</v>
      </c>
      <c r="S106" s="27">
        <v>8</v>
      </c>
      <c r="T106" s="2" t="s">
        <v>83</v>
      </c>
      <c r="U106" s="1">
        <v>5.0000000000000001E-3</v>
      </c>
      <c r="V106" s="2" t="s">
        <v>808</v>
      </c>
      <c r="W106" s="2" t="s">
        <v>85</v>
      </c>
      <c r="X106" s="27">
        <v>65</v>
      </c>
      <c r="Z106" s="1" t="s">
        <v>809</v>
      </c>
      <c r="AB106" s="2" t="s">
        <v>810</v>
      </c>
      <c r="AC106" s="2" t="s">
        <v>88</v>
      </c>
      <c r="AD106" s="26">
        <v>27</v>
      </c>
      <c r="AF106" s="1" t="s">
        <v>791</v>
      </c>
      <c r="AH106" s="2" t="s">
        <v>91</v>
      </c>
      <c r="AI106" s="1" t="s">
        <v>185</v>
      </c>
      <c r="AJ106" s="1" t="s">
        <v>811</v>
      </c>
      <c r="AK106" s="2" t="s">
        <v>404</v>
      </c>
      <c r="AL106" s="2" t="s">
        <v>107</v>
      </c>
      <c r="AM106" s="2" t="s">
        <v>107</v>
      </c>
      <c r="AN106" s="2" t="s">
        <v>136</v>
      </c>
      <c r="AO106" s="2" t="s">
        <v>839</v>
      </c>
      <c r="AP106" s="2" t="s">
        <v>840</v>
      </c>
      <c r="AQ106" s="1" t="s">
        <v>855</v>
      </c>
      <c r="AR106" s="1" t="s">
        <v>859</v>
      </c>
      <c r="AS106" s="22" t="s">
        <v>860</v>
      </c>
      <c r="AT106" s="2" t="s">
        <v>102</v>
      </c>
      <c r="AV106" s="12">
        <v>3.8436692506460002</v>
      </c>
      <c r="AW106" s="19">
        <f t="shared" si="5"/>
        <v>1.9605277989985248</v>
      </c>
      <c r="AX106" s="1">
        <v>20</v>
      </c>
      <c r="AY106" s="19">
        <f t="shared" si="6"/>
        <v>0.43838734303387455</v>
      </c>
      <c r="BA106" s="1">
        <v>3.0749354005168001</v>
      </c>
      <c r="BB106" s="1">
        <f t="shared" si="7"/>
        <v>1.7535493721354982</v>
      </c>
      <c r="BC106" s="1">
        <v>20</v>
      </c>
      <c r="BD106" s="19">
        <f t="shared" si="8"/>
        <v>0.39210555979970496</v>
      </c>
      <c r="BP106"/>
      <c r="BQ106"/>
    </row>
    <row r="107" spans="1:76" x14ac:dyDescent="0.2">
      <c r="A107" s="1" t="s">
        <v>797</v>
      </c>
      <c r="B107" s="2" t="s">
        <v>798</v>
      </c>
      <c r="C107" s="2" t="s">
        <v>799</v>
      </c>
      <c r="D107" s="49" t="s">
        <v>861</v>
      </c>
      <c r="E107" s="2" t="s">
        <v>862</v>
      </c>
      <c r="F107" s="2" t="s">
        <v>71</v>
      </c>
      <c r="G107" s="2" t="s">
        <v>802</v>
      </c>
      <c r="H107" s="1" t="s">
        <v>803</v>
      </c>
      <c r="J107" s="2" t="s">
        <v>804</v>
      </c>
      <c r="L107" s="21" t="s">
        <v>77</v>
      </c>
      <c r="M107" s="1" t="s">
        <v>805</v>
      </c>
      <c r="N107" s="2" t="s">
        <v>806</v>
      </c>
      <c r="P107" s="1" t="s">
        <v>80</v>
      </c>
      <c r="Q107" s="1" t="s">
        <v>543</v>
      </c>
      <c r="R107" s="1" t="s">
        <v>807</v>
      </c>
      <c r="S107" s="27">
        <v>8</v>
      </c>
      <c r="T107" s="2" t="s">
        <v>83</v>
      </c>
      <c r="U107" s="1">
        <v>5.0000000000000001E-3</v>
      </c>
      <c r="V107" s="2" t="s">
        <v>808</v>
      </c>
      <c r="W107" s="2" t="s">
        <v>85</v>
      </c>
      <c r="X107" s="27">
        <v>85</v>
      </c>
      <c r="Z107" s="1" t="s">
        <v>809</v>
      </c>
      <c r="AB107" s="2" t="s">
        <v>810</v>
      </c>
      <c r="AC107" s="2" t="s">
        <v>88</v>
      </c>
      <c r="AD107" s="26">
        <v>25</v>
      </c>
      <c r="AF107" s="1" t="s">
        <v>791</v>
      </c>
      <c r="AH107" s="2" t="s">
        <v>91</v>
      </c>
      <c r="AI107" s="1" t="s">
        <v>185</v>
      </c>
      <c r="AJ107" s="1" t="s">
        <v>811</v>
      </c>
      <c r="AK107" s="2" t="s">
        <v>863</v>
      </c>
      <c r="AL107" s="2" t="s">
        <v>107</v>
      </c>
      <c r="AM107" s="2" t="s">
        <v>107</v>
      </c>
      <c r="AN107" s="2" t="s">
        <v>136</v>
      </c>
      <c r="AO107" s="2" t="s">
        <v>864</v>
      </c>
      <c r="AP107" s="2" t="s">
        <v>865</v>
      </c>
      <c r="AQ107" s="1" t="s">
        <v>866</v>
      </c>
      <c r="AR107" s="1" t="s">
        <v>867</v>
      </c>
      <c r="AS107" s="22" t="s">
        <v>868</v>
      </c>
      <c r="AT107" s="2" t="s">
        <v>102</v>
      </c>
      <c r="AV107" s="12">
        <v>1.7353723404255299</v>
      </c>
      <c r="AW107" s="19">
        <f t="shared" si="5"/>
        <v>1.3173353181424727</v>
      </c>
      <c r="AX107" s="1">
        <v>20</v>
      </c>
      <c r="AY107" s="19">
        <f t="shared" si="6"/>
        <v>0.29456513205278811</v>
      </c>
      <c r="BA107" s="1">
        <v>2.37765957446809</v>
      </c>
      <c r="BB107" s="1">
        <f t="shared" si="7"/>
        <v>1.541966139209318</v>
      </c>
      <c r="BC107" s="1">
        <v>20</v>
      </c>
      <c r="BD107" s="19">
        <f t="shared" si="8"/>
        <v>0.34479411062749388</v>
      </c>
      <c r="BP107"/>
      <c r="BQ107"/>
    </row>
    <row r="108" spans="1:76" x14ac:dyDescent="0.2">
      <c r="A108" s="1" t="s">
        <v>797</v>
      </c>
      <c r="B108" s="2" t="s">
        <v>818</v>
      </c>
      <c r="C108" s="2" t="s">
        <v>799</v>
      </c>
      <c r="D108" s="49" t="s">
        <v>861</v>
      </c>
      <c r="E108" s="2" t="s">
        <v>869</v>
      </c>
      <c r="F108" s="2" t="s">
        <v>71</v>
      </c>
      <c r="G108" s="2" t="s">
        <v>802</v>
      </c>
      <c r="H108" s="1" t="s">
        <v>803</v>
      </c>
      <c r="J108" s="2" t="s">
        <v>804</v>
      </c>
      <c r="L108" s="21" t="s">
        <v>77</v>
      </c>
      <c r="M108" s="1" t="s">
        <v>805</v>
      </c>
      <c r="N108" s="2" t="s">
        <v>806</v>
      </c>
      <c r="P108" s="1" t="s">
        <v>80</v>
      </c>
      <c r="Q108" s="1" t="s">
        <v>543</v>
      </c>
      <c r="R108" s="1" t="s">
        <v>807</v>
      </c>
      <c r="S108" s="27">
        <v>8</v>
      </c>
      <c r="T108" s="2" t="s">
        <v>83</v>
      </c>
      <c r="U108" s="1">
        <v>5.0000000000000001E-3</v>
      </c>
      <c r="V108" s="2" t="s">
        <v>808</v>
      </c>
      <c r="W108" s="2" t="s">
        <v>85</v>
      </c>
      <c r="X108" s="27">
        <v>65</v>
      </c>
      <c r="Z108" s="1" t="s">
        <v>809</v>
      </c>
      <c r="AB108" s="2" t="s">
        <v>810</v>
      </c>
      <c r="AC108" s="2" t="s">
        <v>88</v>
      </c>
      <c r="AD108" s="26">
        <v>25</v>
      </c>
      <c r="AF108" s="1" t="s">
        <v>791</v>
      </c>
      <c r="AH108" s="2" t="s">
        <v>91</v>
      </c>
      <c r="AI108" s="1" t="s">
        <v>185</v>
      </c>
      <c r="AJ108" s="1" t="s">
        <v>811</v>
      </c>
      <c r="AK108" s="2" t="s">
        <v>863</v>
      </c>
      <c r="AL108" s="2" t="s">
        <v>107</v>
      </c>
      <c r="AM108" s="2" t="s">
        <v>107</v>
      </c>
      <c r="AN108" s="2" t="s">
        <v>136</v>
      </c>
      <c r="AO108" s="2" t="s">
        <v>864</v>
      </c>
      <c r="AP108" s="2" t="s">
        <v>865</v>
      </c>
      <c r="AQ108" s="1" t="s">
        <v>866</v>
      </c>
      <c r="AR108" s="1" t="s">
        <v>870</v>
      </c>
      <c r="AS108" s="22" t="s">
        <v>871</v>
      </c>
      <c r="AT108" s="2" t="s">
        <v>102</v>
      </c>
      <c r="AV108" s="12">
        <v>1.7353723404255299</v>
      </c>
      <c r="AW108" s="19">
        <f t="shared" si="5"/>
        <v>1.3173353181424727</v>
      </c>
      <c r="AX108" s="1">
        <v>20</v>
      </c>
      <c r="AY108" s="19">
        <f t="shared" si="6"/>
        <v>0.29456513205278811</v>
      </c>
      <c r="BA108" s="1">
        <v>2.02260638297872</v>
      </c>
      <c r="BB108" s="1">
        <f t="shared" si="7"/>
        <v>1.4221836671044708</v>
      </c>
      <c r="BC108" s="1">
        <v>20</v>
      </c>
      <c r="BD108" s="19">
        <f t="shared" si="8"/>
        <v>0.31800993561355279</v>
      </c>
      <c r="BP108"/>
      <c r="BQ108"/>
    </row>
    <row r="109" spans="1:76" x14ac:dyDescent="0.2">
      <c r="A109" s="1" t="s">
        <v>797</v>
      </c>
      <c r="B109" s="2" t="s">
        <v>798</v>
      </c>
      <c r="C109" s="2" t="s">
        <v>799</v>
      </c>
      <c r="D109" s="49" t="s">
        <v>861</v>
      </c>
      <c r="E109" s="2" t="s">
        <v>872</v>
      </c>
      <c r="F109" s="2" t="s">
        <v>71</v>
      </c>
      <c r="G109" s="2" t="s">
        <v>802</v>
      </c>
      <c r="H109" s="1" t="s">
        <v>803</v>
      </c>
      <c r="J109" s="2" t="s">
        <v>804</v>
      </c>
      <c r="L109" s="21" t="s">
        <v>77</v>
      </c>
      <c r="M109" s="1" t="s">
        <v>805</v>
      </c>
      <c r="N109" s="2" t="s">
        <v>806</v>
      </c>
      <c r="P109" s="1" t="s">
        <v>80</v>
      </c>
      <c r="Q109" s="1" t="s">
        <v>543</v>
      </c>
      <c r="R109" s="1" t="s">
        <v>807</v>
      </c>
      <c r="S109" s="27">
        <v>8</v>
      </c>
      <c r="T109" s="2" t="s">
        <v>83</v>
      </c>
      <c r="U109" s="1">
        <v>5.0000000000000001E-3</v>
      </c>
      <c r="V109" s="2" t="s">
        <v>808</v>
      </c>
      <c r="W109" s="2" t="s">
        <v>85</v>
      </c>
      <c r="X109" s="27">
        <v>85</v>
      </c>
      <c r="Z109" s="1" t="s">
        <v>809</v>
      </c>
      <c r="AB109" s="2" t="s">
        <v>810</v>
      </c>
      <c r="AC109" s="2" t="s">
        <v>88</v>
      </c>
      <c r="AD109" s="26">
        <v>26</v>
      </c>
      <c r="AF109" s="1" t="s">
        <v>791</v>
      </c>
      <c r="AH109" s="2" t="s">
        <v>91</v>
      </c>
      <c r="AI109" s="1" t="s">
        <v>185</v>
      </c>
      <c r="AJ109" s="1" t="s">
        <v>811</v>
      </c>
      <c r="AK109" s="2" t="s">
        <v>863</v>
      </c>
      <c r="AL109" s="2" t="s">
        <v>107</v>
      </c>
      <c r="AM109" s="2" t="s">
        <v>107</v>
      </c>
      <c r="AN109" s="2" t="s">
        <v>136</v>
      </c>
      <c r="AO109" s="2" t="s">
        <v>864</v>
      </c>
      <c r="AP109" s="2" t="s">
        <v>865</v>
      </c>
      <c r="AQ109" s="1" t="s">
        <v>873</v>
      </c>
      <c r="AR109" s="1" t="s">
        <v>874</v>
      </c>
      <c r="AS109" s="22" t="s">
        <v>875</v>
      </c>
      <c r="AT109" s="2" t="s">
        <v>102</v>
      </c>
      <c r="AV109" s="12">
        <v>2.2180851063829801</v>
      </c>
      <c r="AW109" s="19">
        <f t="shared" si="5"/>
        <v>1.4893237077220587</v>
      </c>
      <c r="AX109" s="1">
        <v>20</v>
      </c>
      <c r="AY109" s="19">
        <f>AW109/SQRT(AX109)</f>
        <v>0.33302290509685517</v>
      </c>
      <c r="BA109" s="1">
        <v>1.9827127659574499</v>
      </c>
      <c r="BB109" s="1">
        <f t="shared" si="7"/>
        <v>1.4080883374126247</v>
      </c>
      <c r="BC109" s="1">
        <v>20</v>
      </c>
      <c r="BD109" s="19">
        <f t="shared" si="8"/>
        <v>0.3148581240779289</v>
      </c>
      <c r="BP109"/>
      <c r="BQ109"/>
    </row>
    <row r="110" spans="1:76" x14ac:dyDescent="0.2">
      <c r="A110" s="1" t="s">
        <v>797</v>
      </c>
      <c r="B110" s="2" t="s">
        <v>818</v>
      </c>
      <c r="C110" s="2" t="s">
        <v>799</v>
      </c>
      <c r="D110" s="49" t="s">
        <v>861</v>
      </c>
      <c r="E110" s="2" t="s">
        <v>876</v>
      </c>
      <c r="F110" s="2" t="s">
        <v>71</v>
      </c>
      <c r="G110" s="2" t="s">
        <v>802</v>
      </c>
      <c r="H110" s="1" t="s">
        <v>803</v>
      </c>
      <c r="J110" s="2" t="s">
        <v>804</v>
      </c>
      <c r="L110" s="21" t="s">
        <v>77</v>
      </c>
      <c r="M110" s="1" t="s">
        <v>805</v>
      </c>
      <c r="N110" s="2" t="s">
        <v>806</v>
      </c>
      <c r="P110" s="1" t="s">
        <v>80</v>
      </c>
      <c r="Q110" s="1" t="s">
        <v>543</v>
      </c>
      <c r="R110" s="1" t="s">
        <v>807</v>
      </c>
      <c r="S110" s="27">
        <v>8</v>
      </c>
      <c r="T110" s="2" t="s">
        <v>83</v>
      </c>
      <c r="U110" s="1">
        <v>5.0000000000000001E-3</v>
      </c>
      <c r="V110" s="2" t="s">
        <v>808</v>
      </c>
      <c r="W110" s="2" t="s">
        <v>85</v>
      </c>
      <c r="X110" s="27">
        <v>65</v>
      </c>
      <c r="Z110" s="1" t="s">
        <v>809</v>
      </c>
      <c r="AB110" s="2" t="s">
        <v>810</v>
      </c>
      <c r="AC110" s="2" t="s">
        <v>88</v>
      </c>
      <c r="AD110" s="26">
        <v>26</v>
      </c>
      <c r="AF110" s="1" t="s">
        <v>791</v>
      </c>
      <c r="AH110" s="2" t="s">
        <v>91</v>
      </c>
      <c r="AI110" s="1" t="s">
        <v>185</v>
      </c>
      <c r="AJ110" s="1" t="s">
        <v>811</v>
      </c>
      <c r="AK110" s="2" t="s">
        <v>863</v>
      </c>
      <c r="AL110" s="2" t="s">
        <v>107</v>
      </c>
      <c r="AM110" s="2" t="s">
        <v>107</v>
      </c>
      <c r="AN110" s="2" t="s">
        <v>136</v>
      </c>
      <c r="AO110" s="2" t="s">
        <v>864</v>
      </c>
      <c r="AP110" s="2" t="s">
        <v>865</v>
      </c>
      <c r="AQ110" s="1" t="s">
        <v>873</v>
      </c>
      <c r="AR110" s="1" t="s">
        <v>877</v>
      </c>
      <c r="AS110" s="22" t="s">
        <v>878</v>
      </c>
      <c r="AT110" s="2" t="s">
        <v>102</v>
      </c>
      <c r="AV110" s="12">
        <v>2.2180851063829801</v>
      </c>
      <c r="AW110" s="19">
        <f t="shared" si="5"/>
        <v>1.4893237077220587</v>
      </c>
      <c r="AX110" s="1">
        <v>20</v>
      </c>
      <c r="AY110" s="19">
        <f t="shared" si="6"/>
        <v>0.33302290509685517</v>
      </c>
      <c r="BA110" s="1">
        <v>1.8311170212765999</v>
      </c>
      <c r="BB110" s="1">
        <f t="shared" si="7"/>
        <v>1.3531877258076943</v>
      </c>
      <c r="BC110" s="1">
        <v>20</v>
      </c>
      <c r="BD110" s="19">
        <f t="shared" si="8"/>
        <v>0.30258197412243509</v>
      </c>
      <c r="BP110"/>
      <c r="BQ110"/>
    </row>
    <row r="111" spans="1:76" x14ac:dyDescent="0.2">
      <c r="A111" s="1" t="s">
        <v>797</v>
      </c>
      <c r="B111" s="2" t="s">
        <v>798</v>
      </c>
      <c r="C111" s="2" t="s">
        <v>799</v>
      </c>
      <c r="D111" s="49" t="s">
        <v>861</v>
      </c>
      <c r="E111" s="2" t="s">
        <v>879</v>
      </c>
      <c r="F111" s="2" t="s">
        <v>71</v>
      </c>
      <c r="G111" s="2" t="s">
        <v>802</v>
      </c>
      <c r="H111" s="1" t="s">
        <v>803</v>
      </c>
      <c r="J111" s="2" t="s">
        <v>804</v>
      </c>
      <c r="L111" s="21" t="s">
        <v>77</v>
      </c>
      <c r="M111" s="1" t="s">
        <v>805</v>
      </c>
      <c r="N111" s="2" t="s">
        <v>806</v>
      </c>
      <c r="P111" s="1" t="s">
        <v>80</v>
      </c>
      <c r="Q111" s="1" t="s">
        <v>543</v>
      </c>
      <c r="R111" s="1" t="s">
        <v>807</v>
      </c>
      <c r="S111" s="27">
        <v>8</v>
      </c>
      <c r="T111" s="2" t="s">
        <v>83</v>
      </c>
      <c r="U111" s="1">
        <v>5.0000000000000001E-3</v>
      </c>
      <c r="V111" s="2" t="s">
        <v>808</v>
      </c>
      <c r="W111" s="2" t="s">
        <v>85</v>
      </c>
      <c r="X111" s="27">
        <v>85</v>
      </c>
      <c r="Z111" s="1" t="s">
        <v>809</v>
      </c>
      <c r="AB111" s="2" t="s">
        <v>810</v>
      </c>
      <c r="AC111" s="2" t="s">
        <v>88</v>
      </c>
      <c r="AD111" s="26">
        <v>27</v>
      </c>
      <c r="AF111" s="1" t="s">
        <v>791</v>
      </c>
      <c r="AH111" s="2" t="s">
        <v>91</v>
      </c>
      <c r="AI111" s="1" t="s">
        <v>185</v>
      </c>
      <c r="AJ111" s="1" t="s">
        <v>811</v>
      </c>
      <c r="AK111" s="2" t="s">
        <v>863</v>
      </c>
      <c r="AL111" s="2" t="s">
        <v>107</v>
      </c>
      <c r="AM111" s="2" t="s">
        <v>107</v>
      </c>
      <c r="AN111" s="2" t="s">
        <v>136</v>
      </c>
      <c r="AO111" s="2" t="s">
        <v>864</v>
      </c>
      <c r="AP111" s="2" t="s">
        <v>865</v>
      </c>
      <c r="AQ111" s="1" t="s">
        <v>880</v>
      </c>
      <c r="AR111" s="1" t="s">
        <v>881</v>
      </c>
      <c r="AS111" s="22" t="s">
        <v>882</v>
      </c>
      <c r="AT111" s="2" t="s">
        <v>102</v>
      </c>
      <c r="AV111" s="12">
        <v>1.14095744680851</v>
      </c>
      <c r="AW111" s="19">
        <f t="shared" si="5"/>
        <v>1.0681560966490384</v>
      </c>
      <c r="AX111" s="1">
        <v>20</v>
      </c>
      <c r="AY111" s="19">
        <f t="shared" si="6"/>
        <v>0.23884696426880853</v>
      </c>
      <c r="BA111" s="1">
        <v>2.5731382978723398</v>
      </c>
      <c r="BB111" s="1">
        <f t="shared" si="7"/>
        <v>1.6041004637716243</v>
      </c>
      <c r="BC111" s="1">
        <v>20</v>
      </c>
      <c r="BD111" s="19">
        <f t="shared" si="8"/>
        <v>0.35868776797322904</v>
      </c>
    </row>
    <row r="112" spans="1:76" x14ac:dyDescent="0.2">
      <c r="A112" s="1" t="s">
        <v>797</v>
      </c>
      <c r="B112" s="2" t="s">
        <v>818</v>
      </c>
      <c r="C112" s="2" t="s">
        <v>799</v>
      </c>
      <c r="D112" s="49" t="s">
        <v>861</v>
      </c>
      <c r="E112" s="2" t="s">
        <v>883</v>
      </c>
      <c r="F112" s="2" t="s">
        <v>71</v>
      </c>
      <c r="G112" s="2" t="s">
        <v>802</v>
      </c>
      <c r="H112" s="1" t="s">
        <v>803</v>
      </c>
      <c r="J112" s="2" t="s">
        <v>804</v>
      </c>
      <c r="L112" s="21" t="s">
        <v>77</v>
      </c>
      <c r="M112" s="1" t="s">
        <v>805</v>
      </c>
      <c r="N112" s="2" t="s">
        <v>806</v>
      </c>
      <c r="P112" s="1" t="s">
        <v>80</v>
      </c>
      <c r="Q112" s="1" t="s">
        <v>543</v>
      </c>
      <c r="R112" s="1" t="s">
        <v>807</v>
      </c>
      <c r="S112" s="27">
        <v>8</v>
      </c>
      <c r="T112" s="2" t="s">
        <v>83</v>
      </c>
      <c r="U112" s="1">
        <v>5.0000000000000001E-3</v>
      </c>
      <c r="V112" s="2" t="s">
        <v>808</v>
      </c>
      <c r="W112" s="2" t="s">
        <v>85</v>
      </c>
      <c r="X112" s="27">
        <v>65</v>
      </c>
      <c r="Z112" s="1" t="s">
        <v>809</v>
      </c>
      <c r="AB112" s="2" t="s">
        <v>810</v>
      </c>
      <c r="AC112" s="2" t="s">
        <v>88</v>
      </c>
      <c r="AD112" s="26">
        <v>26</v>
      </c>
      <c r="AF112" s="1" t="s">
        <v>791</v>
      </c>
      <c r="AH112" s="2" t="s">
        <v>91</v>
      </c>
      <c r="AI112" s="1" t="s">
        <v>185</v>
      </c>
      <c r="AJ112" s="1" t="s">
        <v>811</v>
      </c>
      <c r="AK112" s="2" t="s">
        <v>863</v>
      </c>
      <c r="AL112" s="2" t="s">
        <v>107</v>
      </c>
      <c r="AM112" s="2" t="s">
        <v>107</v>
      </c>
      <c r="AN112" s="2" t="s">
        <v>136</v>
      </c>
      <c r="AO112" s="2" t="s">
        <v>864</v>
      </c>
      <c r="AP112" s="2" t="s">
        <v>865</v>
      </c>
      <c r="AQ112" s="1" t="s">
        <v>880</v>
      </c>
      <c r="AR112" s="1" t="s">
        <v>884</v>
      </c>
      <c r="AS112" s="22" t="s">
        <v>885</v>
      </c>
      <c r="AT112" s="2" t="s">
        <v>102</v>
      </c>
      <c r="AV112" s="12">
        <v>1.14095744680851</v>
      </c>
      <c r="AW112" s="19">
        <f t="shared" si="5"/>
        <v>1.0681560966490384</v>
      </c>
      <c r="AX112" s="1">
        <v>20</v>
      </c>
      <c r="AY112" s="19">
        <f t="shared" si="6"/>
        <v>0.23884696426880853</v>
      </c>
      <c r="BA112" s="1">
        <v>2.8603723404255299</v>
      </c>
      <c r="BB112" s="1">
        <f t="shared" si="7"/>
        <v>1.6912635337006263</v>
      </c>
      <c r="BC112" s="1">
        <v>20</v>
      </c>
      <c r="BD112" s="19">
        <f t="shared" si="8"/>
        <v>0.37817802292211067</v>
      </c>
    </row>
    <row r="113" spans="1:56" x14ac:dyDescent="0.2">
      <c r="A113" s="1" t="s">
        <v>797</v>
      </c>
      <c r="B113" s="2" t="s">
        <v>798</v>
      </c>
      <c r="C113" s="2" t="s">
        <v>886</v>
      </c>
      <c r="D113" s="49" t="s">
        <v>887</v>
      </c>
      <c r="E113" s="2" t="s">
        <v>888</v>
      </c>
      <c r="F113" s="2" t="s">
        <v>71</v>
      </c>
      <c r="G113" s="2" t="s">
        <v>802</v>
      </c>
      <c r="H113" s="1" t="s">
        <v>803</v>
      </c>
      <c r="J113" s="2" t="s">
        <v>804</v>
      </c>
      <c r="L113" s="21" t="s">
        <v>77</v>
      </c>
      <c r="M113" s="1" t="s">
        <v>805</v>
      </c>
      <c r="N113" s="2" t="s">
        <v>806</v>
      </c>
      <c r="P113" s="1" t="s">
        <v>80</v>
      </c>
      <c r="Q113" s="1" t="s">
        <v>543</v>
      </c>
      <c r="R113" s="1" t="s">
        <v>807</v>
      </c>
      <c r="S113" s="27">
        <v>8</v>
      </c>
      <c r="T113" s="2" t="s">
        <v>83</v>
      </c>
      <c r="U113" s="1">
        <v>5.0000000000000001E-3</v>
      </c>
      <c r="V113" s="2" t="s">
        <v>808</v>
      </c>
      <c r="W113" s="2" t="s">
        <v>85</v>
      </c>
      <c r="X113" s="27">
        <v>85</v>
      </c>
      <c r="Z113" s="1" t="s">
        <v>809</v>
      </c>
      <c r="AB113" s="2" t="s">
        <v>810</v>
      </c>
      <c r="AC113" s="2" t="s">
        <v>88</v>
      </c>
      <c r="AD113" s="26">
        <v>25</v>
      </c>
      <c r="AF113" s="1" t="s">
        <v>791</v>
      </c>
      <c r="AH113" s="2" t="s">
        <v>91</v>
      </c>
      <c r="AI113" s="1" t="s">
        <v>185</v>
      </c>
      <c r="AJ113" s="1" t="s">
        <v>811</v>
      </c>
      <c r="AK113" s="2" t="s">
        <v>812</v>
      </c>
      <c r="AL113" s="2" t="s">
        <v>107</v>
      </c>
      <c r="AM113" s="2" t="s">
        <v>107</v>
      </c>
      <c r="AN113" s="2" t="s">
        <v>136</v>
      </c>
      <c r="AO113" s="2" t="s">
        <v>188</v>
      </c>
      <c r="AP113" s="2" t="s">
        <v>813</v>
      </c>
      <c r="AQ113" s="1" t="s">
        <v>889</v>
      </c>
      <c r="AR113" s="1" t="s">
        <v>815</v>
      </c>
      <c r="AS113" s="3" t="s">
        <v>890</v>
      </c>
      <c r="AT113" s="2" t="s">
        <v>71</v>
      </c>
      <c r="AV113" s="1">
        <v>45.767108067308101</v>
      </c>
      <c r="AW113" s="19">
        <f t="shared" si="5"/>
        <v>6.765139175753009</v>
      </c>
      <c r="AX113" s="1">
        <v>20</v>
      </c>
      <c r="AY113" s="19">
        <f>AW113/SQRT(AX113)</f>
        <v>1.5127311074230625</v>
      </c>
      <c r="BA113" s="1">
        <v>71.228533685601107</v>
      </c>
      <c r="BB113" s="1">
        <f>SQRT(BA113)</f>
        <v>8.4396998575542437</v>
      </c>
      <c r="BC113" s="1">
        <v>20</v>
      </c>
      <c r="BD113" s="19">
        <f t="shared" si="8"/>
        <v>1.887174259118658</v>
      </c>
    </row>
    <row r="114" spans="1:56" x14ac:dyDescent="0.2">
      <c r="A114" s="1" t="s">
        <v>797</v>
      </c>
      <c r="B114" s="2" t="s">
        <v>818</v>
      </c>
      <c r="C114" s="2" t="s">
        <v>886</v>
      </c>
      <c r="D114" s="49" t="s">
        <v>887</v>
      </c>
      <c r="E114" s="2" t="s">
        <v>891</v>
      </c>
      <c r="F114" s="2" t="s">
        <v>71</v>
      </c>
      <c r="G114" s="2" t="s">
        <v>802</v>
      </c>
      <c r="H114" s="1" t="s">
        <v>803</v>
      </c>
      <c r="J114" s="2" t="s">
        <v>804</v>
      </c>
      <c r="L114" s="21" t="s">
        <v>77</v>
      </c>
      <c r="M114" s="1" t="s">
        <v>805</v>
      </c>
      <c r="N114" s="2" t="s">
        <v>806</v>
      </c>
      <c r="P114" s="1" t="s">
        <v>80</v>
      </c>
      <c r="Q114" s="1" t="s">
        <v>543</v>
      </c>
      <c r="R114" s="1" t="s">
        <v>807</v>
      </c>
      <c r="S114" s="27">
        <v>8</v>
      </c>
      <c r="T114" s="2" t="s">
        <v>83</v>
      </c>
      <c r="U114" s="1">
        <v>5.0000000000000001E-3</v>
      </c>
      <c r="V114" s="2" t="s">
        <v>808</v>
      </c>
      <c r="W114" s="2" t="s">
        <v>85</v>
      </c>
      <c r="X114" s="27">
        <v>65</v>
      </c>
      <c r="Z114" s="1" t="s">
        <v>809</v>
      </c>
      <c r="AB114" s="2" t="s">
        <v>810</v>
      </c>
      <c r="AC114" s="2" t="s">
        <v>88</v>
      </c>
      <c r="AD114" s="26">
        <v>25</v>
      </c>
      <c r="AF114" s="1" t="s">
        <v>791</v>
      </c>
      <c r="AH114" s="2" t="s">
        <v>91</v>
      </c>
      <c r="AI114" s="1" t="s">
        <v>185</v>
      </c>
      <c r="AJ114" s="1" t="s">
        <v>811</v>
      </c>
      <c r="AK114" s="2" t="s">
        <v>812</v>
      </c>
      <c r="AL114" s="2" t="s">
        <v>107</v>
      </c>
      <c r="AM114" s="2" t="s">
        <v>107</v>
      </c>
      <c r="AN114" s="2" t="s">
        <v>136</v>
      </c>
      <c r="AO114" s="2" t="s">
        <v>188</v>
      </c>
      <c r="AP114" s="2" t="s">
        <v>813</v>
      </c>
      <c r="AQ114" s="1" t="s">
        <v>889</v>
      </c>
      <c r="AR114" s="1" t="s">
        <v>820</v>
      </c>
      <c r="AS114" s="3" t="s">
        <v>892</v>
      </c>
      <c r="AT114" s="2" t="s">
        <v>71</v>
      </c>
      <c r="AV114" s="1">
        <v>45.767108067308101</v>
      </c>
      <c r="AW114" s="19">
        <f t="shared" si="5"/>
        <v>6.765139175753009</v>
      </c>
      <c r="AX114" s="1">
        <v>20</v>
      </c>
      <c r="AY114" s="19">
        <f t="shared" si="6"/>
        <v>1.5127311074230625</v>
      </c>
      <c r="BA114" s="1">
        <v>60.871862615587801</v>
      </c>
      <c r="BB114" s="1">
        <f t="shared" si="7"/>
        <v>7.8020422080111693</v>
      </c>
      <c r="BC114" s="1">
        <v>20</v>
      </c>
      <c r="BD114" s="19">
        <f t="shared" si="8"/>
        <v>1.7445896740435527</v>
      </c>
    </row>
    <row r="115" spans="1:56" x14ac:dyDescent="0.2">
      <c r="A115" s="1" t="s">
        <v>797</v>
      </c>
      <c r="B115" s="2" t="s">
        <v>798</v>
      </c>
      <c r="C115" s="2" t="s">
        <v>886</v>
      </c>
      <c r="D115" s="49" t="s">
        <v>887</v>
      </c>
      <c r="E115" s="2" t="s">
        <v>893</v>
      </c>
      <c r="F115" s="2" t="s">
        <v>71</v>
      </c>
      <c r="G115" s="2" t="s">
        <v>802</v>
      </c>
      <c r="H115" s="1" t="s">
        <v>803</v>
      </c>
      <c r="J115" s="2" t="s">
        <v>804</v>
      </c>
      <c r="L115" s="21" t="s">
        <v>77</v>
      </c>
      <c r="M115" s="1" t="s">
        <v>805</v>
      </c>
      <c r="N115" s="2" t="s">
        <v>806</v>
      </c>
      <c r="P115" s="1" t="s">
        <v>80</v>
      </c>
      <c r="Q115" s="1" t="s">
        <v>543</v>
      </c>
      <c r="R115" s="1" t="s">
        <v>807</v>
      </c>
      <c r="S115" s="27">
        <v>8</v>
      </c>
      <c r="T115" s="2" t="s">
        <v>83</v>
      </c>
      <c r="U115" s="1">
        <v>5.0000000000000001E-3</v>
      </c>
      <c r="V115" s="2" t="s">
        <v>808</v>
      </c>
      <c r="W115" s="2" t="s">
        <v>85</v>
      </c>
      <c r="X115" s="27">
        <v>85</v>
      </c>
      <c r="Z115" s="1" t="s">
        <v>809</v>
      </c>
      <c r="AB115" s="2" t="s">
        <v>810</v>
      </c>
      <c r="AC115" s="2" t="s">
        <v>88</v>
      </c>
      <c r="AD115" s="26">
        <v>26</v>
      </c>
      <c r="AF115" s="1" t="s">
        <v>791</v>
      </c>
      <c r="AH115" s="2" t="s">
        <v>91</v>
      </c>
      <c r="AI115" s="1" t="s">
        <v>185</v>
      </c>
      <c r="AJ115" s="1" t="s">
        <v>811</v>
      </c>
      <c r="AK115" s="2" t="s">
        <v>812</v>
      </c>
      <c r="AL115" s="2" t="s">
        <v>107</v>
      </c>
      <c r="AM115" s="2" t="s">
        <v>107</v>
      </c>
      <c r="AN115" s="2" t="s">
        <v>136</v>
      </c>
      <c r="AO115" s="2" t="s">
        <v>188</v>
      </c>
      <c r="AP115" s="2" t="s">
        <v>813</v>
      </c>
      <c r="AQ115" s="1" t="s">
        <v>894</v>
      </c>
      <c r="AR115" s="1" t="s">
        <v>825</v>
      </c>
      <c r="AS115" s="3" t="s">
        <v>895</v>
      </c>
      <c r="AT115" s="2" t="s">
        <v>71</v>
      </c>
      <c r="AV115" s="1">
        <v>31.736619197443002</v>
      </c>
      <c r="AW115" s="19">
        <f t="shared" si="5"/>
        <v>5.6335263554405248</v>
      </c>
      <c r="AX115" s="1">
        <v>20</v>
      </c>
      <c r="AY115" s="19">
        <f t="shared" si="6"/>
        <v>1.2596947883801655</v>
      </c>
      <c r="BA115" s="1">
        <v>42.800528401585197</v>
      </c>
      <c r="BB115" s="1">
        <f t="shared" si="7"/>
        <v>6.5422112776633252</v>
      </c>
      <c r="BC115" s="1">
        <v>20</v>
      </c>
      <c r="BD115" s="19">
        <f t="shared" si="8"/>
        <v>1.4628829140020947</v>
      </c>
    </row>
    <row r="116" spans="1:56" x14ac:dyDescent="0.2">
      <c r="A116" s="1" t="s">
        <v>797</v>
      </c>
      <c r="B116" s="2" t="s">
        <v>818</v>
      </c>
      <c r="C116" s="2" t="s">
        <v>886</v>
      </c>
      <c r="D116" s="49" t="s">
        <v>887</v>
      </c>
      <c r="E116" s="2" t="s">
        <v>896</v>
      </c>
      <c r="F116" s="2" t="s">
        <v>71</v>
      </c>
      <c r="G116" s="2" t="s">
        <v>802</v>
      </c>
      <c r="H116" s="1" t="s">
        <v>803</v>
      </c>
      <c r="J116" s="2" t="s">
        <v>804</v>
      </c>
      <c r="L116" s="21" t="s">
        <v>77</v>
      </c>
      <c r="M116" s="1" t="s">
        <v>805</v>
      </c>
      <c r="N116" s="2" t="s">
        <v>806</v>
      </c>
      <c r="P116" s="1" t="s">
        <v>80</v>
      </c>
      <c r="Q116" s="1" t="s">
        <v>543</v>
      </c>
      <c r="R116" s="1" t="s">
        <v>807</v>
      </c>
      <c r="S116" s="27">
        <v>8</v>
      </c>
      <c r="T116" s="2" t="s">
        <v>83</v>
      </c>
      <c r="U116" s="1">
        <v>5.0000000000000001E-3</v>
      </c>
      <c r="V116" s="2" t="s">
        <v>808</v>
      </c>
      <c r="W116" s="2" t="s">
        <v>85</v>
      </c>
      <c r="X116" s="27">
        <v>65</v>
      </c>
      <c r="Z116" s="1" t="s">
        <v>809</v>
      </c>
      <c r="AB116" s="2" t="s">
        <v>810</v>
      </c>
      <c r="AC116" s="2" t="s">
        <v>88</v>
      </c>
      <c r="AD116" s="26">
        <v>26</v>
      </c>
      <c r="AF116" s="1" t="s">
        <v>791</v>
      </c>
      <c r="AH116" s="2" t="s">
        <v>91</v>
      </c>
      <c r="AI116" s="1" t="s">
        <v>185</v>
      </c>
      <c r="AJ116" s="1" t="s">
        <v>811</v>
      </c>
      <c r="AK116" s="2" t="s">
        <v>812</v>
      </c>
      <c r="AL116" s="2" t="s">
        <v>107</v>
      </c>
      <c r="AM116" s="2" t="s">
        <v>107</v>
      </c>
      <c r="AN116" s="2" t="s">
        <v>136</v>
      </c>
      <c r="AO116" s="2" t="s">
        <v>188</v>
      </c>
      <c r="AP116" s="2" t="s">
        <v>813</v>
      </c>
      <c r="AQ116" s="1" t="s">
        <v>894</v>
      </c>
      <c r="AR116" s="1" t="s">
        <v>828</v>
      </c>
      <c r="AS116" s="3" t="s">
        <v>897</v>
      </c>
      <c r="AT116" s="2" t="s">
        <v>71</v>
      </c>
      <c r="AV116" s="1">
        <v>31.736619197443002</v>
      </c>
      <c r="AW116" s="19">
        <f t="shared" si="5"/>
        <v>5.6335263554405248</v>
      </c>
      <c r="AX116" s="1">
        <v>20</v>
      </c>
      <c r="AY116" s="19">
        <f t="shared" si="6"/>
        <v>1.2596947883801655</v>
      </c>
      <c r="BA116" s="1">
        <v>36.882430647291997</v>
      </c>
      <c r="BB116" s="1">
        <f t="shared" si="7"/>
        <v>6.073090699741936</v>
      </c>
      <c r="BC116" s="1">
        <v>20</v>
      </c>
      <c r="BD116" s="19">
        <f t="shared" si="8"/>
        <v>1.3579843638144733</v>
      </c>
    </row>
    <row r="117" spans="1:56" x14ac:dyDescent="0.2">
      <c r="A117" s="1" t="s">
        <v>797</v>
      </c>
      <c r="B117" s="2" t="s">
        <v>798</v>
      </c>
      <c r="C117" s="2" t="s">
        <v>886</v>
      </c>
      <c r="D117" s="49" t="s">
        <v>887</v>
      </c>
      <c r="E117" s="2" t="s">
        <v>898</v>
      </c>
      <c r="F117" s="2" t="s">
        <v>71</v>
      </c>
      <c r="G117" s="2" t="s">
        <v>802</v>
      </c>
      <c r="H117" s="1" t="s">
        <v>803</v>
      </c>
      <c r="J117" s="2" t="s">
        <v>804</v>
      </c>
      <c r="L117" s="21" t="s">
        <v>77</v>
      </c>
      <c r="M117" s="1" t="s">
        <v>805</v>
      </c>
      <c r="N117" s="2" t="s">
        <v>806</v>
      </c>
      <c r="P117" s="1" t="s">
        <v>80</v>
      </c>
      <c r="Q117" s="1" t="s">
        <v>543</v>
      </c>
      <c r="R117" s="1" t="s">
        <v>807</v>
      </c>
      <c r="S117" s="27">
        <v>8</v>
      </c>
      <c r="T117" s="2" t="s">
        <v>83</v>
      </c>
      <c r="U117" s="1">
        <v>5.0000000000000001E-3</v>
      </c>
      <c r="V117" s="2" t="s">
        <v>808</v>
      </c>
      <c r="W117" s="2" t="s">
        <v>85</v>
      </c>
      <c r="X117" s="27">
        <v>85</v>
      </c>
      <c r="Z117" s="1" t="s">
        <v>809</v>
      </c>
      <c r="AB117" s="2" t="s">
        <v>810</v>
      </c>
      <c r="AC117" s="2" t="s">
        <v>88</v>
      </c>
      <c r="AD117" s="26">
        <v>27</v>
      </c>
      <c r="AF117" s="1" t="s">
        <v>791</v>
      </c>
      <c r="AH117" s="2" t="s">
        <v>91</v>
      </c>
      <c r="AI117" s="1" t="s">
        <v>185</v>
      </c>
      <c r="AJ117" s="1" t="s">
        <v>811</v>
      </c>
      <c r="AK117" s="2" t="s">
        <v>812</v>
      </c>
      <c r="AL117" s="2" t="s">
        <v>107</v>
      </c>
      <c r="AM117" s="2" t="s">
        <v>107</v>
      </c>
      <c r="AN117" s="2" t="s">
        <v>136</v>
      </c>
      <c r="AO117" s="2" t="s">
        <v>188</v>
      </c>
      <c r="AP117" s="2" t="s">
        <v>813</v>
      </c>
      <c r="AQ117" s="1" t="s">
        <v>899</v>
      </c>
      <c r="AR117" s="1" t="s">
        <v>832</v>
      </c>
      <c r="AS117" s="22" t="s">
        <v>900</v>
      </c>
      <c r="AT117" s="2" t="s">
        <v>71</v>
      </c>
      <c r="AV117" s="1">
        <v>19.120055562525501</v>
      </c>
      <c r="AW117" s="19">
        <f t="shared" si="5"/>
        <v>4.3726485752373812</v>
      </c>
      <c r="AX117" s="1">
        <v>20</v>
      </c>
      <c r="AY117" s="19">
        <f t="shared" si="6"/>
        <v>0.97775394559483875</v>
      </c>
      <c r="BA117" s="1">
        <v>26.7371202113607</v>
      </c>
      <c r="BB117" s="1">
        <f t="shared" si="7"/>
        <v>5.1707949303139742</v>
      </c>
      <c r="BC117" s="1">
        <v>20</v>
      </c>
      <c r="BD117" s="19">
        <f t="shared" si="8"/>
        <v>1.1562248961893333</v>
      </c>
    </row>
    <row r="118" spans="1:56" x14ac:dyDescent="0.2">
      <c r="A118" s="1" t="s">
        <v>797</v>
      </c>
      <c r="B118" s="2" t="s">
        <v>818</v>
      </c>
      <c r="C118" s="2" t="s">
        <v>886</v>
      </c>
      <c r="D118" s="49" t="s">
        <v>887</v>
      </c>
      <c r="E118" s="2" t="s">
        <v>901</v>
      </c>
      <c r="F118" s="2" t="s">
        <v>71</v>
      </c>
      <c r="G118" s="2" t="s">
        <v>802</v>
      </c>
      <c r="H118" s="1" t="s">
        <v>803</v>
      </c>
      <c r="J118" s="2" t="s">
        <v>804</v>
      </c>
      <c r="L118" s="21" t="s">
        <v>77</v>
      </c>
      <c r="M118" s="1" t="s">
        <v>805</v>
      </c>
      <c r="N118" s="2" t="s">
        <v>806</v>
      </c>
      <c r="P118" s="1" t="s">
        <v>80</v>
      </c>
      <c r="Q118" s="1" t="s">
        <v>543</v>
      </c>
      <c r="R118" s="1" t="s">
        <v>807</v>
      </c>
      <c r="S118" s="27">
        <v>8</v>
      </c>
      <c r="T118" s="2" t="s">
        <v>83</v>
      </c>
      <c r="U118" s="1">
        <v>5.0000000000000001E-3</v>
      </c>
      <c r="V118" s="2" t="s">
        <v>808</v>
      </c>
      <c r="W118" s="2" t="s">
        <v>85</v>
      </c>
      <c r="X118" s="27">
        <v>65</v>
      </c>
      <c r="Z118" s="1" t="s">
        <v>809</v>
      </c>
      <c r="AB118" s="2" t="s">
        <v>810</v>
      </c>
      <c r="AC118" s="2" t="s">
        <v>88</v>
      </c>
      <c r="AD118" s="26">
        <v>27</v>
      </c>
      <c r="AF118" s="1" t="s">
        <v>791</v>
      </c>
      <c r="AH118" s="2" t="s">
        <v>91</v>
      </c>
      <c r="AI118" s="1" t="s">
        <v>185</v>
      </c>
      <c r="AJ118" s="1" t="s">
        <v>811</v>
      </c>
      <c r="AK118" s="2" t="s">
        <v>812</v>
      </c>
      <c r="AL118" s="2" t="s">
        <v>107</v>
      </c>
      <c r="AM118" s="2" t="s">
        <v>107</v>
      </c>
      <c r="AN118" s="2" t="s">
        <v>136</v>
      </c>
      <c r="AO118" s="2" t="s">
        <v>188</v>
      </c>
      <c r="AP118" s="2" t="s">
        <v>813</v>
      </c>
      <c r="AQ118" s="1" t="s">
        <v>899</v>
      </c>
      <c r="AR118" s="1" t="s">
        <v>835</v>
      </c>
      <c r="AS118" s="22" t="s">
        <v>902</v>
      </c>
      <c r="AT118" s="2" t="s">
        <v>71</v>
      </c>
      <c r="AV118" s="1">
        <v>19.120055562525501</v>
      </c>
      <c r="AW118" s="19">
        <f t="shared" si="5"/>
        <v>4.3726485752373812</v>
      </c>
      <c r="AX118" s="1">
        <v>20</v>
      </c>
      <c r="AY118" s="19">
        <f t="shared" si="6"/>
        <v>0.97775394559483875</v>
      </c>
      <c r="BA118" s="1">
        <v>15.7463672391017</v>
      </c>
      <c r="BB118" s="1">
        <f t="shared" si="7"/>
        <v>3.9681692553495873</v>
      </c>
      <c r="BC118" s="1">
        <v>20</v>
      </c>
      <c r="BD118" s="19">
        <f t="shared" si="8"/>
        <v>0.88730962011863979</v>
      </c>
    </row>
    <row r="119" spans="1:56" x14ac:dyDescent="0.2">
      <c r="A119" s="1" t="s">
        <v>797</v>
      </c>
      <c r="B119" s="2" t="s">
        <v>798</v>
      </c>
      <c r="C119" s="2" t="s">
        <v>886</v>
      </c>
      <c r="D119" s="49" t="s">
        <v>903</v>
      </c>
      <c r="E119" s="2" t="s">
        <v>904</v>
      </c>
      <c r="F119" s="2" t="s">
        <v>71</v>
      </c>
      <c r="G119" s="2" t="s">
        <v>802</v>
      </c>
      <c r="H119" s="1" t="s">
        <v>803</v>
      </c>
      <c r="J119" s="2" t="s">
        <v>804</v>
      </c>
      <c r="L119" s="21" t="s">
        <v>77</v>
      </c>
      <c r="M119" s="1" t="s">
        <v>805</v>
      </c>
      <c r="N119" s="2" t="s">
        <v>806</v>
      </c>
      <c r="P119" s="1" t="s">
        <v>80</v>
      </c>
      <c r="Q119" s="1" t="s">
        <v>543</v>
      </c>
      <c r="R119" s="1" t="s">
        <v>807</v>
      </c>
      <c r="S119" s="27">
        <v>8</v>
      </c>
      <c r="T119" s="2" t="s">
        <v>83</v>
      </c>
      <c r="U119" s="1">
        <v>5.0000000000000001E-3</v>
      </c>
      <c r="V119" s="2" t="s">
        <v>808</v>
      </c>
      <c r="W119" s="2" t="s">
        <v>85</v>
      </c>
      <c r="X119" s="27">
        <v>85</v>
      </c>
      <c r="Z119" s="1" t="s">
        <v>809</v>
      </c>
      <c r="AB119" s="2" t="s">
        <v>905</v>
      </c>
      <c r="AC119" s="2" t="s">
        <v>88</v>
      </c>
      <c r="AD119" s="26">
        <v>25</v>
      </c>
      <c r="AF119" s="1" t="s">
        <v>791</v>
      </c>
      <c r="AH119" s="2" t="s">
        <v>91</v>
      </c>
      <c r="AI119" s="1" t="s">
        <v>185</v>
      </c>
      <c r="AJ119" s="1" t="s">
        <v>811</v>
      </c>
      <c r="AK119" s="2" t="s">
        <v>404</v>
      </c>
      <c r="AL119" s="2" t="s">
        <v>107</v>
      </c>
      <c r="AM119" s="2" t="s">
        <v>107</v>
      </c>
      <c r="AN119" s="2" t="s">
        <v>136</v>
      </c>
      <c r="AO119" s="2" t="s">
        <v>839</v>
      </c>
      <c r="AP119" s="2" t="s">
        <v>840</v>
      </c>
      <c r="AQ119" s="1" t="s">
        <v>906</v>
      </c>
      <c r="AR119" s="1" t="s">
        <v>842</v>
      </c>
      <c r="AS119" s="3" t="s">
        <v>907</v>
      </c>
      <c r="AT119" s="2" t="s">
        <v>102</v>
      </c>
      <c r="AV119" s="1">
        <v>4.0525879090298096</v>
      </c>
      <c r="AW119" s="19">
        <f t="shared" si="5"/>
        <v>2.0131040482374005</v>
      </c>
      <c r="AX119" s="1">
        <v>20</v>
      </c>
      <c r="AY119" s="19">
        <f t="shared" si="6"/>
        <v>0.45014374976388433</v>
      </c>
      <c r="BA119" s="1">
        <v>3.68087855297158</v>
      </c>
      <c r="BB119" s="1">
        <f t="shared" si="7"/>
        <v>1.9185615843572965</v>
      </c>
      <c r="BC119" s="1">
        <v>20</v>
      </c>
      <c r="BD119" s="19">
        <f t="shared" si="8"/>
        <v>0.42900341216426119</v>
      </c>
    </row>
    <row r="120" spans="1:56" x14ac:dyDescent="0.2">
      <c r="A120" s="1" t="s">
        <v>797</v>
      </c>
      <c r="B120" s="2" t="s">
        <v>818</v>
      </c>
      <c r="C120" s="2" t="s">
        <v>886</v>
      </c>
      <c r="D120" s="49" t="s">
        <v>903</v>
      </c>
      <c r="E120" s="2" t="s">
        <v>908</v>
      </c>
      <c r="F120" s="2" t="s">
        <v>71</v>
      </c>
      <c r="G120" s="2" t="s">
        <v>802</v>
      </c>
      <c r="H120" s="1" t="s">
        <v>803</v>
      </c>
      <c r="J120" s="2" t="s">
        <v>804</v>
      </c>
      <c r="L120" s="21" t="s">
        <v>77</v>
      </c>
      <c r="M120" s="1" t="s">
        <v>805</v>
      </c>
      <c r="N120" s="2" t="s">
        <v>806</v>
      </c>
      <c r="P120" s="1" t="s">
        <v>80</v>
      </c>
      <c r="Q120" s="1" t="s">
        <v>543</v>
      </c>
      <c r="R120" s="1" t="s">
        <v>807</v>
      </c>
      <c r="S120" s="27">
        <v>8</v>
      </c>
      <c r="T120" s="2" t="s">
        <v>83</v>
      </c>
      <c r="U120" s="1">
        <v>5.0000000000000001E-3</v>
      </c>
      <c r="V120" s="2" t="s">
        <v>808</v>
      </c>
      <c r="W120" s="2" t="s">
        <v>85</v>
      </c>
      <c r="X120" s="27">
        <v>65</v>
      </c>
      <c r="Z120" s="1" t="s">
        <v>809</v>
      </c>
      <c r="AB120" s="2"/>
      <c r="AC120" s="2" t="s">
        <v>88</v>
      </c>
      <c r="AD120" s="26">
        <v>25</v>
      </c>
      <c r="AF120" s="1" t="s">
        <v>791</v>
      </c>
      <c r="AH120" s="2" t="s">
        <v>91</v>
      </c>
      <c r="AI120" s="1" t="s">
        <v>185</v>
      </c>
      <c r="AJ120" s="1" t="s">
        <v>811</v>
      </c>
      <c r="AK120" s="2" t="s">
        <v>404</v>
      </c>
      <c r="AL120" s="2" t="s">
        <v>107</v>
      </c>
      <c r="AM120" s="2" t="s">
        <v>107</v>
      </c>
      <c r="AN120" s="2" t="s">
        <v>136</v>
      </c>
      <c r="AO120" s="2" t="s">
        <v>839</v>
      </c>
      <c r="AP120" s="2" t="s">
        <v>840</v>
      </c>
      <c r="AQ120" s="1" t="s">
        <v>906</v>
      </c>
      <c r="AR120" s="1" t="s">
        <v>845</v>
      </c>
      <c r="AS120" s="3" t="s">
        <v>909</v>
      </c>
      <c r="AT120" s="2" t="s">
        <v>102</v>
      </c>
      <c r="AV120" s="1">
        <v>4.0525879090298096</v>
      </c>
      <c r="AW120" s="19">
        <f t="shared" si="5"/>
        <v>2.0131040482374005</v>
      </c>
      <c r="AX120" s="1">
        <v>20</v>
      </c>
      <c r="AY120" s="19">
        <f t="shared" si="6"/>
        <v>0.45014374976388433</v>
      </c>
      <c r="BA120" s="1">
        <v>3.7080103359173102</v>
      </c>
      <c r="BB120" s="1">
        <f t="shared" si="7"/>
        <v>1.9256194680978145</v>
      </c>
      <c r="BC120" s="1">
        <v>20</v>
      </c>
      <c r="BD120" s="19">
        <f t="shared" si="8"/>
        <v>0.43058160294637005</v>
      </c>
    </row>
    <row r="121" spans="1:56" x14ac:dyDescent="0.2">
      <c r="A121" s="1" t="s">
        <v>797</v>
      </c>
      <c r="B121" s="2" t="s">
        <v>798</v>
      </c>
      <c r="C121" s="2" t="s">
        <v>886</v>
      </c>
      <c r="D121" s="49" t="s">
        <v>903</v>
      </c>
      <c r="E121" s="2" t="s">
        <v>910</v>
      </c>
      <c r="F121" s="2" t="s">
        <v>71</v>
      </c>
      <c r="G121" s="2" t="s">
        <v>802</v>
      </c>
      <c r="H121" s="1" t="s">
        <v>803</v>
      </c>
      <c r="J121" s="2" t="s">
        <v>804</v>
      </c>
      <c r="L121" s="21" t="s">
        <v>77</v>
      </c>
      <c r="M121" s="1" t="s">
        <v>805</v>
      </c>
      <c r="N121" s="2" t="s">
        <v>806</v>
      </c>
      <c r="P121" s="1" t="s">
        <v>80</v>
      </c>
      <c r="Q121" s="1" t="s">
        <v>543</v>
      </c>
      <c r="R121" s="1" t="s">
        <v>807</v>
      </c>
      <c r="S121" s="27">
        <v>8</v>
      </c>
      <c r="T121" s="2" t="s">
        <v>83</v>
      </c>
      <c r="U121" s="1">
        <v>5.0000000000000001E-3</v>
      </c>
      <c r="V121" s="2" t="s">
        <v>808</v>
      </c>
      <c r="W121" s="2" t="s">
        <v>85</v>
      </c>
      <c r="X121" s="27">
        <v>85</v>
      </c>
      <c r="Z121" s="1" t="s">
        <v>809</v>
      </c>
      <c r="AB121" s="2"/>
      <c r="AC121" s="2" t="s">
        <v>88</v>
      </c>
      <c r="AD121" s="26">
        <v>26</v>
      </c>
      <c r="AF121" s="1" t="s">
        <v>791</v>
      </c>
      <c r="AH121" s="2" t="s">
        <v>91</v>
      </c>
      <c r="AI121" s="1" t="s">
        <v>185</v>
      </c>
      <c r="AJ121" s="1" t="s">
        <v>811</v>
      </c>
      <c r="AK121" s="2" t="s">
        <v>404</v>
      </c>
      <c r="AL121" s="2" t="s">
        <v>107</v>
      </c>
      <c r="AM121" s="2" t="s">
        <v>107</v>
      </c>
      <c r="AN121" s="2" t="s">
        <v>136</v>
      </c>
      <c r="AO121" s="2" t="s">
        <v>839</v>
      </c>
      <c r="AP121" s="2" t="s">
        <v>840</v>
      </c>
      <c r="AQ121" s="1" t="s">
        <v>911</v>
      </c>
      <c r="AR121" s="1" t="s">
        <v>849</v>
      </c>
      <c r="AS121" s="3" t="s">
        <v>912</v>
      </c>
      <c r="AT121" s="2" t="s">
        <v>102</v>
      </c>
      <c r="AV121" s="1">
        <v>3.5127367244252601</v>
      </c>
      <c r="AW121" s="19">
        <f t="shared" si="5"/>
        <v>1.8742296349234424</v>
      </c>
      <c r="AX121" s="1">
        <v>20</v>
      </c>
      <c r="AY121" s="19">
        <f t="shared" si="6"/>
        <v>0.41909048691334311</v>
      </c>
      <c r="BA121" s="1">
        <v>5.6705426356589204</v>
      </c>
      <c r="BB121" s="1">
        <f t="shared" si="7"/>
        <v>2.3812901200103527</v>
      </c>
      <c r="BC121" s="1">
        <v>20</v>
      </c>
      <c r="BD121" s="19">
        <f t="shared" si="8"/>
        <v>0.532472658249178</v>
      </c>
    </row>
    <row r="122" spans="1:56" x14ac:dyDescent="0.2">
      <c r="A122" s="1" t="s">
        <v>797</v>
      </c>
      <c r="B122" s="2" t="s">
        <v>818</v>
      </c>
      <c r="C122" s="2" t="s">
        <v>886</v>
      </c>
      <c r="D122" s="49" t="s">
        <v>903</v>
      </c>
      <c r="E122" s="2" t="s">
        <v>913</v>
      </c>
      <c r="F122" s="2" t="s">
        <v>71</v>
      </c>
      <c r="G122" s="2" t="s">
        <v>802</v>
      </c>
      <c r="H122" s="1" t="s">
        <v>803</v>
      </c>
      <c r="J122" s="2" t="s">
        <v>804</v>
      </c>
      <c r="L122" s="21" t="s">
        <v>77</v>
      </c>
      <c r="M122" s="1" t="s">
        <v>805</v>
      </c>
      <c r="N122" s="2" t="s">
        <v>806</v>
      </c>
      <c r="P122" s="1" t="s">
        <v>80</v>
      </c>
      <c r="Q122" s="1" t="s">
        <v>543</v>
      </c>
      <c r="R122" s="1" t="s">
        <v>807</v>
      </c>
      <c r="S122" s="27">
        <v>8</v>
      </c>
      <c r="T122" s="2" t="s">
        <v>83</v>
      </c>
      <c r="U122" s="1">
        <v>5.0000000000000001E-3</v>
      </c>
      <c r="V122" s="2" t="s">
        <v>808</v>
      </c>
      <c r="W122" s="2" t="s">
        <v>85</v>
      </c>
      <c r="X122" s="27">
        <v>65</v>
      </c>
      <c r="Z122" s="1" t="s">
        <v>809</v>
      </c>
      <c r="AB122" s="2"/>
      <c r="AC122" s="2" t="s">
        <v>88</v>
      </c>
      <c r="AD122" s="26">
        <v>26</v>
      </c>
      <c r="AF122" s="1" t="s">
        <v>791</v>
      </c>
      <c r="AH122" s="2" t="s">
        <v>91</v>
      </c>
      <c r="AI122" s="1" t="s">
        <v>185</v>
      </c>
      <c r="AJ122" s="1" t="s">
        <v>811</v>
      </c>
      <c r="AK122" s="2" t="s">
        <v>404</v>
      </c>
      <c r="AL122" s="2" t="s">
        <v>107</v>
      </c>
      <c r="AM122" s="2" t="s">
        <v>107</v>
      </c>
      <c r="AN122" s="2" t="s">
        <v>136</v>
      </c>
      <c r="AO122" s="2" t="s">
        <v>839</v>
      </c>
      <c r="AP122" s="2" t="s">
        <v>840</v>
      </c>
      <c r="AQ122" s="1" t="s">
        <v>911</v>
      </c>
      <c r="AR122" s="1" t="s">
        <v>852</v>
      </c>
      <c r="AS122" s="3" t="s">
        <v>914</v>
      </c>
      <c r="AT122" s="2" t="s">
        <v>102</v>
      </c>
      <c r="AV122" s="1">
        <v>3.5127367244252601</v>
      </c>
      <c r="AW122" s="19">
        <f t="shared" si="5"/>
        <v>1.8742296349234424</v>
      </c>
      <c r="AX122" s="1">
        <v>20</v>
      </c>
      <c r="AY122" s="19">
        <f t="shared" si="6"/>
        <v>0.41909048691334311</v>
      </c>
      <c r="BA122" s="1">
        <v>4.8023255813953503</v>
      </c>
      <c r="BB122" s="1">
        <f t="shared" si="7"/>
        <v>2.1914209046633077</v>
      </c>
      <c r="BC122" s="1">
        <v>20</v>
      </c>
      <c r="BD122" s="19">
        <f t="shared" si="8"/>
        <v>0.49001661101412419</v>
      </c>
    </row>
    <row r="123" spans="1:56" x14ac:dyDescent="0.2">
      <c r="A123" s="1" t="s">
        <v>797</v>
      </c>
      <c r="B123" s="2" t="s">
        <v>798</v>
      </c>
      <c r="C123" s="2" t="s">
        <v>886</v>
      </c>
      <c r="D123" s="49" t="s">
        <v>903</v>
      </c>
      <c r="E123" s="2" t="s">
        <v>915</v>
      </c>
      <c r="F123" s="2" t="s">
        <v>71</v>
      </c>
      <c r="G123" s="2" t="s">
        <v>802</v>
      </c>
      <c r="H123" s="1" t="s">
        <v>803</v>
      </c>
      <c r="J123" s="2" t="s">
        <v>804</v>
      </c>
      <c r="L123" s="21" t="s">
        <v>77</v>
      </c>
      <c r="M123" s="1" t="s">
        <v>805</v>
      </c>
      <c r="N123" s="2" t="s">
        <v>806</v>
      </c>
      <c r="P123" s="1" t="s">
        <v>80</v>
      </c>
      <c r="Q123" s="1" t="s">
        <v>543</v>
      </c>
      <c r="R123" s="1" t="s">
        <v>807</v>
      </c>
      <c r="S123" s="27">
        <v>8</v>
      </c>
      <c r="T123" s="2" t="s">
        <v>83</v>
      </c>
      <c r="U123" s="1">
        <v>5.0000000000000001E-3</v>
      </c>
      <c r="V123" s="2" t="s">
        <v>808</v>
      </c>
      <c r="W123" s="2" t="s">
        <v>85</v>
      </c>
      <c r="X123" s="27">
        <v>85</v>
      </c>
      <c r="Y123" s="29"/>
      <c r="Z123" s="1" t="s">
        <v>809</v>
      </c>
      <c r="AB123" s="2"/>
      <c r="AC123" s="2" t="s">
        <v>88</v>
      </c>
      <c r="AD123" s="26">
        <v>27</v>
      </c>
      <c r="AF123" s="1" t="s">
        <v>791</v>
      </c>
      <c r="AH123" s="2" t="s">
        <v>91</v>
      </c>
      <c r="AI123" s="1" t="s">
        <v>185</v>
      </c>
      <c r="AJ123" s="1" t="s">
        <v>811</v>
      </c>
      <c r="AK123" s="2" t="s">
        <v>404</v>
      </c>
      <c r="AL123" s="2" t="s">
        <v>107</v>
      </c>
      <c r="AM123" s="2" t="s">
        <v>107</v>
      </c>
      <c r="AN123" s="2" t="s">
        <v>136</v>
      </c>
      <c r="AO123" s="2" t="s">
        <v>839</v>
      </c>
      <c r="AP123" s="2" t="s">
        <v>840</v>
      </c>
      <c r="AQ123" s="1" t="s">
        <v>916</v>
      </c>
      <c r="AR123" s="1" t="s">
        <v>856</v>
      </c>
      <c r="AS123" s="22" t="s">
        <v>917</v>
      </c>
      <c r="AT123" s="2" t="s">
        <v>102</v>
      </c>
      <c r="AV123" s="1">
        <v>3.8478167700418799</v>
      </c>
      <c r="AW123" s="19">
        <f t="shared" si="5"/>
        <v>1.961585269633181</v>
      </c>
      <c r="AX123" s="1">
        <v>20</v>
      </c>
      <c r="AY123" s="19">
        <f t="shared" si="6"/>
        <v>0.43862380065620465</v>
      </c>
      <c r="BA123" s="1">
        <v>3.6899224806201598</v>
      </c>
      <c r="BB123" s="1">
        <f t="shared" si="7"/>
        <v>1.9209170936352666</v>
      </c>
      <c r="BC123" s="1">
        <v>20</v>
      </c>
      <c r="BD123" s="19">
        <f t="shared" si="8"/>
        <v>0.42953012005097846</v>
      </c>
    </row>
    <row r="124" spans="1:56" x14ac:dyDescent="0.2">
      <c r="A124" s="1" t="s">
        <v>797</v>
      </c>
      <c r="B124" s="2" t="s">
        <v>818</v>
      </c>
      <c r="C124" s="2" t="s">
        <v>886</v>
      </c>
      <c r="D124" s="49" t="s">
        <v>903</v>
      </c>
      <c r="E124" s="2" t="s">
        <v>918</v>
      </c>
      <c r="F124" s="2" t="s">
        <v>71</v>
      </c>
      <c r="G124" s="2" t="s">
        <v>802</v>
      </c>
      <c r="H124" s="1" t="s">
        <v>803</v>
      </c>
      <c r="J124" s="2" t="s">
        <v>804</v>
      </c>
      <c r="L124" s="21" t="s">
        <v>77</v>
      </c>
      <c r="M124" s="1" t="s">
        <v>805</v>
      </c>
      <c r="N124" s="2" t="s">
        <v>806</v>
      </c>
      <c r="P124" s="1" t="s">
        <v>80</v>
      </c>
      <c r="Q124" s="1" t="s">
        <v>543</v>
      </c>
      <c r="R124" s="1" t="s">
        <v>807</v>
      </c>
      <c r="S124" s="27">
        <v>8</v>
      </c>
      <c r="T124" s="2" t="s">
        <v>83</v>
      </c>
      <c r="U124" s="1">
        <v>5.0000000000000001E-3</v>
      </c>
      <c r="V124" s="2" t="s">
        <v>808</v>
      </c>
      <c r="W124" s="2" t="s">
        <v>85</v>
      </c>
      <c r="X124" s="27">
        <v>65</v>
      </c>
      <c r="Z124" s="1" t="s">
        <v>809</v>
      </c>
      <c r="AB124" s="2"/>
      <c r="AC124" s="2" t="s">
        <v>88</v>
      </c>
      <c r="AD124" s="26">
        <v>27</v>
      </c>
      <c r="AF124" s="1" t="s">
        <v>791</v>
      </c>
      <c r="AH124" s="2" t="s">
        <v>91</v>
      </c>
      <c r="AI124" s="1" t="s">
        <v>185</v>
      </c>
      <c r="AJ124" s="1" t="s">
        <v>811</v>
      </c>
      <c r="AK124" s="2" t="s">
        <v>404</v>
      </c>
      <c r="AL124" s="2" t="s">
        <v>107</v>
      </c>
      <c r="AM124" s="2" t="s">
        <v>107</v>
      </c>
      <c r="AN124" s="2" t="s">
        <v>136</v>
      </c>
      <c r="AO124" s="2" t="s">
        <v>839</v>
      </c>
      <c r="AP124" s="2" t="s">
        <v>840</v>
      </c>
      <c r="AQ124" s="1" t="s">
        <v>916</v>
      </c>
      <c r="AR124" s="1" t="s">
        <v>859</v>
      </c>
      <c r="AS124" s="22" t="s">
        <v>919</v>
      </c>
      <c r="AT124" s="2" t="s">
        <v>102</v>
      </c>
      <c r="AV124" s="1">
        <v>3.8478167700418799</v>
      </c>
      <c r="AW124" s="19">
        <f t="shared" si="5"/>
        <v>1.961585269633181</v>
      </c>
      <c r="AX124" s="1">
        <v>20</v>
      </c>
      <c r="AY124" s="19">
        <f t="shared" si="6"/>
        <v>0.43862380065620465</v>
      </c>
      <c r="BA124" s="1">
        <v>3.0749354005168001</v>
      </c>
      <c r="BB124" s="1">
        <f t="shared" si="7"/>
        <v>1.7535493721354982</v>
      </c>
      <c r="BC124" s="1">
        <v>20</v>
      </c>
      <c r="BD124" s="19">
        <f t="shared" si="8"/>
        <v>0.39210555979970496</v>
      </c>
    </row>
    <row r="125" spans="1:56" x14ac:dyDescent="0.2">
      <c r="A125" s="1" t="s">
        <v>797</v>
      </c>
      <c r="B125" s="2" t="s">
        <v>798</v>
      </c>
      <c r="C125" s="2" t="s">
        <v>886</v>
      </c>
      <c r="D125" s="49" t="s">
        <v>920</v>
      </c>
      <c r="E125" s="2" t="s">
        <v>921</v>
      </c>
      <c r="F125" s="2" t="s">
        <v>71</v>
      </c>
      <c r="G125" s="2" t="s">
        <v>802</v>
      </c>
      <c r="H125" s="1" t="s">
        <v>803</v>
      </c>
      <c r="J125" s="2" t="s">
        <v>804</v>
      </c>
      <c r="L125" s="21" t="s">
        <v>77</v>
      </c>
      <c r="M125" s="1" t="s">
        <v>805</v>
      </c>
      <c r="N125" s="2" t="s">
        <v>806</v>
      </c>
      <c r="P125" s="1" t="s">
        <v>80</v>
      </c>
      <c r="Q125" s="1" t="s">
        <v>543</v>
      </c>
      <c r="R125" s="1" t="s">
        <v>807</v>
      </c>
      <c r="S125" s="27">
        <v>8</v>
      </c>
      <c r="T125" s="2" t="s">
        <v>83</v>
      </c>
      <c r="U125" s="1">
        <v>5.0000000000000001E-3</v>
      </c>
      <c r="V125" s="2" t="s">
        <v>808</v>
      </c>
      <c r="W125" s="2" t="s">
        <v>85</v>
      </c>
      <c r="X125" s="27">
        <v>85</v>
      </c>
      <c r="Z125" s="1" t="s">
        <v>809</v>
      </c>
      <c r="AB125" s="2"/>
      <c r="AC125" s="2" t="s">
        <v>88</v>
      </c>
      <c r="AD125" s="26">
        <v>25</v>
      </c>
      <c r="AF125" s="1" t="s">
        <v>791</v>
      </c>
      <c r="AH125" s="2" t="s">
        <v>91</v>
      </c>
      <c r="AI125" s="1" t="s">
        <v>185</v>
      </c>
      <c r="AJ125" s="1" t="s">
        <v>811</v>
      </c>
      <c r="AK125" s="2" t="s">
        <v>863</v>
      </c>
      <c r="AL125" s="2" t="s">
        <v>107</v>
      </c>
      <c r="AM125" s="2" t="s">
        <v>107</v>
      </c>
      <c r="AN125" s="2" t="s">
        <v>136</v>
      </c>
      <c r="AO125" s="2" t="s">
        <v>864</v>
      </c>
      <c r="AP125" s="2" t="s">
        <v>865</v>
      </c>
      <c r="AQ125" s="1" t="s">
        <v>922</v>
      </c>
      <c r="AR125" s="1" t="s">
        <v>867</v>
      </c>
      <c r="AS125" s="22" t="s">
        <v>923</v>
      </c>
      <c r="AT125" s="2" t="s">
        <v>102</v>
      </c>
      <c r="AV125" s="1">
        <v>2.3849469075636902</v>
      </c>
      <c r="AW125" s="19">
        <f t="shared" si="5"/>
        <v>1.5443273317414576</v>
      </c>
      <c r="AX125" s="1">
        <v>20</v>
      </c>
      <c r="AY125" s="19">
        <f>AW125/SQRT(AX125)</f>
        <v>0.3453220893284768</v>
      </c>
      <c r="BA125" s="1">
        <v>2.37765957446809</v>
      </c>
      <c r="BB125" s="1">
        <f t="shared" si="7"/>
        <v>1.541966139209318</v>
      </c>
      <c r="BC125" s="1">
        <v>20</v>
      </c>
      <c r="BD125" s="19">
        <f t="shared" si="8"/>
        <v>0.34479411062749388</v>
      </c>
    </row>
    <row r="126" spans="1:56" x14ac:dyDescent="0.2">
      <c r="A126" s="1" t="s">
        <v>797</v>
      </c>
      <c r="B126" s="2" t="s">
        <v>818</v>
      </c>
      <c r="C126" s="2" t="s">
        <v>886</v>
      </c>
      <c r="D126" s="49" t="s">
        <v>920</v>
      </c>
      <c r="E126" s="2" t="s">
        <v>924</v>
      </c>
      <c r="F126" s="2" t="s">
        <v>71</v>
      </c>
      <c r="G126" s="2" t="s">
        <v>802</v>
      </c>
      <c r="H126" s="1" t="s">
        <v>803</v>
      </c>
      <c r="J126" s="2" t="s">
        <v>804</v>
      </c>
      <c r="L126" s="21" t="s">
        <v>77</v>
      </c>
      <c r="M126" s="1" t="s">
        <v>805</v>
      </c>
      <c r="N126" s="2" t="s">
        <v>806</v>
      </c>
      <c r="P126" s="1" t="s">
        <v>80</v>
      </c>
      <c r="Q126" s="1" t="s">
        <v>543</v>
      </c>
      <c r="R126" s="1" t="s">
        <v>807</v>
      </c>
      <c r="S126" s="27">
        <v>8</v>
      </c>
      <c r="T126" s="2" t="s">
        <v>83</v>
      </c>
      <c r="U126" s="1">
        <v>5.0000000000000001E-3</v>
      </c>
      <c r="V126" s="2" t="s">
        <v>808</v>
      </c>
      <c r="W126" s="2" t="s">
        <v>85</v>
      </c>
      <c r="X126" s="27">
        <v>65</v>
      </c>
      <c r="Z126" s="1" t="s">
        <v>809</v>
      </c>
      <c r="AB126" s="2"/>
      <c r="AC126" s="2" t="s">
        <v>88</v>
      </c>
      <c r="AD126" s="26">
        <v>25</v>
      </c>
      <c r="AF126" s="1" t="s">
        <v>791</v>
      </c>
      <c r="AH126" s="2" t="s">
        <v>91</v>
      </c>
      <c r="AI126" s="1" t="s">
        <v>185</v>
      </c>
      <c r="AJ126" s="1" t="s">
        <v>811</v>
      </c>
      <c r="AK126" s="2" t="s">
        <v>863</v>
      </c>
      <c r="AL126" s="2" t="s">
        <v>107</v>
      </c>
      <c r="AM126" s="2" t="s">
        <v>107</v>
      </c>
      <c r="AN126" s="2" t="s">
        <v>136</v>
      </c>
      <c r="AO126" s="2" t="s">
        <v>864</v>
      </c>
      <c r="AP126" s="2" t="s">
        <v>865</v>
      </c>
      <c r="AQ126" s="1" t="s">
        <v>922</v>
      </c>
      <c r="AR126" s="1" t="s">
        <v>870</v>
      </c>
      <c r="AS126" s="22" t="s">
        <v>925</v>
      </c>
      <c r="AT126" s="2" t="s">
        <v>102</v>
      </c>
      <c r="AV126" s="1">
        <v>2.3849469075636902</v>
      </c>
      <c r="AW126" s="19">
        <f t="shared" si="5"/>
        <v>1.5443273317414576</v>
      </c>
      <c r="AX126" s="1">
        <v>20</v>
      </c>
      <c r="AY126" s="19">
        <f t="shared" si="6"/>
        <v>0.3453220893284768</v>
      </c>
      <c r="BA126" s="1">
        <v>2.02260638297872</v>
      </c>
      <c r="BB126" s="1">
        <f t="shared" si="7"/>
        <v>1.4221836671044708</v>
      </c>
      <c r="BC126" s="1">
        <v>20</v>
      </c>
      <c r="BD126" s="19">
        <f t="shared" si="8"/>
        <v>0.31800993561355279</v>
      </c>
    </row>
    <row r="127" spans="1:56" x14ac:dyDescent="0.2">
      <c r="A127" s="1" t="s">
        <v>797</v>
      </c>
      <c r="B127" s="2" t="s">
        <v>798</v>
      </c>
      <c r="C127" s="2" t="s">
        <v>886</v>
      </c>
      <c r="D127" s="49" t="s">
        <v>920</v>
      </c>
      <c r="E127" s="2" t="s">
        <v>926</v>
      </c>
      <c r="F127" s="2" t="s">
        <v>71</v>
      </c>
      <c r="G127" s="2" t="s">
        <v>802</v>
      </c>
      <c r="H127" s="1" t="s">
        <v>803</v>
      </c>
      <c r="J127" s="2" t="s">
        <v>804</v>
      </c>
      <c r="L127" s="21" t="s">
        <v>77</v>
      </c>
      <c r="M127" s="1" t="s">
        <v>805</v>
      </c>
      <c r="N127" s="2" t="s">
        <v>806</v>
      </c>
      <c r="P127" s="1" t="s">
        <v>80</v>
      </c>
      <c r="Q127" s="1" t="s">
        <v>543</v>
      </c>
      <c r="R127" s="1" t="s">
        <v>807</v>
      </c>
      <c r="S127" s="27">
        <v>8</v>
      </c>
      <c r="T127" s="2" t="s">
        <v>83</v>
      </c>
      <c r="U127" s="1">
        <v>5.0000000000000001E-3</v>
      </c>
      <c r="V127" s="2" t="s">
        <v>808</v>
      </c>
      <c r="W127" s="2" t="s">
        <v>85</v>
      </c>
      <c r="X127" s="27">
        <v>85</v>
      </c>
      <c r="Z127" s="1" t="s">
        <v>809</v>
      </c>
      <c r="AB127" s="2"/>
      <c r="AC127" s="2" t="s">
        <v>88</v>
      </c>
      <c r="AD127" s="26">
        <v>26</v>
      </c>
      <c r="AF127" s="1" t="s">
        <v>791</v>
      </c>
      <c r="AH127" s="2" t="s">
        <v>91</v>
      </c>
      <c r="AI127" s="1" t="s">
        <v>185</v>
      </c>
      <c r="AJ127" s="1" t="s">
        <v>811</v>
      </c>
      <c r="AK127" s="2" t="s">
        <v>863</v>
      </c>
      <c r="AL127" s="2" t="s">
        <v>107</v>
      </c>
      <c r="AM127" s="2" t="s">
        <v>107</v>
      </c>
      <c r="AN127" s="2" t="s">
        <v>136</v>
      </c>
      <c r="AO127" s="2" t="s">
        <v>864</v>
      </c>
      <c r="AP127" s="2" t="s">
        <v>865</v>
      </c>
      <c r="AQ127" s="1" t="s">
        <v>927</v>
      </c>
      <c r="AR127" s="1" t="s">
        <v>874</v>
      </c>
      <c r="AS127" s="22" t="s">
        <v>928</v>
      </c>
      <c r="AT127" s="2" t="s">
        <v>102</v>
      </c>
      <c r="AV127" s="1">
        <v>1.5268453583739501</v>
      </c>
      <c r="AW127" s="19">
        <f t="shared" si="5"/>
        <v>1.2356558413951475</v>
      </c>
      <c r="AX127" s="1">
        <v>20</v>
      </c>
      <c r="AY127" s="19">
        <f t="shared" si="6"/>
        <v>0.27630104581542481</v>
      </c>
      <c r="BA127" s="1">
        <v>1.9827127659574499</v>
      </c>
      <c r="BB127" s="1">
        <f t="shared" si="7"/>
        <v>1.4080883374126247</v>
      </c>
      <c r="BC127" s="1">
        <v>20</v>
      </c>
      <c r="BD127" s="19">
        <f t="shared" si="8"/>
        <v>0.3148581240779289</v>
      </c>
    </row>
    <row r="128" spans="1:56" x14ac:dyDescent="0.2">
      <c r="A128" s="1" t="s">
        <v>797</v>
      </c>
      <c r="B128" s="2" t="s">
        <v>818</v>
      </c>
      <c r="C128" s="2" t="s">
        <v>886</v>
      </c>
      <c r="D128" s="49" t="s">
        <v>920</v>
      </c>
      <c r="E128" s="2" t="s">
        <v>929</v>
      </c>
      <c r="F128" s="2" t="s">
        <v>71</v>
      </c>
      <c r="G128" s="2" t="s">
        <v>802</v>
      </c>
      <c r="H128" s="1" t="s">
        <v>803</v>
      </c>
      <c r="J128" s="2" t="s">
        <v>804</v>
      </c>
      <c r="L128" s="21" t="s">
        <v>77</v>
      </c>
      <c r="M128" s="1" t="s">
        <v>805</v>
      </c>
      <c r="N128" s="2" t="s">
        <v>806</v>
      </c>
      <c r="P128" s="1" t="s">
        <v>80</v>
      </c>
      <c r="Q128" s="1" t="s">
        <v>543</v>
      </c>
      <c r="R128" s="1" t="s">
        <v>807</v>
      </c>
      <c r="S128" s="27">
        <v>8</v>
      </c>
      <c r="T128" s="2" t="s">
        <v>83</v>
      </c>
      <c r="U128" s="1">
        <v>5.0000000000000001E-3</v>
      </c>
      <c r="V128" s="2" t="s">
        <v>808</v>
      </c>
      <c r="W128" s="2" t="s">
        <v>85</v>
      </c>
      <c r="X128" s="27">
        <v>65</v>
      </c>
      <c r="Z128" s="1" t="s">
        <v>809</v>
      </c>
      <c r="AB128" s="2"/>
      <c r="AC128" s="2" t="s">
        <v>88</v>
      </c>
      <c r="AD128" s="26">
        <v>26</v>
      </c>
      <c r="AF128" s="1" t="s">
        <v>791</v>
      </c>
      <c r="AH128" s="2" t="s">
        <v>91</v>
      </c>
      <c r="AI128" s="1" t="s">
        <v>185</v>
      </c>
      <c r="AJ128" s="1" t="s">
        <v>811</v>
      </c>
      <c r="AK128" s="2" t="s">
        <v>863</v>
      </c>
      <c r="AL128" s="2" t="s">
        <v>107</v>
      </c>
      <c r="AM128" s="2" t="s">
        <v>107</v>
      </c>
      <c r="AN128" s="2" t="s">
        <v>136</v>
      </c>
      <c r="AO128" s="2" t="s">
        <v>864</v>
      </c>
      <c r="AP128" s="2" t="s">
        <v>865</v>
      </c>
      <c r="AQ128" s="1" t="s">
        <v>927</v>
      </c>
      <c r="AR128" s="1" t="s">
        <v>877</v>
      </c>
      <c r="AS128" s="22" t="s">
        <v>930</v>
      </c>
      <c r="AT128" s="2" t="s">
        <v>102</v>
      </c>
      <c r="AV128" s="1">
        <v>1.5268453583739501</v>
      </c>
      <c r="AW128" s="19">
        <f t="shared" si="5"/>
        <v>1.2356558413951475</v>
      </c>
      <c r="AX128" s="1">
        <v>20</v>
      </c>
      <c r="AY128" s="19">
        <f t="shared" si="6"/>
        <v>0.27630104581542481</v>
      </c>
      <c r="BA128" s="1">
        <v>1.8311170212765999</v>
      </c>
      <c r="BB128" s="1">
        <f t="shared" si="7"/>
        <v>1.3531877258076943</v>
      </c>
      <c r="BC128" s="1">
        <v>20</v>
      </c>
      <c r="BD128" s="19">
        <f>BB128/SQRT(BC128)</f>
        <v>0.30258197412243509</v>
      </c>
    </row>
    <row r="129" spans="1:58" x14ac:dyDescent="0.2">
      <c r="A129" s="1" t="s">
        <v>797</v>
      </c>
      <c r="B129" s="2" t="s">
        <v>798</v>
      </c>
      <c r="C129" s="2" t="s">
        <v>886</v>
      </c>
      <c r="D129" s="49" t="s">
        <v>920</v>
      </c>
      <c r="E129" s="2" t="s">
        <v>931</v>
      </c>
      <c r="F129" s="2" t="s">
        <v>71</v>
      </c>
      <c r="G129" s="2" t="s">
        <v>802</v>
      </c>
      <c r="H129" s="1" t="s">
        <v>803</v>
      </c>
      <c r="J129" s="2" t="s">
        <v>804</v>
      </c>
      <c r="L129" s="21" t="s">
        <v>77</v>
      </c>
      <c r="M129" s="1" t="s">
        <v>805</v>
      </c>
      <c r="N129" s="2" t="s">
        <v>806</v>
      </c>
      <c r="P129" s="1" t="s">
        <v>80</v>
      </c>
      <c r="Q129" s="1" t="s">
        <v>543</v>
      </c>
      <c r="R129" s="1" t="s">
        <v>807</v>
      </c>
      <c r="S129" s="27">
        <v>8</v>
      </c>
      <c r="T129" s="2" t="s">
        <v>83</v>
      </c>
      <c r="U129" s="1">
        <v>5.0000000000000001E-3</v>
      </c>
      <c r="V129" s="2" t="s">
        <v>808</v>
      </c>
      <c r="W129" s="2" t="s">
        <v>85</v>
      </c>
      <c r="X129" s="27">
        <v>85</v>
      </c>
      <c r="Z129" s="1" t="s">
        <v>809</v>
      </c>
      <c r="AB129" s="2"/>
      <c r="AC129" s="2" t="s">
        <v>88</v>
      </c>
      <c r="AD129" s="26">
        <v>27</v>
      </c>
      <c r="AF129" s="1" t="s">
        <v>791</v>
      </c>
      <c r="AH129" s="2" t="s">
        <v>91</v>
      </c>
      <c r="AI129" s="1" t="s">
        <v>185</v>
      </c>
      <c r="AJ129" s="1" t="s">
        <v>811</v>
      </c>
      <c r="AK129" s="2" t="s">
        <v>863</v>
      </c>
      <c r="AL129" s="2" t="s">
        <v>107</v>
      </c>
      <c r="AM129" s="2" t="s">
        <v>107</v>
      </c>
      <c r="AN129" s="2" t="s">
        <v>136</v>
      </c>
      <c r="AO129" s="2" t="s">
        <v>864</v>
      </c>
      <c r="AP129" s="2" t="s">
        <v>865</v>
      </c>
      <c r="AQ129" s="1" t="s">
        <v>932</v>
      </c>
      <c r="AR129" s="1" t="s">
        <v>881</v>
      </c>
      <c r="AS129" s="22" t="s">
        <v>933</v>
      </c>
      <c r="AT129" s="2" t="s">
        <v>102</v>
      </c>
      <c r="AV129" s="1">
        <v>2.7749930662862998</v>
      </c>
      <c r="AW129" s="19">
        <f t="shared" si="5"/>
        <v>1.6658310437395203</v>
      </c>
      <c r="AX129" s="1">
        <v>20</v>
      </c>
      <c r="AY129" s="19">
        <f t="shared" si="6"/>
        <v>0.37249114528309929</v>
      </c>
      <c r="BA129" s="1">
        <v>2.5731382978723398</v>
      </c>
      <c r="BB129" s="1">
        <f t="shared" si="7"/>
        <v>1.6041004637716243</v>
      </c>
      <c r="BC129" s="1">
        <v>20</v>
      </c>
      <c r="BD129" s="19">
        <f t="shared" si="8"/>
        <v>0.35868776797322904</v>
      </c>
    </row>
    <row r="130" spans="1:58" x14ac:dyDescent="0.2">
      <c r="A130" s="1" t="s">
        <v>797</v>
      </c>
      <c r="B130" s="2" t="s">
        <v>818</v>
      </c>
      <c r="C130" s="2" t="s">
        <v>886</v>
      </c>
      <c r="D130" s="49" t="s">
        <v>920</v>
      </c>
      <c r="E130" s="2" t="s">
        <v>934</v>
      </c>
      <c r="F130" s="2" t="s">
        <v>71</v>
      </c>
      <c r="G130" s="2" t="s">
        <v>802</v>
      </c>
      <c r="H130" s="1" t="s">
        <v>803</v>
      </c>
      <c r="J130" s="2" t="s">
        <v>804</v>
      </c>
      <c r="L130" s="21" t="s">
        <v>77</v>
      </c>
      <c r="M130" s="1" t="s">
        <v>805</v>
      </c>
      <c r="N130" s="2" t="s">
        <v>806</v>
      </c>
      <c r="P130" s="1" t="s">
        <v>80</v>
      </c>
      <c r="Q130" s="1" t="s">
        <v>543</v>
      </c>
      <c r="R130" s="1" t="s">
        <v>807</v>
      </c>
      <c r="S130" s="27">
        <v>8</v>
      </c>
      <c r="T130" s="2" t="s">
        <v>83</v>
      </c>
      <c r="U130" s="1">
        <v>5.0000000000000001E-3</v>
      </c>
      <c r="V130" s="2" t="s">
        <v>808</v>
      </c>
      <c r="W130" s="2" t="s">
        <v>85</v>
      </c>
      <c r="X130" s="27">
        <v>65</v>
      </c>
      <c r="Z130" s="1" t="s">
        <v>809</v>
      </c>
      <c r="AB130" s="2"/>
      <c r="AC130" s="2" t="s">
        <v>88</v>
      </c>
      <c r="AD130" s="26">
        <v>26</v>
      </c>
      <c r="AF130" s="1" t="s">
        <v>791</v>
      </c>
      <c r="AH130" s="2" t="s">
        <v>91</v>
      </c>
      <c r="AI130" s="1" t="s">
        <v>185</v>
      </c>
      <c r="AJ130" s="1" t="s">
        <v>811</v>
      </c>
      <c r="AK130" s="2" t="s">
        <v>863</v>
      </c>
      <c r="AL130" s="2" t="s">
        <v>107</v>
      </c>
      <c r="AM130" s="2" t="s">
        <v>107</v>
      </c>
      <c r="AN130" s="2" t="s">
        <v>136</v>
      </c>
      <c r="AO130" s="2" t="s">
        <v>864</v>
      </c>
      <c r="AP130" s="2" t="s">
        <v>865</v>
      </c>
      <c r="AQ130" s="1" t="s">
        <v>932</v>
      </c>
      <c r="AR130" s="1" t="s">
        <v>884</v>
      </c>
      <c r="AS130" s="22" t="s">
        <v>935</v>
      </c>
      <c r="AT130" s="2" t="s">
        <v>102</v>
      </c>
      <c r="AV130" s="1">
        <v>2.7749930662862998</v>
      </c>
      <c r="AW130" s="19">
        <f t="shared" si="5"/>
        <v>1.6658310437395203</v>
      </c>
      <c r="AX130" s="1">
        <v>20</v>
      </c>
      <c r="AY130" s="19">
        <f t="shared" si="6"/>
        <v>0.37249114528309929</v>
      </c>
      <c r="BA130" s="1">
        <v>2.8603723404255299</v>
      </c>
      <c r="BB130" s="1">
        <f t="shared" si="7"/>
        <v>1.6912635337006263</v>
      </c>
      <c r="BC130" s="1">
        <v>20</v>
      </c>
      <c r="BD130" s="19">
        <f t="shared" si="8"/>
        <v>0.37817802292211067</v>
      </c>
    </row>
    <row r="131" spans="1:58" x14ac:dyDescent="0.2">
      <c r="A131" s="1" t="s">
        <v>936</v>
      </c>
      <c r="B131" s="2" t="s">
        <v>937</v>
      </c>
      <c r="C131" s="2" t="s">
        <v>938</v>
      </c>
      <c r="D131" s="49" t="s">
        <v>939</v>
      </c>
      <c r="E131" s="2" t="s">
        <v>940</v>
      </c>
      <c r="F131" s="2" t="s">
        <v>102</v>
      </c>
      <c r="G131" s="1" t="s">
        <v>941</v>
      </c>
      <c r="H131" s="1" t="s">
        <v>942</v>
      </c>
      <c r="I131" s="1" t="s">
        <v>943</v>
      </c>
      <c r="J131" s="2" t="s">
        <v>944</v>
      </c>
      <c r="K131" s="2" t="s">
        <v>176</v>
      </c>
      <c r="L131" s="5" t="s">
        <v>77</v>
      </c>
      <c r="M131" s="2" t="s">
        <v>945</v>
      </c>
      <c r="N131" s="2" t="s">
        <v>79</v>
      </c>
      <c r="P131" s="2" t="s">
        <v>80</v>
      </c>
      <c r="Q131" s="2" t="s">
        <v>244</v>
      </c>
      <c r="R131" s="1" t="s">
        <v>946</v>
      </c>
      <c r="S131" s="26">
        <v>21</v>
      </c>
      <c r="T131" s="2" t="s">
        <v>283</v>
      </c>
      <c r="W131" s="2" t="s">
        <v>217</v>
      </c>
      <c r="X131" s="36"/>
      <c r="Y131" s="27" t="s">
        <v>285</v>
      </c>
      <c r="Z131" s="2" t="s">
        <v>947</v>
      </c>
      <c r="AB131" s="2" t="s">
        <v>948</v>
      </c>
      <c r="AC131" s="2" t="s">
        <v>88</v>
      </c>
      <c r="AD131" s="26">
        <v>90</v>
      </c>
      <c r="AE131" s="2" t="s">
        <v>183</v>
      </c>
      <c r="AF131" s="2" t="s">
        <v>90</v>
      </c>
      <c r="AH131" s="2" t="s">
        <v>91</v>
      </c>
      <c r="AI131" s="2" t="s">
        <v>185</v>
      </c>
      <c r="AK131" s="2" t="s">
        <v>949</v>
      </c>
      <c r="AL131" s="1" t="s">
        <v>107</v>
      </c>
      <c r="AM131" s="1" t="s">
        <v>107</v>
      </c>
      <c r="AN131" s="2" t="s">
        <v>96</v>
      </c>
      <c r="AO131" s="1" t="s">
        <v>950</v>
      </c>
      <c r="AP131" s="1" t="s">
        <v>936</v>
      </c>
      <c r="AQ131" s="23" t="s">
        <v>951</v>
      </c>
      <c r="AR131" s="1" t="s">
        <v>952</v>
      </c>
      <c r="AS131" s="2" t="s">
        <v>953</v>
      </c>
      <c r="AT131" s="1" t="s">
        <v>71</v>
      </c>
      <c r="AU131" s="23"/>
      <c r="AV131" s="1">
        <v>51.375</v>
      </c>
      <c r="AW131" s="1">
        <v>16.826318670463841</v>
      </c>
      <c r="AX131" s="1">
        <v>8</v>
      </c>
      <c r="AY131" s="1">
        <v>18.163805441729437</v>
      </c>
      <c r="BA131" s="1">
        <v>56.263157894736842</v>
      </c>
      <c r="BB131" s="1">
        <v>26.461380885406811</v>
      </c>
      <c r="BC131" s="1">
        <v>19</v>
      </c>
      <c r="BD131" s="1">
        <v>6.0706571150540585</v>
      </c>
      <c r="BF131" s="1" t="s">
        <v>666</v>
      </c>
    </row>
    <row r="132" spans="1:58" x14ac:dyDescent="0.2">
      <c r="A132" s="1" t="s">
        <v>936</v>
      </c>
      <c r="B132" s="2" t="s">
        <v>954</v>
      </c>
      <c r="C132" s="2" t="s">
        <v>955</v>
      </c>
      <c r="D132" s="49" t="s">
        <v>939</v>
      </c>
      <c r="E132" s="2" t="s">
        <v>956</v>
      </c>
      <c r="F132" s="2" t="s">
        <v>102</v>
      </c>
      <c r="G132" s="1" t="s">
        <v>941</v>
      </c>
      <c r="H132" s="1" t="s">
        <v>942</v>
      </c>
      <c r="I132" s="1" t="s">
        <v>943</v>
      </c>
      <c r="J132" s="2" t="s">
        <v>944</v>
      </c>
      <c r="K132" s="2" t="s">
        <v>176</v>
      </c>
      <c r="L132" s="5" t="s">
        <v>77</v>
      </c>
      <c r="M132" s="2" t="s">
        <v>945</v>
      </c>
      <c r="N132" s="2" t="s">
        <v>79</v>
      </c>
      <c r="P132" s="2" t="s">
        <v>80</v>
      </c>
      <c r="Q132" s="2" t="s">
        <v>244</v>
      </c>
      <c r="R132" s="1" t="s">
        <v>946</v>
      </c>
      <c r="S132" s="26">
        <v>21</v>
      </c>
      <c r="T132" s="2" t="s">
        <v>283</v>
      </c>
      <c r="W132" s="2" t="s">
        <v>217</v>
      </c>
      <c r="X132" s="36"/>
      <c r="Y132" s="27" t="s">
        <v>285</v>
      </c>
      <c r="Z132" s="2" t="s">
        <v>947</v>
      </c>
      <c r="AB132" s="2" t="s">
        <v>948</v>
      </c>
      <c r="AC132" s="2" t="s">
        <v>288</v>
      </c>
      <c r="AD132" s="26">
        <v>90</v>
      </c>
      <c r="AE132" s="2" t="s">
        <v>183</v>
      </c>
      <c r="AF132" s="2" t="s">
        <v>90</v>
      </c>
      <c r="AH132" s="2" t="s">
        <v>91</v>
      </c>
      <c r="AI132" s="2" t="s">
        <v>185</v>
      </c>
      <c r="AJ132" s="1" t="s">
        <v>957</v>
      </c>
      <c r="AK132" s="2" t="s">
        <v>949</v>
      </c>
      <c r="AL132" s="1" t="s">
        <v>107</v>
      </c>
      <c r="AM132" s="1" t="s">
        <v>107</v>
      </c>
      <c r="AN132" s="2" t="s">
        <v>96</v>
      </c>
      <c r="AO132" s="1" t="s">
        <v>950</v>
      </c>
      <c r="AP132" s="1" t="s">
        <v>936</v>
      </c>
      <c r="AQ132" s="23" t="s">
        <v>958</v>
      </c>
      <c r="AR132" s="24" t="s">
        <v>959</v>
      </c>
      <c r="AS132" s="2" t="s">
        <v>960</v>
      </c>
      <c r="AT132" s="1" t="s">
        <v>71</v>
      </c>
      <c r="AU132" s="23"/>
      <c r="AV132" s="1">
        <v>65.5</v>
      </c>
      <c r="AW132" s="1">
        <v>17.004201161561728</v>
      </c>
      <c r="AX132" s="1">
        <v>8</v>
      </c>
      <c r="AY132" s="1">
        <v>23.15774708385943</v>
      </c>
      <c r="BA132" s="1">
        <v>59.625</v>
      </c>
      <c r="BB132" s="1">
        <v>19.441793470082263</v>
      </c>
      <c r="BC132" s="1">
        <v>16</v>
      </c>
      <c r="BD132" s="1">
        <v>14.90625</v>
      </c>
      <c r="BF132" s="1" t="s">
        <v>666</v>
      </c>
    </row>
    <row r="133" spans="1:58" x14ac:dyDescent="0.2">
      <c r="A133" s="1" t="s">
        <v>936</v>
      </c>
      <c r="B133" s="2" t="s">
        <v>937</v>
      </c>
      <c r="C133" s="2" t="s">
        <v>938</v>
      </c>
      <c r="D133" s="49" t="s">
        <v>961</v>
      </c>
      <c r="E133" s="2" t="s">
        <v>962</v>
      </c>
      <c r="F133" s="2" t="s">
        <v>102</v>
      </c>
      <c r="G133" s="1" t="s">
        <v>941</v>
      </c>
      <c r="H133" s="1" t="s">
        <v>942</v>
      </c>
      <c r="I133" s="1" t="s">
        <v>943</v>
      </c>
      <c r="J133" s="2" t="s">
        <v>944</v>
      </c>
      <c r="K133" s="2" t="s">
        <v>176</v>
      </c>
      <c r="L133" s="5" t="s">
        <v>77</v>
      </c>
      <c r="M133" s="2" t="s">
        <v>945</v>
      </c>
      <c r="N133" s="2" t="s">
        <v>79</v>
      </c>
      <c r="P133" s="2" t="s">
        <v>80</v>
      </c>
      <c r="Q133" s="2" t="s">
        <v>244</v>
      </c>
      <c r="R133" s="1" t="s">
        <v>946</v>
      </c>
      <c r="S133" s="26">
        <v>21</v>
      </c>
      <c r="T133" s="2" t="s">
        <v>283</v>
      </c>
      <c r="W133" s="2" t="s">
        <v>217</v>
      </c>
      <c r="X133" s="36"/>
      <c r="Y133" s="27" t="s">
        <v>285</v>
      </c>
      <c r="Z133" s="2" t="s">
        <v>947</v>
      </c>
      <c r="AB133" s="2" t="s">
        <v>948</v>
      </c>
      <c r="AC133" s="2" t="s">
        <v>88</v>
      </c>
      <c r="AD133" s="26">
        <v>90</v>
      </c>
      <c r="AE133" s="2" t="s">
        <v>183</v>
      </c>
      <c r="AF133" s="2" t="s">
        <v>90</v>
      </c>
      <c r="AH133" s="2" t="s">
        <v>91</v>
      </c>
      <c r="AI133" s="2" t="s">
        <v>185</v>
      </c>
      <c r="AK133" s="2" t="s">
        <v>963</v>
      </c>
      <c r="AL133" s="1" t="s">
        <v>107</v>
      </c>
      <c r="AM133" s="1" t="s">
        <v>107</v>
      </c>
      <c r="AN133" s="2" t="s">
        <v>96</v>
      </c>
      <c r="AO133" s="1" t="s">
        <v>950</v>
      </c>
      <c r="AP133" s="1" t="s">
        <v>936</v>
      </c>
      <c r="AQ133" s="1" t="s">
        <v>964</v>
      </c>
      <c r="AR133" s="1" t="s">
        <v>965</v>
      </c>
      <c r="AS133" s="2" t="s">
        <v>966</v>
      </c>
      <c r="AT133" s="1" t="s">
        <v>71</v>
      </c>
      <c r="AV133" s="1">
        <v>23.625</v>
      </c>
      <c r="AW133" s="1">
        <v>6.7387472341462908</v>
      </c>
      <c r="AX133" s="1">
        <v>8</v>
      </c>
      <c r="AY133" s="1">
        <v>8.3526988527660926</v>
      </c>
      <c r="BA133" s="1">
        <v>23.578947368421051</v>
      </c>
      <c r="BB133" s="1">
        <v>11.057002755788771</v>
      </c>
      <c r="BC133" s="1">
        <v>19</v>
      </c>
      <c r="BD133" s="1">
        <v>2.5366504016281044</v>
      </c>
      <c r="BF133" s="1" t="s">
        <v>666</v>
      </c>
    </row>
    <row r="134" spans="1:58" x14ac:dyDescent="0.2">
      <c r="A134" s="1" t="s">
        <v>936</v>
      </c>
      <c r="B134" s="2" t="s">
        <v>954</v>
      </c>
      <c r="C134" s="2" t="s">
        <v>955</v>
      </c>
      <c r="D134" s="49" t="s">
        <v>961</v>
      </c>
      <c r="E134" s="2" t="s">
        <v>967</v>
      </c>
      <c r="F134" s="2" t="s">
        <v>102</v>
      </c>
      <c r="G134" s="1" t="s">
        <v>941</v>
      </c>
      <c r="H134" s="1" t="s">
        <v>942</v>
      </c>
      <c r="I134" s="1" t="s">
        <v>943</v>
      </c>
      <c r="J134" s="2" t="s">
        <v>944</v>
      </c>
      <c r="K134" s="2" t="s">
        <v>176</v>
      </c>
      <c r="L134" s="5" t="s">
        <v>77</v>
      </c>
      <c r="M134" s="2" t="s">
        <v>945</v>
      </c>
      <c r="N134" s="2" t="s">
        <v>79</v>
      </c>
      <c r="P134" s="2" t="s">
        <v>80</v>
      </c>
      <c r="Q134" s="2" t="s">
        <v>244</v>
      </c>
      <c r="R134" s="1" t="s">
        <v>946</v>
      </c>
      <c r="S134" s="26">
        <v>21</v>
      </c>
      <c r="T134" s="2" t="s">
        <v>283</v>
      </c>
      <c r="W134" s="2" t="s">
        <v>217</v>
      </c>
      <c r="X134" s="36"/>
      <c r="Y134" s="27" t="s">
        <v>285</v>
      </c>
      <c r="Z134" s="2" t="s">
        <v>947</v>
      </c>
      <c r="AB134" s="2" t="s">
        <v>948</v>
      </c>
      <c r="AC134" s="2" t="s">
        <v>288</v>
      </c>
      <c r="AD134" s="26">
        <v>90</v>
      </c>
      <c r="AE134" s="2" t="s">
        <v>183</v>
      </c>
      <c r="AF134" s="2" t="s">
        <v>90</v>
      </c>
      <c r="AH134" s="2" t="s">
        <v>91</v>
      </c>
      <c r="AI134" s="2" t="s">
        <v>185</v>
      </c>
      <c r="AK134" s="2" t="s">
        <v>963</v>
      </c>
      <c r="AL134" s="1" t="s">
        <v>107</v>
      </c>
      <c r="AM134" s="1" t="s">
        <v>107</v>
      </c>
      <c r="AN134" s="2" t="s">
        <v>96</v>
      </c>
      <c r="AO134" s="1" t="s">
        <v>950</v>
      </c>
      <c r="AP134" s="1" t="s">
        <v>936</v>
      </c>
      <c r="AQ134" s="1" t="s">
        <v>968</v>
      </c>
      <c r="AR134" s="24" t="s">
        <v>969</v>
      </c>
      <c r="AS134" s="2" t="s">
        <v>970</v>
      </c>
      <c r="AT134" s="1" t="s">
        <v>71</v>
      </c>
      <c r="AV134" s="1">
        <v>28.125</v>
      </c>
      <c r="AW134" s="1">
        <v>6.4683294376744387</v>
      </c>
      <c r="AX134" s="1">
        <v>8</v>
      </c>
      <c r="AY134" s="1">
        <v>9.9436891104358232</v>
      </c>
      <c r="BA134" s="1">
        <v>28.1875</v>
      </c>
      <c r="BB134" s="1">
        <v>8.9085632960651964</v>
      </c>
      <c r="BC134" s="1">
        <v>16</v>
      </c>
      <c r="BD134" s="1">
        <v>7.046875</v>
      </c>
      <c r="BF134" s="1" t="s">
        <v>666</v>
      </c>
    </row>
    <row r="135" spans="1:58" x14ac:dyDescent="0.2">
      <c r="A135" s="1" t="s">
        <v>936</v>
      </c>
      <c r="B135" s="2" t="s">
        <v>937</v>
      </c>
      <c r="C135" s="2" t="s">
        <v>938</v>
      </c>
      <c r="D135" s="50" t="s">
        <v>971</v>
      </c>
      <c r="E135" s="2" t="s">
        <v>972</v>
      </c>
      <c r="F135" s="2" t="s">
        <v>102</v>
      </c>
      <c r="G135" s="1" t="s">
        <v>941</v>
      </c>
      <c r="H135" s="1" t="s">
        <v>942</v>
      </c>
      <c r="I135" s="1" t="s">
        <v>943</v>
      </c>
      <c r="J135" s="2" t="s">
        <v>944</v>
      </c>
      <c r="K135" s="2" t="s">
        <v>176</v>
      </c>
      <c r="L135" s="5" t="s">
        <v>77</v>
      </c>
      <c r="M135" s="2" t="s">
        <v>945</v>
      </c>
      <c r="N135" s="2" t="s">
        <v>79</v>
      </c>
      <c r="P135" s="2" t="s">
        <v>80</v>
      </c>
      <c r="Q135" s="2" t="s">
        <v>244</v>
      </c>
      <c r="R135" s="1" t="s">
        <v>946</v>
      </c>
      <c r="S135" s="26">
        <v>21</v>
      </c>
      <c r="T135" s="2" t="s">
        <v>283</v>
      </c>
      <c r="W135" s="2" t="s">
        <v>217</v>
      </c>
      <c r="X135" s="36"/>
      <c r="Y135" s="27" t="s">
        <v>285</v>
      </c>
      <c r="Z135" s="2" t="s">
        <v>947</v>
      </c>
      <c r="AB135" s="2" t="s">
        <v>948</v>
      </c>
      <c r="AC135" s="2" t="s">
        <v>88</v>
      </c>
      <c r="AD135" s="26">
        <v>90</v>
      </c>
      <c r="AE135" s="2" t="s">
        <v>183</v>
      </c>
      <c r="AF135" s="2" t="s">
        <v>90</v>
      </c>
      <c r="AH135" s="2" t="s">
        <v>91</v>
      </c>
      <c r="AI135" s="2" t="s">
        <v>185</v>
      </c>
      <c r="AK135" s="2" t="s">
        <v>973</v>
      </c>
      <c r="AL135" s="1" t="s">
        <v>107</v>
      </c>
      <c r="AM135" s="1" t="s">
        <v>107</v>
      </c>
      <c r="AN135" s="2" t="s">
        <v>96</v>
      </c>
      <c r="AO135" s="1" t="s">
        <v>950</v>
      </c>
      <c r="AP135" s="1" t="s">
        <v>936</v>
      </c>
      <c r="AQ135" s="1" t="s">
        <v>974</v>
      </c>
      <c r="AR135" s="1" t="s">
        <v>975</v>
      </c>
      <c r="AS135" s="17" t="s">
        <v>976</v>
      </c>
      <c r="AT135" s="1" t="s">
        <v>71</v>
      </c>
      <c r="AV135" s="1">
        <v>1.875</v>
      </c>
      <c r="AW135" s="1">
        <v>2.997022331772464</v>
      </c>
      <c r="AX135" s="1">
        <v>8</v>
      </c>
      <c r="AY135" s="1">
        <v>0.66291260736238822</v>
      </c>
      <c r="BA135" s="1">
        <v>1.8421052631578947</v>
      </c>
      <c r="BB135" s="1">
        <v>1.4245138700910818</v>
      </c>
      <c r="BC135" s="1">
        <v>19</v>
      </c>
      <c r="BD135" s="1">
        <v>0.32680589491573958</v>
      </c>
      <c r="BF135" s="1" t="s">
        <v>666</v>
      </c>
    </row>
    <row r="136" spans="1:58" x14ac:dyDescent="0.2">
      <c r="A136" s="1" t="s">
        <v>936</v>
      </c>
      <c r="B136" s="2" t="s">
        <v>954</v>
      </c>
      <c r="C136" s="2" t="s">
        <v>955</v>
      </c>
      <c r="D136" s="50" t="s">
        <v>971</v>
      </c>
      <c r="E136" s="2" t="s">
        <v>977</v>
      </c>
      <c r="F136" s="2" t="s">
        <v>102</v>
      </c>
      <c r="G136" s="1" t="s">
        <v>941</v>
      </c>
      <c r="H136" s="1" t="s">
        <v>942</v>
      </c>
      <c r="I136" s="1" t="s">
        <v>943</v>
      </c>
      <c r="J136" s="2" t="s">
        <v>944</v>
      </c>
      <c r="K136" s="2" t="s">
        <v>176</v>
      </c>
      <c r="L136" s="5" t="s">
        <v>77</v>
      </c>
      <c r="M136" s="2" t="s">
        <v>945</v>
      </c>
      <c r="N136" s="2" t="s">
        <v>79</v>
      </c>
      <c r="P136" s="2" t="s">
        <v>80</v>
      </c>
      <c r="Q136" s="2" t="s">
        <v>244</v>
      </c>
      <c r="R136" s="1" t="s">
        <v>946</v>
      </c>
      <c r="S136" s="26">
        <v>21</v>
      </c>
      <c r="T136" s="2" t="s">
        <v>283</v>
      </c>
      <c r="W136" s="2" t="s">
        <v>217</v>
      </c>
      <c r="X136" s="36"/>
      <c r="Y136" s="27" t="s">
        <v>285</v>
      </c>
      <c r="Z136" s="2" t="s">
        <v>947</v>
      </c>
      <c r="AB136" s="2" t="s">
        <v>948</v>
      </c>
      <c r="AC136" s="2" t="s">
        <v>288</v>
      </c>
      <c r="AD136" s="26">
        <v>90</v>
      </c>
      <c r="AE136" s="2" t="s">
        <v>183</v>
      </c>
      <c r="AF136" s="2" t="s">
        <v>90</v>
      </c>
      <c r="AH136" s="2" t="s">
        <v>91</v>
      </c>
      <c r="AI136" s="2" t="s">
        <v>185</v>
      </c>
      <c r="AK136" s="2" t="s">
        <v>973</v>
      </c>
      <c r="AL136" s="1" t="s">
        <v>107</v>
      </c>
      <c r="AM136" s="1" t="s">
        <v>107</v>
      </c>
      <c r="AN136" s="2" t="s">
        <v>96</v>
      </c>
      <c r="AO136" s="1" t="s">
        <v>950</v>
      </c>
      <c r="AP136" s="1" t="s">
        <v>936</v>
      </c>
      <c r="AQ136" s="1" t="s">
        <v>978</v>
      </c>
      <c r="AR136" s="24" t="s">
        <v>979</v>
      </c>
      <c r="AS136" s="17" t="s">
        <v>980</v>
      </c>
      <c r="AT136" s="1" t="s">
        <v>71</v>
      </c>
      <c r="AV136" s="1">
        <v>2.75</v>
      </c>
      <c r="AW136" s="1">
        <v>1.8322507626258087</v>
      </c>
      <c r="AX136" s="1">
        <v>8</v>
      </c>
      <c r="AY136" s="1">
        <v>0.97227182413150282</v>
      </c>
      <c r="BA136" s="1">
        <v>1.25</v>
      </c>
      <c r="BB136" s="1">
        <v>0.93094933625126275</v>
      </c>
      <c r="BC136" s="1">
        <v>16</v>
      </c>
      <c r="BD136" s="1">
        <v>0.3125</v>
      </c>
      <c r="BF136" s="1" t="s">
        <v>666</v>
      </c>
    </row>
    <row r="137" spans="1:58" x14ac:dyDescent="0.2">
      <c r="A137" s="1" t="s">
        <v>936</v>
      </c>
      <c r="B137" s="2" t="s">
        <v>937</v>
      </c>
      <c r="C137" s="2" t="s">
        <v>938</v>
      </c>
      <c r="D137" s="50" t="s">
        <v>981</v>
      </c>
      <c r="E137" s="2" t="s">
        <v>982</v>
      </c>
      <c r="F137" s="2" t="s">
        <v>102</v>
      </c>
      <c r="G137" s="1" t="s">
        <v>941</v>
      </c>
      <c r="H137" s="1" t="s">
        <v>942</v>
      </c>
      <c r="I137" s="1" t="s">
        <v>943</v>
      </c>
      <c r="J137" s="2" t="s">
        <v>944</v>
      </c>
      <c r="K137" s="2" t="s">
        <v>176</v>
      </c>
      <c r="L137" s="5" t="s">
        <v>77</v>
      </c>
      <c r="M137" s="2" t="s">
        <v>945</v>
      </c>
      <c r="N137" s="2" t="s">
        <v>79</v>
      </c>
      <c r="P137" s="2" t="s">
        <v>80</v>
      </c>
      <c r="Q137" s="2" t="s">
        <v>244</v>
      </c>
      <c r="R137" s="1" t="s">
        <v>946</v>
      </c>
      <c r="S137" s="26">
        <v>21</v>
      </c>
      <c r="T137" s="2" t="s">
        <v>283</v>
      </c>
      <c r="W137" s="2" t="s">
        <v>217</v>
      </c>
      <c r="X137" s="36"/>
      <c r="Y137" s="27" t="s">
        <v>285</v>
      </c>
      <c r="Z137" s="2" t="s">
        <v>947</v>
      </c>
      <c r="AB137" s="2" t="s">
        <v>948</v>
      </c>
      <c r="AC137" s="2" t="s">
        <v>88</v>
      </c>
      <c r="AD137" s="26">
        <v>90</v>
      </c>
      <c r="AE137" s="2" t="s">
        <v>183</v>
      </c>
      <c r="AF137" s="2" t="s">
        <v>90</v>
      </c>
      <c r="AH137" s="2" t="s">
        <v>91</v>
      </c>
      <c r="AI137" s="2" t="s">
        <v>185</v>
      </c>
      <c r="AK137" s="2" t="s">
        <v>983</v>
      </c>
      <c r="AL137" s="1" t="s">
        <v>94</v>
      </c>
      <c r="AM137" s="1" t="s">
        <v>95</v>
      </c>
      <c r="AN137" s="2" t="s">
        <v>96</v>
      </c>
      <c r="AO137" s="1" t="s">
        <v>950</v>
      </c>
      <c r="AP137" s="1" t="s">
        <v>936</v>
      </c>
      <c r="AQ137" s="23" t="s">
        <v>984</v>
      </c>
      <c r="AR137" s="1" t="s">
        <v>985</v>
      </c>
      <c r="AS137" s="17" t="s">
        <v>986</v>
      </c>
      <c r="AT137" s="1" t="s">
        <v>102</v>
      </c>
      <c r="AU137" s="23"/>
      <c r="AV137" s="1">
        <v>12.503749999999998</v>
      </c>
      <c r="AW137" s="1">
        <v>11.02606384566004</v>
      </c>
      <c r="AX137" s="1">
        <v>8</v>
      </c>
      <c r="AY137" s="1">
        <v>4.4207432076306459</v>
      </c>
      <c r="BA137" s="1">
        <v>33.240526315789474</v>
      </c>
      <c r="BB137" s="1">
        <v>19.972440031671475</v>
      </c>
      <c r="BC137" s="1">
        <v>19</v>
      </c>
      <c r="BD137" s="1">
        <v>4.5819919870516967</v>
      </c>
      <c r="BF137" s="1" t="s">
        <v>666</v>
      </c>
    </row>
    <row r="138" spans="1:58" x14ac:dyDescent="0.2">
      <c r="A138" s="1" t="s">
        <v>936</v>
      </c>
      <c r="B138" s="2" t="s">
        <v>954</v>
      </c>
      <c r="C138" s="2" t="s">
        <v>955</v>
      </c>
      <c r="D138" s="50" t="s">
        <v>981</v>
      </c>
      <c r="E138" s="2" t="s">
        <v>987</v>
      </c>
      <c r="F138" s="2" t="s">
        <v>102</v>
      </c>
      <c r="G138" s="1" t="s">
        <v>941</v>
      </c>
      <c r="H138" s="1" t="s">
        <v>942</v>
      </c>
      <c r="I138" s="1" t="s">
        <v>943</v>
      </c>
      <c r="J138" s="2" t="s">
        <v>944</v>
      </c>
      <c r="K138" s="2" t="s">
        <v>176</v>
      </c>
      <c r="L138" s="5" t="s">
        <v>77</v>
      </c>
      <c r="M138" s="2" t="s">
        <v>945</v>
      </c>
      <c r="N138" s="2" t="s">
        <v>79</v>
      </c>
      <c r="P138" s="2" t="s">
        <v>80</v>
      </c>
      <c r="Q138" s="2" t="s">
        <v>244</v>
      </c>
      <c r="R138" s="1" t="s">
        <v>946</v>
      </c>
      <c r="S138" s="26">
        <v>21</v>
      </c>
      <c r="T138" s="2" t="s">
        <v>283</v>
      </c>
      <c r="W138" s="2" t="s">
        <v>217</v>
      </c>
      <c r="X138" s="36"/>
      <c r="Y138" s="27" t="s">
        <v>285</v>
      </c>
      <c r="Z138" s="2" t="s">
        <v>947</v>
      </c>
      <c r="AB138" s="2" t="s">
        <v>948</v>
      </c>
      <c r="AC138" s="2" t="s">
        <v>288</v>
      </c>
      <c r="AD138" s="26">
        <v>90</v>
      </c>
      <c r="AE138" s="2" t="s">
        <v>183</v>
      </c>
      <c r="AF138" s="2" t="s">
        <v>90</v>
      </c>
      <c r="AH138" s="2" t="s">
        <v>91</v>
      </c>
      <c r="AI138" s="2" t="s">
        <v>185</v>
      </c>
      <c r="AK138" s="2" t="s">
        <v>983</v>
      </c>
      <c r="AL138" s="1" t="s">
        <v>94</v>
      </c>
      <c r="AM138" s="1" t="s">
        <v>95</v>
      </c>
      <c r="AN138" s="2" t="s">
        <v>96</v>
      </c>
      <c r="AO138" s="1" t="s">
        <v>950</v>
      </c>
      <c r="AP138" s="1" t="s">
        <v>936</v>
      </c>
      <c r="AQ138" s="23" t="s">
        <v>988</v>
      </c>
      <c r="AR138" s="24" t="s">
        <v>989</v>
      </c>
      <c r="AS138" s="17" t="s">
        <v>990</v>
      </c>
      <c r="AT138" s="1" t="s">
        <v>102</v>
      </c>
      <c r="AU138" s="23"/>
      <c r="AV138" s="1">
        <v>13.87125</v>
      </c>
      <c r="AW138" s="1">
        <v>13.505314760704925</v>
      </c>
      <c r="AX138" s="1">
        <v>8</v>
      </c>
      <c r="AY138" s="1">
        <v>4.9042274692669485</v>
      </c>
      <c r="BA138" s="1">
        <v>17.125</v>
      </c>
      <c r="BB138" s="1">
        <v>12.296062784485121</v>
      </c>
      <c r="BC138" s="1">
        <v>16</v>
      </c>
      <c r="BD138" s="1">
        <v>4.28125</v>
      </c>
      <c r="BF138" s="1" t="s">
        <v>666</v>
      </c>
    </row>
    <row r="139" spans="1:58" x14ac:dyDescent="0.2">
      <c r="A139" s="1" t="s">
        <v>936</v>
      </c>
      <c r="B139" s="2" t="s">
        <v>937</v>
      </c>
      <c r="C139" s="2" t="s">
        <v>938</v>
      </c>
      <c r="D139" s="50" t="s">
        <v>991</v>
      </c>
      <c r="E139" s="2" t="s">
        <v>992</v>
      </c>
      <c r="F139" s="2" t="s">
        <v>102</v>
      </c>
      <c r="G139" s="1" t="s">
        <v>941</v>
      </c>
      <c r="H139" s="1" t="s">
        <v>942</v>
      </c>
      <c r="I139" s="1" t="s">
        <v>943</v>
      </c>
      <c r="J139" s="2" t="s">
        <v>944</v>
      </c>
      <c r="K139" s="2" t="s">
        <v>176</v>
      </c>
      <c r="L139" s="5" t="s">
        <v>77</v>
      </c>
      <c r="M139" s="2" t="s">
        <v>945</v>
      </c>
      <c r="N139" s="2" t="s">
        <v>79</v>
      </c>
      <c r="P139" s="2" t="s">
        <v>80</v>
      </c>
      <c r="Q139" s="2" t="s">
        <v>244</v>
      </c>
      <c r="R139" s="1" t="s">
        <v>946</v>
      </c>
      <c r="S139" s="26">
        <v>21</v>
      </c>
      <c r="T139" s="2" t="s">
        <v>283</v>
      </c>
      <c r="W139" s="2" t="s">
        <v>217</v>
      </c>
      <c r="X139" s="36"/>
      <c r="Y139" s="27" t="s">
        <v>285</v>
      </c>
      <c r="Z139" s="2" t="s">
        <v>947</v>
      </c>
      <c r="AB139" s="2" t="s">
        <v>948</v>
      </c>
      <c r="AC139" s="2" t="s">
        <v>88</v>
      </c>
      <c r="AD139" s="26">
        <v>90</v>
      </c>
      <c r="AE139" s="2" t="s">
        <v>183</v>
      </c>
      <c r="AF139" s="2" t="s">
        <v>90</v>
      </c>
      <c r="AH139" s="2" t="s">
        <v>91</v>
      </c>
      <c r="AI139" s="2" t="s">
        <v>185</v>
      </c>
      <c r="AK139" s="2" t="s">
        <v>993</v>
      </c>
      <c r="AL139" s="1" t="s">
        <v>94</v>
      </c>
      <c r="AM139" s="1" t="s">
        <v>95</v>
      </c>
      <c r="AN139" s="2" t="s">
        <v>96</v>
      </c>
      <c r="AO139" s="1" t="s">
        <v>950</v>
      </c>
      <c r="AP139" s="1" t="s">
        <v>936</v>
      </c>
      <c r="AQ139" s="1" t="s">
        <v>994</v>
      </c>
      <c r="AR139" s="1" t="s">
        <v>995</v>
      </c>
      <c r="AS139" s="17" t="s">
        <v>996</v>
      </c>
      <c r="AT139" s="1" t="s">
        <v>102</v>
      </c>
      <c r="AV139" s="1">
        <v>9.4775000000000009</v>
      </c>
      <c r="AW139" s="1">
        <v>15.552713819229657</v>
      </c>
      <c r="AX139" s="1">
        <v>8</v>
      </c>
      <c r="AY139" s="1">
        <v>3.350802259347752</v>
      </c>
      <c r="BA139" s="1">
        <v>33.231578947368419</v>
      </c>
      <c r="BB139" s="1">
        <v>43.781337762308155</v>
      </c>
      <c r="BC139" s="1">
        <v>19</v>
      </c>
      <c r="BD139" s="1">
        <v>10.044127732574863</v>
      </c>
      <c r="BF139" s="1" t="s">
        <v>666</v>
      </c>
    </row>
    <row r="140" spans="1:58" x14ac:dyDescent="0.2">
      <c r="A140" s="1" t="s">
        <v>936</v>
      </c>
      <c r="B140" s="2" t="s">
        <v>954</v>
      </c>
      <c r="C140" s="2" t="s">
        <v>955</v>
      </c>
      <c r="D140" s="50" t="s">
        <v>991</v>
      </c>
      <c r="E140" s="2" t="s">
        <v>997</v>
      </c>
      <c r="F140" s="2" t="s">
        <v>102</v>
      </c>
      <c r="G140" s="1" t="s">
        <v>941</v>
      </c>
      <c r="H140" s="1" t="s">
        <v>942</v>
      </c>
      <c r="I140" s="1" t="s">
        <v>943</v>
      </c>
      <c r="J140" s="2" t="s">
        <v>944</v>
      </c>
      <c r="K140" s="2" t="s">
        <v>176</v>
      </c>
      <c r="L140" s="5" t="s">
        <v>77</v>
      </c>
      <c r="M140" s="2" t="s">
        <v>945</v>
      </c>
      <c r="N140" s="2" t="s">
        <v>79</v>
      </c>
      <c r="P140" s="2" t="s">
        <v>80</v>
      </c>
      <c r="Q140" s="2" t="s">
        <v>244</v>
      </c>
      <c r="R140" s="1" t="s">
        <v>946</v>
      </c>
      <c r="S140" s="26">
        <v>21</v>
      </c>
      <c r="T140" s="2" t="s">
        <v>283</v>
      </c>
      <c r="W140" s="2" t="s">
        <v>217</v>
      </c>
      <c r="X140" s="36"/>
      <c r="Y140" s="27" t="s">
        <v>285</v>
      </c>
      <c r="Z140" s="2" t="s">
        <v>947</v>
      </c>
      <c r="AB140" s="2" t="s">
        <v>948</v>
      </c>
      <c r="AC140" s="2" t="s">
        <v>288</v>
      </c>
      <c r="AD140" s="26">
        <v>90</v>
      </c>
      <c r="AE140" s="2" t="s">
        <v>183</v>
      </c>
      <c r="AF140" s="2" t="s">
        <v>90</v>
      </c>
      <c r="AH140" s="2" t="s">
        <v>91</v>
      </c>
      <c r="AI140" s="2" t="s">
        <v>185</v>
      </c>
      <c r="AK140" s="2" t="s">
        <v>993</v>
      </c>
      <c r="AL140" s="1" t="s">
        <v>94</v>
      </c>
      <c r="AM140" s="1" t="s">
        <v>95</v>
      </c>
      <c r="AN140" s="2" t="s">
        <v>96</v>
      </c>
      <c r="AO140" s="1" t="s">
        <v>950</v>
      </c>
      <c r="AP140" s="1" t="s">
        <v>936</v>
      </c>
      <c r="AQ140" s="1" t="s">
        <v>998</v>
      </c>
      <c r="AR140" s="24" t="s">
        <v>999</v>
      </c>
      <c r="AS140" s="17" t="s">
        <v>1000</v>
      </c>
      <c r="AT140" s="1" t="s">
        <v>102</v>
      </c>
      <c r="AV140" s="1">
        <v>8.2562499999999996</v>
      </c>
      <c r="AW140" s="1">
        <v>21.451450125807344</v>
      </c>
      <c r="AX140" s="1">
        <v>8</v>
      </c>
      <c r="AY140" s="1">
        <v>2.9190251810857162</v>
      </c>
      <c r="BA140" s="1">
        <v>32.792499999999997</v>
      </c>
      <c r="BB140" s="1">
        <v>28.649882256884293</v>
      </c>
      <c r="BC140" s="1">
        <v>16</v>
      </c>
      <c r="BD140" s="1">
        <v>8.1981249999999992</v>
      </c>
      <c r="BF140" s="1" t="s">
        <v>666</v>
      </c>
    </row>
    <row r="141" spans="1:58" x14ac:dyDescent="0.2">
      <c r="A141" s="1" t="s">
        <v>936</v>
      </c>
      <c r="B141" s="2" t="s">
        <v>937</v>
      </c>
      <c r="C141" s="2" t="s">
        <v>938</v>
      </c>
      <c r="D141" s="50" t="s">
        <v>1001</v>
      </c>
      <c r="E141" s="2" t="s">
        <v>1002</v>
      </c>
      <c r="F141" s="2" t="s">
        <v>102</v>
      </c>
      <c r="G141" s="1" t="s">
        <v>941</v>
      </c>
      <c r="H141" s="1" t="s">
        <v>942</v>
      </c>
      <c r="I141" s="1" t="s">
        <v>943</v>
      </c>
      <c r="J141" s="2" t="s">
        <v>944</v>
      </c>
      <c r="K141" s="2" t="s">
        <v>176</v>
      </c>
      <c r="L141" s="5" t="s">
        <v>77</v>
      </c>
      <c r="M141" s="2" t="s">
        <v>945</v>
      </c>
      <c r="N141" s="2" t="s">
        <v>79</v>
      </c>
      <c r="P141" s="2" t="s">
        <v>80</v>
      </c>
      <c r="Q141" s="2" t="s">
        <v>244</v>
      </c>
      <c r="R141" s="1" t="s">
        <v>946</v>
      </c>
      <c r="S141" s="26">
        <v>21</v>
      </c>
      <c r="T141" s="2" t="s">
        <v>283</v>
      </c>
      <c r="W141" s="2" t="s">
        <v>217</v>
      </c>
      <c r="X141" s="36"/>
      <c r="Y141" s="27" t="s">
        <v>285</v>
      </c>
      <c r="Z141" s="2" t="s">
        <v>947</v>
      </c>
      <c r="AB141" s="2" t="s">
        <v>948</v>
      </c>
      <c r="AC141" s="2" t="s">
        <v>88</v>
      </c>
      <c r="AD141" s="26">
        <v>90</v>
      </c>
      <c r="AE141" s="2" t="s">
        <v>183</v>
      </c>
      <c r="AF141" s="2" t="s">
        <v>90</v>
      </c>
      <c r="AH141" s="2" t="s">
        <v>91</v>
      </c>
      <c r="AI141" s="2" t="s">
        <v>185</v>
      </c>
      <c r="AK141" s="2" t="s">
        <v>1003</v>
      </c>
      <c r="AL141" s="1" t="s">
        <v>107</v>
      </c>
      <c r="AM141" s="1" t="s">
        <v>107</v>
      </c>
      <c r="AN141" s="2" t="s">
        <v>96</v>
      </c>
      <c r="AO141" s="1" t="s">
        <v>950</v>
      </c>
      <c r="AP141" s="1" t="s">
        <v>936</v>
      </c>
      <c r="AQ141" s="1" t="s">
        <v>1004</v>
      </c>
      <c r="AR141" s="1" t="s">
        <v>1005</v>
      </c>
      <c r="AS141" s="2" t="s">
        <v>1006</v>
      </c>
      <c r="AT141" s="1" t="s">
        <v>102</v>
      </c>
      <c r="AV141" s="1">
        <v>4.625</v>
      </c>
      <c r="AW141" s="1">
        <v>3.7008686239082538</v>
      </c>
      <c r="AX141" s="1">
        <v>8</v>
      </c>
      <c r="AY141" s="1">
        <v>1.635184431493891</v>
      </c>
      <c r="BA141" s="1">
        <v>4.2105263157894735</v>
      </c>
      <c r="BB141" s="1">
        <v>2.1750848608840028</v>
      </c>
      <c r="BC141" s="1">
        <v>19</v>
      </c>
      <c r="BD141" s="1">
        <v>0.49899868959045218</v>
      </c>
      <c r="BF141" s="1" t="s">
        <v>666</v>
      </c>
    </row>
    <row r="142" spans="1:58" x14ac:dyDescent="0.2">
      <c r="A142" s="1" t="s">
        <v>936</v>
      </c>
      <c r="B142" s="2" t="s">
        <v>954</v>
      </c>
      <c r="C142" s="2" t="s">
        <v>955</v>
      </c>
      <c r="D142" s="50" t="s">
        <v>1001</v>
      </c>
      <c r="E142" s="2" t="s">
        <v>1007</v>
      </c>
      <c r="F142" s="2" t="s">
        <v>102</v>
      </c>
      <c r="G142" s="1" t="s">
        <v>941</v>
      </c>
      <c r="H142" s="1" t="s">
        <v>942</v>
      </c>
      <c r="I142" s="1" t="s">
        <v>943</v>
      </c>
      <c r="J142" s="2" t="s">
        <v>944</v>
      </c>
      <c r="K142" s="2" t="s">
        <v>176</v>
      </c>
      <c r="L142" s="5" t="s">
        <v>77</v>
      </c>
      <c r="M142" s="2" t="s">
        <v>945</v>
      </c>
      <c r="N142" s="2" t="s">
        <v>79</v>
      </c>
      <c r="P142" s="2" t="s">
        <v>80</v>
      </c>
      <c r="Q142" s="2" t="s">
        <v>244</v>
      </c>
      <c r="R142" s="1" t="s">
        <v>946</v>
      </c>
      <c r="S142" s="26">
        <v>21</v>
      </c>
      <c r="T142" s="2" t="s">
        <v>283</v>
      </c>
      <c r="W142" s="2" t="s">
        <v>217</v>
      </c>
      <c r="X142" s="36"/>
      <c r="Y142" s="27" t="s">
        <v>285</v>
      </c>
      <c r="Z142" s="2" t="s">
        <v>947</v>
      </c>
      <c r="AB142" s="2" t="s">
        <v>948</v>
      </c>
      <c r="AC142" s="2" t="s">
        <v>288</v>
      </c>
      <c r="AD142" s="26">
        <v>90</v>
      </c>
      <c r="AE142" s="2" t="s">
        <v>183</v>
      </c>
      <c r="AF142" s="2" t="s">
        <v>90</v>
      </c>
      <c r="AH142" s="2" t="s">
        <v>91</v>
      </c>
      <c r="AI142" s="2" t="s">
        <v>185</v>
      </c>
      <c r="AK142" s="2" t="s">
        <v>1003</v>
      </c>
      <c r="AL142" s="1" t="s">
        <v>107</v>
      </c>
      <c r="AM142" s="1" t="s">
        <v>107</v>
      </c>
      <c r="AN142" s="2" t="s">
        <v>96</v>
      </c>
      <c r="AO142" s="1" t="s">
        <v>950</v>
      </c>
      <c r="AP142" s="1" t="s">
        <v>936</v>
      </c>
      <c r="AQ142" s="1" t="s">
        <v>1008</v>
      </c>
      <c r="AR142" s="24" t="s">
        <v>1009</v>
      </c>
      <c r="AS142" s="2" t="s">
        <v>1010</v>
      </c>
      <c r="AT142" s="1" t="s">
        <v>102</v>
      </c>
      <c r="AV142" s="1">
        <v>2.875</v>
      </c>
      <c r="AW142" s="1">
        <v>1.807721533549109</v>
      </c>
      <c r="AX142" s="1">
        <v>8</v>
      </c>
      <c r="AY142" s="1">
        <v>1.0164659979556621</v>
      </c>
      <c r="BA142" s="1">
        <v>3</v>
      </c>
      <c r="BB142" s="1">
        <v>1.3662601021279464</v>
      </c>
      <c r="BC142" s="1">
        <v>16</v>
      </c>
      <c r="BD142" s="1">
        <v>0.75</v>
      </c>
      <c r="BF142" s="1" t="s">
        <v>666</v>
      </c>
    </row>
    <row r="143" spans="1:58" x14ac:dyDescent="0.2">
      <c r="A143" s="1" t="s">
        <v>936</v>
      </c>
      <c r="B143" s="2" t="s">
        <v>937</v>
      </c>
      <c r="C143" s="2" t="s">
        <v>938</v>
      </c>
      <c r="D143" s="50" t="s">
        <v>1011</v>
      </c>
      <c r="E143" s="2" t="s">
        <v>1012</v>
      </c>
      <c r="F143" s="2" t="s">
        <v>102</v>
      </c>
      <c r="G143" s="1" t="s">
        <v>941</v>
      </c>
      <c r="H143" s="1" t="s">
        <v>942</v>
      </c>
      <c r="I143" s="1" t="s">
        <v>943</v>
      </c>
      <c r="J143" s="2" t="s">
        <v>944</v>
      </c>
      <c r="K143" s="2" t="s">
        <v>176</v>
      </c>
      <c r="L143" s="5" t="s">
        <v>77</v>
      </c>
      <c r="M143" s="2" t="s">
        <v>945</v>
      </c>
      <c r="N143" s="2" t="s">
        <v>79</v>
      </c>
      <c r="P143" s="2" t="s">
        <v>80</v>
      </c>
      <c r="Q143" s="2" t="s">
        <v>244</v>
      </c>
      <c r="R143" s="1" t="s">
        <v>946</v>
      </c>
      <c r="S143" s="26">
        <v>21</v>
      </c>
      <c r="T143" s="2" t="s">
        <v>283</v>
      </c>
      <c r="W143" s="2" t="s">
        <v>217</v>
      </c>
      <c r="X143" s="36"/>
      <c r="Y143" s="27" t="s">
        <v>285</v>
      </c>
      <c r="Z143" s="2" t="s">
        <v>947</v>
      </c>
      <c r="AB143" s="2" t="s">
        <v>948</v>
      </c>
      <c r="AC143" s="2" t="s">
        <v>88</v>
      </c>
      <c r="AD143" s="26">
        <v>90</v>
      </c>
      <c r="AE143" s="2" t="s">
        <v>183</v>
      </c>
      <c r="AF143" s="2" t="s">
        <v>90</v>
      </c>
      <c r="AH143" s="2" t="s">
        <v>91</v>
      </c>
      <c r="AI143" s="2" t="s">
        <v>131</v>
      </c>
      <c r="AK143" s="2" t="s">
        <v>1013</v>
      </c>
      <c r="AL143" s="1" t="s">
        <v>94</v>
      </c>
      <c r="AM143" s="2" t="s">
        <v>95</v>
      </c>
      <c r="AN143" s="2" t="s">
        <v>96</v>
      </c>
      <c r="AO143" s="1" t="s">
        <v>950</v>
      </c>
      <c r="AP143" s="1" t="s">
        <v>936</v>
      </c>
      <c r="AQ143" s="1" t="s">
        <v>1004</v>
      </c>
      <c r="AR143" s="1" t="s">
        <v>1014</v>
      </c>
      <c r="AS143" s="17" t="s">
        <v>1015</v>
      </c>
      <c r="AT143" s="1" t="s">
        <v>102</v>
      </c>
      <c r="AV143" s="1">
        <v>282.21800000000002</v>
      </c>
      <c r="AW143" s="1">
        <v>17.08660836044292</v>
      </c>
      <c r="AX143" s="1">
        <v>20</v>
      </c>
      <c r="AY143" s="1">
        <v>63.105863247403569</v>
      </c>
      <c r="BA143" s="1">
        <v>253.71105263157892</v>
      </c>
      <c r="BB143" s="1">
        <v>39.467535730118705</v>
      </c>
      <c r="BC143" s="1">
        <v>19</v>
      </c>
      <c r="BD143" s="1">
        <v>9.0544736735878004</v>
      </c>
      <c r="BF143" s="1" t="s">
        <v>666</v>
      </c>
    </row>
    <row r="144" spans="1:58" x14ac:dyDescent="0.2">
      <c r="A144" s="1" t="s">
        <v>936</v>
      </c>
      <c r="B144" s="2" t="s">
        <v>954</v>
      </c>
      <c r="C144" s="2" t="s">
        <v>955</v>
      </c>
      <c r="D144" s="50" t="s">
        <v>1011</v>
      </c>
      <c r="E144" s="2" t="s">
        <v>1016</v>
      </c>
      <c r="F144" s="2" t="s">
        <v>102</v>
      </c>
      <c r="G144" s="1" t="s">
        <v>941</v>
      </c>
      <c r="H144" s="1" t="s">
        <v>942</v>
      </c>
      <c r="I144" s="1" t="s">
        <v>943</v>
      </c>
      <c r="J144" s="2" t="s">
        <v>944</v>
      </c>
      <c r="K144" s="2" t="s">
        <v>176</v>
      </c>
      <c r="L144" s="5" t="s">
        <v>77</v>
      </c>
      <c r="M144" s="2" t="s">
        <v>945</v>
      </c>
      <c r="N144" s="2" t="s">
        <v>79</v>
      </c>
      <c r="P144" s="2" t="s">
        <v>80</v>
      </c>
      <c r="Q144" s="2" t="s">
        <v>244</v>
      </c>
      <c r="R144" s="1" t="s">
        <v>946</v>
      </c>
      <c r="S144" s="26">
        <v>21</v>
      </c>
      <c r="T144" s="2" t="s">
        <v>283</v>
      </c>
      <c r="W144" s="2" t="s">
        <v>217</v>
      </c>
      <c r="X144" s="36"/>
      <c r="Y144" s="27" t="s">
        <v>285</v>
      </c>
      <c r="Z144" s="2" t="s">
        <v>947</v>
      </c>
      <c r="AB144" s="2" t="s">
        <v>948</v>
      </c>
      <c r="AC144" s="2" t="s">
        <v>288</v>
      </c>
      <c r="AD144" s="26">
        <v>90</v>
      </c>
      <c r="AE144" s="2" t="s">
        <v>183</v>
      </c>
      <c r="AF144" s="2" t="s">
        <v>90</v>
      </c>
      <c r="AH144" s="2" t="s">
        <v>91</v>
      </c>
      <c r="AI144" s="2" t="s">
        <v>131</v>
      </c>
      <c r="AK144" s="2" t="s">
        <v>1013</v>
      </c>
      <c r="AL144" s="1" t="s">
        <v>94</v>
      </c>
      <c r="AM144" s="2" t="s">
        <v>95</v>
      </c>
      <c r="AN144" s="2" t="s">
        <v>96</v>
      </c>
      <c r="AO144" s="1" t="s">
        <v>950</v>
      </c>
      <c r="AP144" s="1" t="s">
        <v>936</v>
      </c>
      <c r="AQ144" s="1" t="s">
        <v>1008</v>
      </c>
      <c r="AR144" s="1" t="s">
        <v>1017</v>
      </c>
      <c r="AS144" s="17" t="s">
        <v>1018</v>
      </c>
      <c r="AT144" s="1" t="s">
        <v>102</v>
      </c>
      <c r="AV144" s="1">
        <v>270.44777777777779</v>
      </c>
      <c r="AW144" s="1">
        <v>23.598836849590587</v>
      </c>
      <c r="AX144" s="1">
        <v>18</v>
      </c>
      <c r="AY144" s="1">
        <v>63.745152541166391</v>
      </c>
      <c r="BA144" s="1">
        <v>242.44062500000001</v>
      </c>
      <c r="BB144" s="1">
        <v>43.873676765421152</v>
      </c>
      <c r="BC144" s="1">
        <v>16</v>
      </c>
      <c r="BD144" s="1">
        <v>10.968419191355288</v>
      </c>
      <c r="BF144" s="1" t="s">
        <v>666</v>
      </c>
    </row>
    <row r="145" spans="1:60" x14ac:dyDescent="0.2">
      <c r="A145" s="1" t="s">
        <v>936</v>
      </c>
      <c r="B145" s="2" t="s">
        <v>937</v>
      </c>
      <c r="C145" s="2" t="s">
        <v>938</v>
      </c>
      <c r="D145" s="50" t="s">
        <v>1019</v>
      </c>
      <c r="E145" s="2" t="s">
        <v>1020</v>
      </c>
      <c r="F145" s="2" t="s">
        <v>102</v>
      </c>
      <c r="G145" s="1" t="s">
        <v>941</v>
      </c>
      <c r="H145" s="1" t="s">
        <v>942</v>
      </c>
      <c r="I145" s="1" t="s">
        <v>943</v>
      </c>
      <c r="J145" s="2" t="s">
        <v>944</v>
      </c>
      <c r="K145" s="2" t="s">
        <v>176</v>
      </c>
      <c r="L145" s="5" t="s">
        <v>77</v>
      </c>
      <c r="M145" s="2" t="s">
        <v>945</v>
      </c>
      <c r="N145" s="2" t="s">
        <v>79</v>
      </c>
      <c r="P145" s="2" t="s">
        <v>80</v>
      </c>
      <c r="Q145" s="2" t="s">
        <v>244</v>
      </c>
      <c r="R145" s="1" t="s">
        <v>946</v>
      </c>
      <c r="S145" s="26">
        <v>21</v>
      </c>
      <c r="T145" s="2" t="s">
        <v>283</v>
      </c>
      <c r="W145" s="2" t="s">
        <v>217</v>
      </c>
      <c r="X145" s="36"/>
      <c r="Y145" s="27" t="s">
        <v>285</v>
      </c>
      <c r="Z145" s="2" t="s">
        <v>947</v>
      </c>
      <c r="AB145" s="2" t="s">
        <v>948</v>
      </c>
      <c r="AC145" s="2" t="s">
        <v>88</v>
      </c>
      <c r="AD145" s="26">
        <v>90</v>
      </c>
      <c r="AE145" s="2" t="s">
        <v>183</v>
      </c>
      <c r="AF145" s="2" t="s">
        <v>90</v>
      </c>
      <c r="AH145" s="2" t="s">
        <v>91</v>
      </c>
      <c r="AI145" s="2" t="s">
        <v>131</v>
      </c>
      <c r="AK145" s="2" t="s">
        <v>1021</v>
      </c>
      <c r="AL145" s="1" t="s">
        <v>94</v>
      </c>
      <c r="AM145" s="1" t="s">
        <v>95</v>
      </c>
      <c r="AN145" s="2" t="s">
        <v>96</v>
      </c>
      <c r="AO145" s="1" t="s">
        <v>950</v>
      </c>
      <c r="AP145" s="1" t="s">
        <v>936</v>
      </c>
      <c r="AQ145" s="1" t="s">
        <v>1022</v>
      </c>
      <c r="AR145" s="1" t="s">
        <v>1014</v>
      </c>
      <c r="AS145" s="17" t="s">
        <v>1023</v>
      </c>
      <c r="AT145" s="1" t="s">
        <v>71</v>
      </c>
      <c r="AV145" s="1">
        <v>15.625999999999999</v>
      </c>
      <c r="AW145" s="1">
        <v>16.299602319979272</v>
      </c>
      <c r="AX145" s="1">
        <v>20</v>
      </c>
      <c r="AY145" s="1">
        <v>3.4940798216411713</v>
      </c>
      <c r="BA145" s="1">
        <v>42.783684210526324</v>
      </c>
      <c r="BB145" s="1">
        <v>38.846676278605052</v>
      </c>
      <c r="BC145" s="1">
        <v>19</v>
      </c>
      <c r="BD145" s="1">
        <v>8.9120387468883209</v>
      </c>
      <c r="BF145" s="1" t="s">
        <v>666</v>
      </c>
    </row>
    <row r="146" spans="1:60" x14ac:dyDescent="0.2">
      <c r="A146" s="1" t="s">
        <v>936</v>
      </c>
      <c r="B146" s="2" t="s">
        <v>954</v>
      </c>
      <c r="C146" s="2" t="s">
        <v>955</v>
      </c>
      <c r="D146" s="50" t="s">
        <v>1019</v>
      </c>
      <c r="E146" s="2" t="s">
        <v>1024</v>
      </c>
      <c r="F146" s="2" t="s">
        <v>102</v>
      </c>
      <c r="G146" s="1" t="s">
        <v>941</v>
      </c>
      <c r="H146" s="1" t="s">
        <v>942</v>
      </c>
      <c r="I146" s="1" t="s">
        <v>943</v>
      </c>
      <c r="J146" s="2" t="s">
        <v>944</v>
      </c>
      <c r="K146" s="2" t="s">
        <v>176</v>
      </c>
      <c r="L146" s="5" t="s">
        <v>77</v>
      </c>
      <c r="M146" s="2" t="s">
        <v>945</v>
      </c>
      <c r="N146" s="2" t="s">
        <v>79</v>
      </c>
      <c r="P146" s="2" t="s">
        <v>80</v>
      </c>
      <c r="Q146" s="2" t="s">
        <v>244</v>
      </c>
      <c r="R146" s="1" t="s">
        <v>946</v>
      </c>
      <c r="S146" s="26">
        <v>21</v>
      </c>
      <c r="T146" s="2" t="s">
        <v>283</v>
      </c>
      <c r="W146" s="2" t="s">
        <v>217</v>
      </c>
      <c r="X146" s="36"/>
      <c r="Y146" s="27" t="s">
        <v>285</v>
      </c>
      <c r="Z146" s="2" t="s">
        <v>947</v>
      </c>
      <c r="AB146" s="2" t="s">
        <v>948</v>
      </c>
      <c r="AC146" s="2" t="s">
        <v>288</v>
      </c>
      <c r="AD146" s="26">
        <v>90</v>
      </c>
      <c r="AE146" s="2" t="s">
        <v>183</v>
      </c>
      <c r="AF146" s="2" t="s">
        <v>90</v>
      </c>
      <c r="AH146" s="2" t="s">
        <v>91</v>
      </c>
      <c r="AI146" s="2" t="s">
        <v>131</v>
      </c>
      <c r="AK146" s="2" t="s">
        <v>1021</v>
      </c>
      <c r="AL146" s="1" t="s">
        <v>94</v>
      </c>
      <c r="AM146" s="1" t="s">
        <v>95</v>
      </c>
      <c r="AN146" s="2" t="s">
        <v>96</v>
      </c>
      <c r="AO146" s="1" t="s">
        <v>950</v>
      </c>
      <c r="AP146" s="1" t="s">
        <v>936</v>
      </c>
      <c r="AQ146" s="1" t="s">
        <v>1025</v>
      </c>
      <c r="AR146" s="1" t="s">
        <v>1017</v>
      </c>
      <c r="AS146" s="17" t="s">
        <v>1026</v>
      </c>
      <c r="AT146" s="1" t="s">
        <v>71</v>
      </c>
      <c r="AV146" s="1">
        <v>26.830555555555556</v>
      </c>
      <c r="AW146" s="1">
        <v>21.927967227539035</v>
      </c>
      <c r="AX146" s="1">
        <v>18</v>
      </c>
      <c r="AY146" s="1">
        <v>6.32402259211191</v>
      </c>
      <c r="BA146" s="1">
        <v>49.963125000000005</v>
      </c>
      <c r="BB146" s="1">
        <v>41.841612416150177</v>
      </c>
      <c r="BC146" s="1">
        <v>16</v>
      </c>
      <c r="BD146" s="1">
        <v>10.460403104037544</v>
      </c>
      <c r="BF146" s="1" t="s">
        <v>666</v>
      </c>
    </row>
    <row r="147" spans="1:60" x14ac:dyDescent="0.2">
      <c r="A147" s="1" t="s">
        <v>936</v>
      </c>
      <c r="B147" s="2" t="s">
        <v>937</v>
      </c>
      <c r="C147" s="2" t="s">
        <v>938</v>
      </c>
      <c r="D147" s="50" t="s">
        <v>1027</v>
      </c>
      <c r="E147" s="2" t="s">
        <v>1028</v>
      </c>
      <c r="F147" s="2" t="s">
        <v>102</v>
      </c>
      <c r="G147" s="1" t="s">
        <v>941</v>
      </c>
      <c r="H147" s="1" t="s">
        <v>942</v>
      </c>
      <c r="I147" s="1" t="s">
        <v>943</v>
      </c>
      <c r="J147" s="2" t="s">
        <v>944</v>
      </c>
      <c r="K147" s="2" t="s">
        <v>176</v>
      </c>
      <c r="L147" s="5" t="s">
        <v>77</v>
      </c>
      <c r="M147" s="2" t="s">
        <v>945</v>
      </c>
      <c r="N147" s="2" t="s">
        <v>79</v>
      </c>
      <c r="P147" s="2" t="s">
        <v>80</v>
      </c>
      <c r="Q147" s="2" t="s">
        <v>244</v>
      </c>
      <c r="R147" s="1" t="s">
        <v>946</v>
      </c>
      <c r="S147" s="26">
        <v>21</v>
      </c>
      <c r="T147" s="2" t="s">
        <v>283</v>
      </c>
      <c r="W147" s="2" t="s">
        <v>217</v>
      </c>
      <c r="X147" s="36"/>
      <c r="Y147" s="27" t="s">
        <v>285</v>
      </c>
      <c r="Z147" s="2" t="s">
        <v>947</v>
      </c>
      <c r="AB147" s="2" t="s">
        <v>948</v>
      </c>
      <c r="AC147" s="2" t="s">
        <v>88</v>
      </c>
      <c r="AD147" s="26">
        <v>90</v>
      </c>
      <c r="AE147" s="2" t="s">
        <v>183</v>
      </c>
      <c r="AF147" s="2" t="s">
        <v>90</v>
      </c>
      <c r="AH147" s="2" t="s">
        <v>91</v>
      </c>
      <c r="AI147" s="2" t="s">
        <v>131</v>
      </c>
      <c r="AK147" s="2" t="s">
        <v>1029</v>
      </c>
      <c r="AL147" s="1" t="s">
        <v>107</v>
      </c>
      <c r="AM147" s="1" t="s">
        <v>107</v>
      </c>
      <c r="AN147" s="2" t="s">
        <v>96</v>
      </c>
      <c r="AO147" s="1" t="s">
        <v>950</v>
      </c>
      <c r="AP147" s="1" t="s">
        <v>936</v>
      </c>
      <c r="AQ147" s="1" t="s">
        <v>1030</v>
      </c>
      <c r="AR147" s="1" t="s">
        <v>1014</v>
      </c>
      <c r="AS147" s="17" t="s">
        <v>1031</v>
      </c>
      <c r="AT147" s="1" t="s">
        <v>71</v>
      </c>
      <c r="AV147" s="1">
        <v>1.95</v>
      </c>
      <c r="AW147" s="1">
        <v>2.0894471693929497</v>
      </c>
      <c r="AX147" s="1">
        <v>20</v>
      </c>
      <c r="AY147" s="1">
        <v>0.43603325561245898</v>
      </c>
      <c r="BA147" s="1">
        <v>3.7894736842105261</v>
      </c>
      <c r="BB147" s="1">
        <v>3.137212977016048</v>
      </c>
      <c r="BC147" s="1">
        <v>19</v>
      </c>
      <c r="BD147" s="1">
        <v>0.71972601743038644</v>
      </c>
      <c r="BF147" s="1" t="s">
        <v>666</v>
      </c>
    </row>
    <row r="148" spans="1:60" x14ac:dyDescent="0.2">
      <c r="A148" s="1" t="s">
        <v>936</v>
      </c>
      <c r="B148" s="2" t="s">
        <v>954</v>
      </c>
      <c r="C148" s="2" t="s">
        <v>955</v>
      </c>
      <c r="D148" s="50" t="s">
        <v>1027</v>
      </c>
      <c r="E148" s="2" t="s">
        <v>1032</v>
      </c>
      <c r="F148" s="2" t="s">
        <v>102</v>
      </c>
      <c r="G148" s="1" t="s">
        <v>941</v>
      </c>
      <c r="H148" s="1" t="s">
        <v>942</v>
      </c>
      <c r="I148" s="1" t="s">
        <v>943</v>
      </c>
      <c r="J148" s="2" t="s">
        <v>944</v>
      </c>
      <c r="K148" s="2" t="s">
        <v>176</v>
      </c>
      <c r="L148" s="5" t="s">
        <v>77</v>
      </c>
      <c r="M148" s="2" t="s">
        <v>945</v>
      </c>
      <c r="N148" s="2" t="s">
        <v>79</v>
      </c>
      <c r="P148" s="2" t="s">
        <v>80</v>
      </c>
      <c r="Q148" s="2" t="s">
        <v>244</v>
      </c>
      <c r="R148" s="1" t="s">
        <v>946</v>
      </c>
      <c r="S148" s="26">
        <v>21</v>
      </c>
      <c r="T148" s="2" t="s">
        <v>283</v>
      </c>
      <c r="W148" s="2" t="s">
        <v>217</v>
      </c>
      <c r="X148" s="36"/>
      <c r="Y148" s="27" t="s">
        <v>285</v>
      </c>
      <c r="Z148" s="2" t="s">
        <v>947</v>
      </c>
      <c r="AB148" s="2" t="s">
        <v>948</v>
      </c>
      <c r="AC148" s="2" t="s">
        <v>288</v>
      </c>
      <c r="AD148" s="26">
        <v>90</v>
      </c>
      <c r="AE148" s="2" t="s">
        <v>183</v>
      </c>
      <c r="AF148" s="2" t="s">
        <v>90</v>
      </c>
      <c r="AH148" s="2" t="s">
        <v>91</v>
      </c>
      <c r="AI148" s="2" t="s">
        <v>131</v>
      </c>
      <c r="AK148" s="2" t="s">
        <v>1029</v>
      </c>
      <c r="AL148" s="1" t="s">
        <v>107</v>
      </c>
      <c r="AM148" s="1" t="s">
        <v>107</v>
      </c>
      <c r="AN148" s="2" t="s">
        <v>96</v>
      </c>
      <c r="AO148" s="1" t="s">
        <v>950</v>
      </c>
      <c r="AP148" s="1" t="s">
        <v>936</v>
      </c>
      <c r="AQ148" s="1" t="s">
        <v>1033</v>
      </c>
      <c r="AR148" s="1" t="s">
        <v>1017</v>
      </c>
      <c r="AS148" s="17" t="s">
        <v>1034</v>
      </c>
      <c r="AT148" s="1" t="s">
        <v>71</v>
      </c>
      <c r="AV148" s="1">
        <v>4.3888888888888893</v>
      </c>
      <c r="AW148" s="1">
        <v>2.6153143751843202</v>
      </c>
      <c r="AX148" s="1">
        <v>18</v>
      </c>
      <c r="AY148" s="1">
        <v>1.0344710317358752</v>
      </c>
      <c r="BA148" s="1">
        <v>4.6875</v>
      </c>
      <c r="BB148" s="1">
        <v>3.2397273547836294</v>
      </c>
      <c r="BC148" s="1">
        <v>16</v>
      </c>
      <c r="BD148" s="1">
        <v>0.80993183869590735</v>
      </c>
      <c r="BF148" s="1" t="s">
        <v>666</v>
      </c>
    </row>
    <row r="149" spans="1:60" x14ac:dyDescent="0.2">
      <c r="A149" s="1" t="s">
        <v>936</v>
      </c>
      <c r="B149" s="2" t="s">
        <v>937</v>
      </c>
      <c r="C149" s="2" t="s">
        <v>938</v>
      </c>
      <c r="D149" s="50" t="s">
        <v>1035</v>
      </c>
      <c r="E149" s="2" t="s">
        <v>1036</v>
      </c>
      <c r="F149" s="2" t="s">
        <v>102</v>
      </c>
      <c r="G149" s="1" t="s">
        <v>941</v>
      </c>
      <c r="H149" s="1" t="s">
        <v>942</v>
      </c>
      <c r="I149" s="1" t="s">
        <v>943</v>
      </c>
      <c r="J149" s="2" t="s">
        <v>944</v>
      </c>
      <c r="K149" s="2" t="s">
        <v>176</v>
      </c>
      <c r="L149" s="5" t="s">
        <v>77</v>
      </c>
      <c r="M149" s="2" t="s">
        <v>945</v>
      </c>
      <c r="N149" s="2" t="s">
        <v>79</v>
      </c>
      <c r="P149" s="2" t="s">
        <v>80</v>
      </c>
      <c r="Q149" s="2" t="s">
        <v>244</v>
      </c>
      <c r="R149" s="1" t="s">
        <v>946</v>
      </c>
      <c r="S149" s="26">
        <v>21</v>
      </c>
      <c r="T149" s="2" t="s">
        <v>283</v>
      </c>
      <c r="W149" s="2" t="s">
        <v>217</v>
      </c>
      <c r="X149" s="36"/>
      <c r="Y149" s="27" t="s">
        <v>285</v>
      </c>
      <c r="Z149" s="2" t="s">
        <v>947</v>
      </c>
      <c r="AB149" s="2" t="s">
        <v>948</v>
      </c>
      <c r="AC149" s="2" t="s">
        <v>88</v>
      </c>
      <c r="AD149" s="26">
        <v>90</v>
      </c>
      <c r="AE149" s="2" t="s">
        <v>183</v>
      </c>
      <c r="AF149" s="2" t="s">
        <v>90</v>
      </c>
      <c r="AH149" s="2" t="s">
        <v>91</v>
      </c>
      <c r="AI149" s="2" t="s">
        <v>131</v>
      </c>
      <c r="AK149" s="2" t="s">
        <v>1037</v>
      </c>
      <c r="AL149" s="1" t="s">
        <v>107</v>
      </c>
      <c r="AM149" s="1" t="s">
        <v>107</v>
      </c>
      <c r="AN149" s="2" t="s">
        <v>96</v>
      </c>
      <c r="AO149" s="1" t="s">
        <v>950</v>
      </c>
      <c r="AP149" s="1" t="s">
        <v>936</v>
      </c>
      <c r="AQ149" s="1" t="s">
        <v>1038</v>
      </c>
      <c r="AR149" s="1" t="s">
        <v>1014</v>
      </c>
      <c r="AS149" s="17" t="s">
        <v>1039</v>
      </c>
      <c r="AT149" s="1" t="s">
        <v>102</v>
      </c>
      <c r="AV149" s="1">
        <v>2.9</v>
      </c>
      <c r="AW149" s="1">
        <v>1.2523661815266252</v>
      </c>
      <c r="AX149" s="1">
        <v>20</v>
      </c>
      <c r="AY149" s="1">
        <v>0.64845971347493891</v>
      </c>
      <c r="BA149" s="1">
        <v>3.0526315789473686</v>
      </c>
      <c r="BB149" s="25">
        <v>2.1978192274900921</v>
      </c>
      <c r="BC149" s="18">
        <v>19</v>
      </c>
      <c r="BD149" s="25">
        <v>0.50421431098947056</v>
      </c>
      <c r="BF149" s="1" t="s">
        <v>666</v>
      </c>
      <c r="BH149" s="14"/>
    </row>
    <row r="150" spans="1:60" x14ac:dyDescent="0.2">
      <c r="A150" s="1" t="s">
        <v>936</v>
      </c>
      <c r="B150" s="2" t="s">
        <v>954</v>
      </c>
      <c r="C150" s="2" t="s">
        <v>955</v>
      </c>
      <c r="D150" s="50" t="s">
        <v>1035</v>
      </c>
      <c r="E150" s="2" t="s">
        <v>1040</v>
      </c>
      <c r="F150" s="2" t="s">
        <v>102</v>
      </c>
      <c r="G150" s="1" t="s">
        <v>941</v>
      </c>
      <c r="H150" s="1" t="s">
        <v>942</v>
      </c>
      <c r="I150" s="1" t="s">
        <v>943</v>
      </c>
      <c r="J150" s="2" t="s">
        <v>944</v>
      </c>
      <c r="K150" s="2" t="s">
        <v>176</v>
      </c>
      <c r="L150" s="5" t="s">
        <v>77</v>
      </c>
      <c r="M150" s="2" t="s">
        <v>945</v>
      </c>
      <c r="N150" s="2" t="s">
        <v>79</v>
      </c>
      <c r="P150" s="2" t="s">
        <v>80</v>
      </c>
      <c r="Q150" s="2" t="s">
        <v>244</v>
      </c>
      <c r="R150" s="1" t="s">
        <v>946</v>
      </c>
      <c r="S150" s="26">
        <v>21</v>
      </c>
      <c r="T150" s="2" t="s">
        <v>283</v>
      </c>
      <c r="W150" s="2" t="s">
        <v>217</v>
      </c>
      <c r="X150" s="36"/>
      <c r="Y150" s="27" t="s">
        <v>285</v>
      </c>
      <c r="Z150" s="2" t="s">
        <v>947</v>
      </c>
      <c r="AB150" s="2" t="s">
        <v>948</v>
      </c>
      <c r="AC150" s="2" t="s">
        <v>288</v>
      </c>
      <c r="AD150" s="26">
        <v>90</v>
      </c>
      <c r="AE150" s="2" t="s">
        <v>183</v>
      </c>
      <c r="AF150" s="2" t="s">
        <v>90</v>
      </c>
      <c r="AH150" s="2" t="s">
        <v>91</v>
      </c>
      <c r="AI150" s="2" t="s">
        <v>131</v>
      </c>
      <c r="AK150" s="2" t="s">
        <v>1037</v>
      </c>
      <c r="AL150" s="1" t="s">
        <v>107</v>
      </c>
      <c r="AM150" s="1" t="s">
        <v>107</v>
      </c>
      <c r="AN150" s="2" t="s">
        <v>96</v>
      </c>
      <c r="AO150" s="1" t="s">
        <v>950</v>
      </c>
      <c r="AP150" s="1" t="s">
        <v>936</v>
      </c>
      <c r="AQ150" s="1" t="s">
        <v>1041</v>
      </c>
      <c r="AR150" s="1" t="s">
        <v>1017</v>
      </c>
      <c r="AS150" s="17" t="s">
        <v>1042</v>
      </c>
      <c r="AT150" s="1" t="s">
        <v>102</v>
      </c>
      <c r="AV150" s="1">
        <v>3.7222222222222223</v>
      </c>
      <c r="AW150" s="1">
        <v>1.8725746841481166</v>
      </c>
      <c r="AX150" s="1">
        <v>18</v>
      </c>
      <c r="AY150" s="1">
        <v>0.87733619147219799</v>
      </c>
      <c r="BA150" s="1">
        <v>3.25</v>
      </c>
      <c r="BB150" s="18">
        <v>1.9148542155126762</v>
      </c>
      <c r="BC150" s="18">
        <v>16</v>
      </c>
      <c r="BD150" s="25">
        <v>0.47871355387816905</v>
      </c>
      <c r="BF150" s="1" t="s">
        <v>666</v>
      </c>
    </row>
    <row r="151" spans="1:60" x14ac:dyDescent="0.2">
      <c r="A151" s="1" t="s">
        <v>936</v>
      </c>
      <c r="B151" s="2" t="s">
        <v>937</v>
      </c>
      <c r="C151" s="2" t="s">
        <v>938</v>
      </c>
      <c r="D151" s="50" t="s">
        <v>1043</v>
      </c>
      <c r="E151" s="2" t="s">
        <v>1044</v>
      </c>
      <c r="F151" s="2" t="s">
        <v>102</v>
      </c>
      <c r="G151" s="1" t="s">
        <v>941</v>
      </c>
      <c r="H151" s="1" t="s">
        <v>942</v>
      </c>
      <c r="I151" s="1" t="s">
        <v>943</v>
      </c>
      <c r="J151" s="2" t="s">
        <v>944</v>
      </c>
      <c r="K151" s="2" t="s">
        <v>176</v>
      </c>
      <c r="L151" s="5" t="s">
        <v>77</v>
      </c>
      <c r="M151" s="2" t="s">
        <v>945</v>
      </c>
      <c r="N151" s="2" t="s">
        <v>79</v>
      </c>
      <c r="P151" s="2" t="s">
        <v>80</v>
      </c>
      <c r="Q151" s="2" t="s">
        <v>244</v>
      </c>
      <c r="R151" s="1" t="s">
        <v>946</v>
      </c>
      <c r="S151" s="26">
        <v>21</v>
      </c>
      <c r="T151" s="2" t="s">
        <v>283</v>
      </c>
      <c r="W151" s="2" t="s">
        <v>217</v>
      </c>
      <c r="X151" s="36"/>
      <c r="Y151" s="27" t="s">
        <v>285</v>
      </c>
      <c r="Z151" s="2" t="s">
        <v>947</v>
      </c>
      <c r="AB151" s="2" t="s">
        <v>948</v>
      </c>
      <c r="AC151" s="2" t="s">
        <v>88</v>
      </c>
      <c r="AD151" s="26">
        <v>90</v>
      </c>
      <c r="AE151" s="2" t="s">
        <v>183</v>
      </c>
      <c r="AF151" s="2" t="s">
        <v>90</v>
      </c>
      <c r="AH151" s="2" t="s">
        <v>91</v>
      </c>
      <c r="AI151" s="2" t="s">
        <v>131</v>
      </c>
      <c r="AK151" s="2" t="s">
        <v>1045</v>
      </c>
      <c r="AL151" s="1" t="s">
        <v>107</v>
      </c>
      <c r="AM151" s="1" t="s">
        <v>107</v>
      </c>
      <c r="AN151" s="2" t="s">
        <v>96</v>
      </c>
      <c r="AO151" s="1" t="s">
        <v>950</v>
      </c>
      <c r="AP151" s="1" t="s">
        <v>936</v>
      </c>
      <c r="AQ151" s="1" t="s">
        <v>1046</v>
      </c>
      <c r="AR151" s="1" t="s">
        <v>1014</v>
      </c>
      <c r="AS151" s="17" t="s">
        <v>1047</v>
      </c>
      <c r="AT151" s="1" t="s">
        <v>102</v>
      </c>
      <c r="AV151" s="1">
        <v>2.95</v>
      </c>
      <c r="AW151" s="1">
        <v>3.0517466957034363</v>
      </c>
      <c r="AX151" s="1">
        <v>20</v>
      </c>
      <c r="AY151" s="1">
        <v>0.65964005336243792</v>
      </c>
      <c r="BA151" s="1">
        <v>7.1052631578947372</v>
      </c>
      <c r="BB151" s="1">
        <v>5.4149457455177314</v>
      </c>
      <c r="BC151" s="1">
        <v>19</v>
      </c>
      <c r="BD151" s="1">
        <v>1.2422737520772265</v>
      </c>
      <c r="BF151" s="1" t="s">
        <v>666</v>
      </c>
    </row>
    <row r="152" spans="1:60" x14ac:dyDescent="0.2">
      <c r="A152" s="1" t="s">
        <v>936</v>
      </c>
      <c r="B152" s="2" t="s">
        <v>954</v>
      </c>
      <c r="C152" s="2" t="s">
        <v>955</v>
      </c>
      <c r="D152" s="50" t="s">
        <v>1043</v>
      </c>
      <c r="E152" s="2" t="s">
        <v>1048</v>
      </c>
      <c r="F152" s="2" t="s">
        <v>102</v>
      </c>
      <c r="G152" s="1" t="s">
        <v>941</v>
      </c>
      <c r="H152" s="1" t="s">
        <v>942</v>
      </c>
      <c r="I152" s="1" t="s">
        <v>943</v>
      </c>
      <c r="J152" s="2" t="s">
        <v>944</v>
      </c>
      <c r="K152" s="2" t="s">
        <v>176</v>
      </c>
      <c r="L152" s="5" t="s">
        <v>77</v>
      </c>
      <c r="M152" s="2" t="s">
        <v>945</v>
      </c>
      <c r="N152" s="2" t="s">
        <v>79</v>
      </c>
      <c r="P152" s="2" t="s">
        <v>80</v>
      </c>
      <c r="Q152" s="2" t="s">
        <v>244</v>
      </c>
      <c r="R152" s="1" t="s">
        <v>946</v>
      </c>
      <c r="S152" s="26">
        <v>21</v>
      </c>
      <c r="T152" s="2" t="s">
        <v>283</v>
      </c>
      <c r="W152" s="2" t="s">
        <v>217</v>
      </c>
      <c r="X152" s="36"/>
      <c r="Y152" s="27" t="s">
        <v>285</v>
      </c>
      <c r="Z152" s="2" t="s">
        <v>947</v>
      </c>
      <c r="AB152" s="2" t="s">
        <v>948</v>
      </c>
      <c r="AC152" s="2" t="s">
        <v>288</v>
      </c>
      <c r="AD152" s="26">
        <v>90</v>
      </c>
      <c r="AE152" s="2" t="s">
        <v>183</v>
      </c>
      <c r="AF152" s="2" t="s">
        <v>90</v>
      </c>
      <c r="AH152" s="2" t="s">
        <v>91</v>
      </c>
      <c r="AI152" s="2" t="s">
        <v>131</v>
      </c>
      <c r="AK152" s="2" t="s">
        <v>1045</v>
      </c>
      <c r="AL152" s="1" t="s">
        <v>107</v>
      </c>
      <c r="AM152" s="1" t="s">
        <v>107</v>
      </c>
      <c r="AN152" s="2" t="s">
        <v>96</v>
      </c>
      <c r="AO152" s="1" t="s">
        <v>950</v>
      </c>
      <c r="AP152" s="1" t="s">
        <v>936</v>
      </c>
      <c r="AQ152" s="1" t="s">
        <v>1049</v>
      </c>
      <c r="AR152" s="1" t="s">
        <v>1017</v>
      </c>
      <c r="AS152" s="17" t="s">
        <v>1050</v>
      </c>
      <c r="AT152" s="1" t="s">
        <v>102</v>
      </c>
      <c r="AV152" s="1">
        <v>5.7777777777777777</v>
      </c>
      <c r="AW152" s="1">
        <v>4.9414876963921266</v>
      </c>
      <c r="AX152" s="1">
        <v>18</v>
      </c>
      <c r="AY152" s="1">
        <v>1.3618352822852027</v>
      </c>
      <c r="BA152" s="1">
        <v>8.625</v>
      </c>
      <c r="BB152" s="1">
        <v>6.8593002558570069</v>
      </c>
      <c r="BC152" s="1">
        <v>16</v>
      </c>
      <c r="BD152" s="1">
        <v>1.7148250639642517</v>
      </c>
      <c r="BF152" s="1" t="s">
        <v>666</v>
      </c>
    </row>
    <row r="153" spans="1:60" x14ac:dyDescent="0.2">
      <c r="A153" s="1" t="s">
        <v>936</v>
      </c>
      <c r="B153" s="2" t="s">
        <v>937</v>
      </c>
      <c r="C153" s="2" t="s">
        <v>938</v>
      </c>
      <c r="D153" s="50" t="s">
        <v>1051</v>
      </c>
      <c r="E153" s="2" t="s">
        <v>1052</v>
      </c>
      <c r="F153" s="2" t="s">
        <v>102</v>
      </c>
      <c r="G153" s="1" t="s">
        <v>941</v>
      </c>
      <c r="H153" s="1" t="s">
        <v>942</v>
      </c>
      <c r="I153" s="1" t="s">
        <v>943</v>
      </c>
      <c r="J153" s="2" t="s">
        <v>944</v>
      </c>
      <c r="K153" s="2" t="s">
        <v>176</v>
      </c>
      <c r="L153" s="5" t="s">
        <v>77</v>
      </c>
      <c r="M153" s="2" t="s">
        <v>945</v>
      </c>
      <c r="N153" s="2" t="s">
        <v>79</v>
      </c>
      <c r="P153" s="2" t="s">
        <v>80</v>
      </c>
      <c r="Q153" s="2" t="s">
        <v>244</v>
      </c>
      <c r="R153" s="1" t="s">
        <v>946</v>
      </c>
      <c r="S153" s="26">
        <v>21</v>
      </c>
      <c r="T153" s="2" t="s">
        <v>283</v>
      </c>
      <c r="W153" s="2" t="s">
        <v>217</v>
      </c>
      <c r="X153" s="36"/>
      <c r="Y153" s="27" t="s">
        <v>285</v>
      </c>
      <c r="Z153" s="2" t="s">
        <v>947</v>
      </c>
      <c r="AB153" s="2" t="s">
        <v>948</v>
      </c>
      <c r="AC153" s="2" t="s">
        <v>88</v>
      </c>
      <c r="AD153" s="26">
        <v>90</v>
      </c>
      <c r="AE153" s="2" t="s">
        <v>183</v>
      </c>
      <c r="AF153" s="2" t="s">
        <v>90</v>
      </c>
      <c r="AH153" s="2" t="s">
        <v>91</v>
      </c>
      <c r="AI153" s="2" t="s">
        <v>131</v>
      </c>
      <c r="AK153" s="2" t="s">
        <v>1053</v>
      </c>
      <c r="AL153" s="1" t="s">
        <v>94</v>
      </c>
      <c r="AM153" s="1" t="s">
        <v>95</v>
      </c>
      <c r="AN153" s="2" t="s">
        <v>96</v>
      </c>
      <c r="AO153" s="1" t="s">
        <v>950</v>
      </c>
      <c r="AP153" s="1" t="s">
        <v>936</v>
      </c>
      <c r="AQ153" s="1" t="s">
        <v>1054</v>
      </c>
      <c r="AR153" s="1" t="s">
        <v>1014</v>
      </c>
      <c r="AS153" s="17" t="s">
        <v>1055</v>
      </c>
      <c r="AT153" s="1" t="s">
        <v>102</v>
      </c>
      <c r="AV153" s="1">
        <v>47.410999999999994</v>
      </c>
      <c r="AW153" s="1">
        <v>38.344894108740554</v>
      </c>
      <c r="AX153" s="1">
        <v>20</v>
      </c>
      <c r="AY153" s="1">
        <v>10.601421888124252</v>
      </c>
      <c r="BA153" s="1">
        <v>22.875263157894736</v>
      </c>
      <c r="BB153" s="1">
        <v>20.760083057107732</v>
      </c>
      <c r="BC153" s="1">
        <v>19</v>
      </c>
      <c r="BD153" s="1">
        <v>4.7626896897601849</v>
      </c>
      <c r="BF153" s="1" t="s">
        <v>666</v>
      </c>
    </row>
    <row r="154" spans="1:60" x14ac:dyDescent="0.2">
      <c r="A154" s="1" t="s">
        <v>936</v>
      </c>
      <c r="B154" s="2" t="s">
        <v>954</v>
      </c>
      <c r="C154" s="2" t="s">
        <v>955</v>
      </c>
      <c r="D154" s="50" t="s">
        <v>1051</v>
      </c>
      <c r="E154" s="2" t="s">
        <v>1056</v>
      </c>
      <c r="F154" s="2" t="s">
        <v>102</v>
      </c>
      <c r="G154" s="1" t="s">
        <v>941</v>
      </c>
      <c r="H154" s="1" t="s">
        <v>942</v>
      </c>
      <c r="I154" s="1" t="s">
        <v>943</v>
      </c>
      <c r="J154" s="2" t="s">
        <v>944</v>
      </c>
      <c r="K154" s="2" t="s">
        <v>176</v>
      </c>
      <c r="L154" s="5" t="s">
        <v>77</v>
      </c>
      <c r="M154" s="2" t="s">
        <v>945</v>
      </c>
      <c r="N154" s="2" t="s">
        <v>79</v>
      </c>
      <c r="P154" s="2" t="s">
        <v>80</v>
      </c>
      <c r="Q154" s="2" t="s">
        <v>244</v>
      </c>
      <c r="R154" s="1" t="s">
        <v>946</v>
      </c>
      <c r="S154" s="26">
        <v>21</v>
      </c>
      <c r="T154" s="2" t="s">
        <v>283</v>
      </c>
      <c r="W154" s="2" t="s">
        <v>217</v>
      </c>
      <c r="X154" s="36"/>
      <c r="Y154" s="27" t="s">
        <v>285</v>
      </c>
      <c r="Z154" s="2" t="s">
        <v>947</v>
      </c>
      <c r="AB154" s="2" t="s">
        <v>948</v>
      </c>
      <c r="AC154" s="2" t="s">
        <v>288</v>
      </c>
      <c r="AD154" s="26">
        <v>90</v>
      </c>
      <c r="AE154" s="2" t="s">
        <v>183</v>
      </c>
      <c r="AF154" s="2" t="s">
        <v>90</v>
      </c>
      <c r="AH154" s="2" t="s">
        <v>91</v>
      </c>
      <c r="AI154" s="2" t="s">
        <v>131</v>
      </c>
      <c r="AK154" s="2" t="s">
        <v>1053</v>
      </c>
      <c r="AL154" s="1" t="s">
        <v>94</v>
      </c>
      <c r="AM154" s="1" t="s">
        <v>95</v>
      </c>
      <c r="AN154" s="2" t="s">
        <v>96</v>
      </c>
      <c r="AO154" s="1" t="s">
        <v>950</v>
      </c>
      <c r="AP154" s="1" t="s">
        <v>936</v>
      </c>
      <c r="AQ154" s="1" t="s">
        <v>1057</v>
      </c>
      <c r="AR154" s="1" t="s">
        <v>1017</v>
      </c>
      <c r="AS154" s="17" t="s">
        <v>1058</v>
      </c>
      <c r="AT154" s="1" t="s">
        <v>102</v>
      </c>
      <c r="AV154" s="1">
        <v>46.783888888888896</v>
      </c>
      <c r="AW154" s="1">
        <v>44.214477418586448</v>
      </c>
      <c r="AX154" s="1">
        <v>18</v>
      </c>
      <c r="AY154" s="1">
        <v>11.027068361203773</v>
      </c>
      <c r="BA154" s="1">
        <v>30.548749999999998</v>
      </c>
      <c r="BB154" s="1">
        <v>22.072082781951803</v>
      </c>
      <c r="BC154" s="1">
        <v>16</v>
      </c>
      <c r="BD154" s="1">
        <v>5.5180206954879507</v>
      </c>
      <c r="BF154" s="1" t="s">
        <v>666</v>
      </c>
    </row>
    <row r="155" spans="1:60" x14ac:dyDescent="0.2">
      <c r="A155" s="1" t="s">
        <v>936</v>
      </c>
      <c r="B155" s="2" t="s">
        <v>937</v>
      </c>
      <c r="C155" s="2" t="s">
        <v>938</v>
      </c>
      <c r="D155" s="50" t="s">
        <v>1059</v>
      </c>
      <c r="E155" s="2" t="s">
        <v>1060</v>
      </c>
      <c r="F155" s="2" t="s">
        <v>102</v>
      </c>
      <c r="G155" s="1" t="s">
        <v>941</v>
      </c>
      <c r="H155" s="1" t="s">
        <v>942</v>
      </c>
      <c r="I155" s="1" t="s">
        <v>943</v>
      </c>
      <c r="J155" s="2" t="s">
        <v>944</v>
      </c>
      <c r="K155" s="2" t="s">
        <v>176</v>
      </c>
      <c r="L155" s="5" t="s">
        <v>77</v>
      </c>
      <c r="M155" s="2" t="s">
        <v>945</v>
      </c>
      <c r="N155" s="2" t="s">
        <v>79</v>
      </c>
      <c r="P155" s="2" t="s">
        <v>80</v>
      </c>
      <c r="Q155" s="2" t="s">
        <v>244</v>
      </c>
      <c r="R155" s="1" t="s">
        <v>946</v>
      </c>
      <c r="S155" s="26">
        <v>21</v>
      </c>
      <c r="T155" s="2" t="s">
        <v>283</v>
      </c>
      <c r="W155" s="2" t="s">
        <v>217</v>
      </c>
      <c r="X155" s="36"/>
      <c r="Y155" s="27" t="s">
        <v>285</v>
      </c>
      <c r="Z155" s="2" t="s">
        <v>947</v>
      </c>
      <c r="AB155" s="2" t="s">
        <v>948</v>
      </c>
      <c r="AC155" s="2" t="s">
        <v>88</v>
      </c>
      <c r="AD155" s="26">
        <v>90</v>
      </c>
      <c r="AE155" s="2" t="s">
        <v>183</v>
      </c>
      <c r="AF155" s="2" t="s">
        <v>90</v>
      </c>
      <c r="AH155" s="2" t="s">
        <v>91</v>
      </c>
      <c r="AI155" s="2" t="s">
        <v>131</v>
      </c>
      <c r="AK155" s="2" t="s">
        <v>963</v>
      </c>
      <c r="AL155" s="1" t="s">
        <v>107</v>
      </c>
      <c r="AM155" s="1" t="s">
        <v>107</v>
      </c>
      <c r="AN155" s="2" t="s">
        <v>96</v>
      </c>
      <c r="AO155" s="1" t="s">
        <v>950</v>
      </c>
      <c r="AP155" s="1" t="s">
        <v>936</v>
      </c>
      <c r="AQ155" s="1" t="s">
        <v>964</v>
      </c>
      <c r="AR155" s="1" t="s">
        <v>1014</v>
      </c>
      <c r="AS155" s="17" t="s">
        <v>1061</v>
      </c>
      <c r="AT155" s="1" t="s">
        <v>71</v>
      </c>
      <c r="AV155" s="1">
        <v>8.25</v>
      </c>
      <c r="AW155" s="1">
        <v>3.8644806282753947</v>
      </c>
      <c r="AX155" s="1">
        <v>20</v>
      </c>
      <c r="AY155" s="1">
        <v>1.8447560814373265</v>
      </c>
      <c r="BA155" s="1">
        <v>12.421052631578947</v>
      </c>
      <c r="BB155" s="1">
        <v>5.3677616840798752</v>
      </c>
      <c r="BC155" s="1">
        <v>19</v>
      </c>
      <c r="BD155" s="1">
        <v>1.2314489859954669</v>
      </c>
      <c r="BF155" s="1" t="s">
        <v>666</v>
      </c>
    </row>
    <row r="156" spans="1:60" x14ac:dyDescent="0.2">
      <c r="A156" s="1" t="s">
        <v>936</v>
      </c>
      <c r="B156" s="2" t="s">
        <v>954</v>
      </c>
      <c r="C156" s="2" t="s">
        <v>955</v>
      </c>
      <c r="D156" s="50" t="s">
        <v>1059</v>
      </c>
      <c r="E156" s="2" t="s">
        <v>1062</v>
      </c>
      <c r="F156" s="2" t="s">
        <v>102</v>
      </c>
      <c r="G156" s="1" t="s">
        <v>941</v>
      </c>
      <c r="H156" s="1" t="s">
        <v>942</v>
      </c>
      <c r="I156" s="1" t="s">
        <v>943</v>
      </c>
      <c r="J156" s="2" t="s">
        <v>944</v>
      </c>
      <c r="K156" s="2" t="s">
        <v>176</v>
      </c>
      <c r="L156" s="5" t="s">
        <v>77</v>
      </c>
      <c r="M156" s="2" t="s">
        <v>945</v>
      </c>
      <c r="N156" s="2" t="s">
        <v>79</v>
      </c>
      <c r="P156" s="2" t="s">
        <v>80</v>
      </c>
      <c r="Q156" s="2" t="s">
        <v>244</v>
      </c>
      <c r="R156" s="1" t="s">
        <v>946</v>
      </c>
      <c r="S156" s="26">
        <v>21</v>
      </c>
      <c r="T156" s="2" t="s">
        <v>283</v>
      </c>
      <c r="W156" s="2" t="s">
        <v>217</v>
      </c>
      <c r="X156" s="36"/>
      <c r="Y156" s="27" t="s">
        <v>285</v>
      </c>
      <c r="Z156" s="2" t="s">
        <v>947</v>
      </c>
      <c r="AB156" s="2" t="s">
        <v>948</v>
      </c>
      <c r="AC156" s="2" t="s">
        <v>288</v>
      </c>
      <c r="AD156" s="26">
        <v>90</v>
      </c>
      <c r="AE156" s="2" t="s">
        <v>183</v>
      </c>
      <c r="AF156" s="2" t="s">
        <v>90</v>
      </c>
      <c r="AH156" s="2" t="s">
        <v>91</v>
      </c>
      <c r="AI156" s="2" t="s">
        <v>131</v>
      </c>
      <c r="AK156" s="2" t="s">
        <v>963</v>
      </c>
      <c r="AL156" s="1" t="s">
        <v>107</v>
      </c>
      <c r="AM156" s="1" t="s">
        <v>107</v>
      </c>
      <c r="AN156" s="2" t="s">
        <v>96</v>
      </c>
      <c r="AO156" s="1" t="s">
        <v>950</v>
      </c>
      <c r="AP156" s="1" t="s">
        <v>936</v>
      </c>
      <c r="AQ156" s="1" t="s">
        <v>1063</v>
      </c>
      <c r="AR156" s="1" t="s">
        <v>1017</v>
      </c>
      <c r="AS156" s="17" t="s">
        <v>1064</v>
      </c>
      <c r="AT156" s="1" t="s">
        <v>71</v>
      </c>
      <c r="AV156" s="1">
        <v>11.7222222222222</v>
      </c>
      <c r="AW156" s="1">
        <v>5.4965824200728228</v>
      </c>
      <c r="AX156" s="1">
        <v>18</v>
      </c>
      <c r="AY156" s="1">
        <v>2.7629542746363245</v>
      </c>
      <c r="BA156" s="1">
        <v>16.9375</v>
      </c>
      <c r="BB156" s="1">
        <v>6.6780111809829528</v>
      </c>
      <c r="BC156" s="1">
        <v>16</v>
      </c>
      <c r="BD156" s="1">
        <v>1.6695027952457382</v>
      </c>
      <c r="BF156" s="1" t="s">
        <v>666</v>
      </c>
    </row>
    <row r="157" spans="1:60" x14ac:dyDescent="0.2">
      <c r="A157" s="1" t="s">
        <v>936</v>
      </c>
      <c r="B157" s="2" t="s">
        <v>937</v>
      </c>
      <c r="C157" s="2" t="s">
        <v>938</v>
      </c>
      <c r="D157" s="50" t="s">
        <v>1065</v>
      </c>
      <c r="E157" s="2" t="s">
        <v>1066</v>
      </c>
      <c r="F157" s="2" t="s">
        <v>102</v>
      </c>
      <c r="G157" s="1" t="s">
        <v>941</v>
      </c>
      <c r="H157" s="1" t="s">
        <v>942</v>
      </c>
      <c r="I157" s="1" t="s">
        <v>943</v>
      </c>
      <c r="J157" s="2" t="s">
        <v>944</v>
      </c>
      <c r="K157" s="2" t="s">
        <v>176</v>
      </c>
      <c r="L157" s="5" t="s">
        <v>77</v>
      </c>
      <c r="M157" s="2" t="s">
        <v>945</v>
      </c>
      <c r="N157" s="2" t="s">
        <v>79</v>
      </c>
      <c r="P157" s="2" t="s">
        <v>80</v>
      </c>
      <c r="Q157" s="2" t="s">
        <v>244</v>
      </c>
      <c r="R157" s="1" t="s">
        <v>946</v>
      </c>
      <c r="S157" s="26">
        <v>21</v>
      </c>
      <c r="T157" s="2" t="s">
        <v>283</v>
      </c>
      <c r="W157" s="2" t="s">
        <v>217</v>
      </c>
      <c r="X157" s="36"/>
      <c r="Y157" s="27" t="s">
        <v>285</v>
      </c>
      <c r="Z157" s="2" t="s">
        <v>947</v>
      </c>
      <c r="AB157" s="2" t="s">
        <v>948</v>
      </c>
      <c r="AC157" s="2" t="s">
        <v>88</v>
      </c>
      <c r="AD157" s="26">
        <v>90</v>
      </c>
      <c r="AE157" s="2" t="s">
        <v>183</v>
      </c>
      <c r="AF157" s="2" t="s">
        <v>90</v>
      </c>
      <c r="AH157" s="2" t="s">
        <v>91</v>
      </c>
      <c r="AI157" s="2" t="s">
        <v>131</v>
      </c>
      <c r="AK157" s="2" t="s">
        <v>735</v>
      </c>
      <c r="AL157" s="1" t="s">
        <v>94</v>
      </c>
      <c r="AM157" s="1" t="s">
        <v>95</v>
      </c>
      <c r="AN157" s="2" t="s">
        <v>96</v>
      </c>
      <c r="AO157" s="1" t="s">
        <v>950</v>
      </c>
      <c r="AP157" s="1" t="s">
        <v>936</v>
      </c>
      <c r="AQ157" s="1" t="s">
        <v>964</v>
      </c>
      <c r="AR157" s="1" t="s">
        <v>1014</v>
      </c>
      <c r="AS157" s="17" t="s">
        <v>1067</v>
      </c>
      <c r="AT157" s="1" t="s">
        <v>102</v>
      </c>
      <c r="AV157" s="1">
        <v>22.984000000000002</v>
      </c>
      <c r="AW157" s="1">
        <v>36.260572672343663</v>
      </c>
      <c r="AX157" s="1">
        <v>20</v>
      </c>
      <c r="AY157" s="1">
        <v>5.1393786394855168</v>
      </c>
      <c r="BA157" s="1">
        <v>6.5273684210526319</v>
      </c>
      <c r="BB157" s="1">
        <v>11.284800417722781</v>
      </c>
      <c r="BC157" s="1">
        <v>19</v>
      </c>
      <c r="BD157" s="1">
        <v>2.5889107694146936</v>
      </c>
      <c r="BF157" s="1" t="s">
        <v>666</v>
      </c>
    </row>
    <row r="158" spans="1:60" x14ac:dyDescent="0.2">
      <c r="A158" s="1" t="s">
        <v>936</v>
      </c>
      <c r="B158" s="2" t="s">
        <v>954</v>
      </c>
      <c r="C158" s="2" t="s">
        <v>955</v>
      </c>
      <c r="D158" s="50" t="s">
        <v>1065</v>
      </c>
      <c r="E158" s="2" t="s">
        <v>1068</v>
      </c>
      <c r="F158" s="2" t="s">
        <v>102</v>
      </c>
      <c r="G158" s="1" t="s">
        <v>941</v>
      </c>
      <c r="H158" s="1" t="s">
        <v>942</v>
      </c>
      <c r="I158" s="1" t="s">
        <v>943</v>
      </c>
      <c r="J158" s="2" t="s">
        <v>944</v>
      </c>
      <c r="K158" s="2" t="s">
        <v>176</v>
      </c>
      <c r="L158" s="5" t="s">
        <v>77</v>
      </c>
      <c r="M158" s="2" t="s">
        <v>945</v>
      </c>
      <c r="N158" s="2" t="s">
        <v>79</v>
      </c>
      <c r="P158" s="2" t="s">
        <v>80</v>
      </c>
      <c r="Q158" s="2" t="s">
        <v>244</v>
      </c>
      <c r="R158" s="1" t="s">
        <v>946</v>
      </c>
      <c r="S158" s="26">
        <v>21</v>
      </c>
      <c r="T158" s="2" t="s">
        <v>283</v>
      </c>
      <c r="W158" s="2" t="s">
        <v>217</v>
      </c>
      <c r="X158" s="36"/>
      <c r="Y158" s="27" t="s">
        <v>285</v>
      </c>
      <c r="Z158" s="2" t="s">
        <v>947</v>
      </c>
      <c r="AB158" s="2" t="s">
        <v>948</v>
      </c>
      <c r="AC158" s="2" t="s">
        <v>288</v>
      </c>
      <c r="AD158" s="26">
        <v>90</v>
      </c>
      <c r="AE158" s="2" t="s">
        <v>183</v>
      </c>
      <c r="AF158" s="2" t="s">
        <v>90</v>
      </c>
      <c r="AH158" s="2" t="s">
        <v>91</v>
      </c>
      <c r="AI158" s="2" t="s">
        <v>131</v>
      </c>
      <c r="AK158" s="2" t="s">
        <v>735</v>
      </c>
      <c r="AL158" s="1" t="s">
        <v>94</v>
      </c>
      <c r="AM158" s="1" t="s">
        <v>95</v>
      </c>
      <c r="AN158" s="2" t="s">
        <v>96</v>
      </c>
      <c r="AO158" s="1" t="s">
        <v>950</v>
      </c>
      <c r="AP158" s="1" t="s">
        <v>936</v>
      </c>
      <c r="AQ158" s="1" t="s">
        <v>1063</v>
      </c>
      <c r="AR158" s="1" t="s">
        <v>1017</v>
      </c>
      <c r="AS158" s="17" t="s">
        <v>1069</v>
      </c>
      <c r="AT158" s="1" t="s">
        <v>102</v>
      </c>
      <c r="AV158" s="1">
        <v>11.178333333333335</v>
      </c>
      <c r="AW158" s="1">
        <v>30.826662113482602</v>
      </c>
      <c r="AX158" s="1">
        <v>18</v>
      </c>
      <c r="AY158" s="1">
        <v>2.6347584341212085</v>
      </c>
      <c r="BA158" s="1">
        <v>11.83375</v>
      </c>
      <c r="BB158" s="1">
        <v>18.411474637663691</v>
      </c>
      <c r="BC158" s="1">
        <v>16</v>
      </c>
      <c r="BD158" s="1">
        <v>4.6028686594159227</v>
      </c>
      <c r="BF158" s="1" t="s">
        <v>666</v>
      </c>
    </row>
    <row r="159" spans="1:60" x14ac:dyDescent="0.2">
      <c r="A159" s="1" t="s">
        <v>936</v>
      </c>
      <c r="B159" s="2" t="s">
        <v>937</v>
      </c>
      <c r="C159" s="2" t="s">
        <v>938</v>
      </c>
      <c r="D159" s="50" t="s">
        <v>1070</v>
      </c>
      <c r="E159" s="2" t="s">
        <v>1071</v>
      </c>
      <c r="F159" s="2" t="s">
        <v>102</v>
      </c>
      <c r="G159" s="1" t="s">
        <v>941</v>
      </c>
      <c r="H159" s="1" t="s">
        <v>942</v>
      </c>
      <c r="I159" s="1" t="s">
        <v>943</v>
      </c>
      <c r="J159" s="2" t="s">
        <v>944</v>
      </c>
      <c r="K159" s="2" t="s">
        <v>176</v>
      </c>
      <c r="L159" s="5" t="s">
        <v>77</v>
      </c>
      <c r="M159" s="2" t="s">
        <v>945</v>
      </c>
      <c r="N159" s="2" t="s">
        <v>79</v>
      </c>
      <c r="P159" s="2" t="s">
        <v>80</v>
      </c>
      <c r="Q159" s="2" t="s">
        <v>244</v>
      </c>
      <c r="R159" s="1" t="s">
        <v>946</v>
      </c>
      <c r="S159" s="26">
        <v>21</v>
      </c>
      <c r="T159" s="2" t="s">
        <v>283</v>
      </c>
      <c r="W159" s="2" t="s">
        <v>217</v>
      </c>
      <c r="X159" s="36"/>
      <c r="Y159" s="27" t="s">
        <v>285</v>
      </c>
      <c r="Z159" s="2" t="s">
        <v>947</v>
      </c>
      <c r="AB159" s="2" t="s">
        <v>948</v>
      </c>
      <c r="AC159" s="2" t="s">
        <v>88</v>
      </c>
      <c r="AD159" s="26">
        <v>90</v>
      </c>
      <c r="AE159" s="2" t="s">
        <v>183</v>
      </c>
      <c r="AF159" s="2" t="s">
        <v>90</v>
      </c>
      <c r="AH159" s="2" t="s">
        <v>91</v>
      </c>
      <c r="AI159" s="2" t="s">
        <v>131</v>
      </c>
      <c r="AK159" s="2" t="s">
        <v>1003</v>
      </c>
      <c r="AL159" s="1" t="s">
        <v>107</v>
      </c>
      <c r="AM159" s="1" t="s">
        <v>107</v>
      </c>
      <c r="AN159" s="2" t="s">
        <v>96</v>
      </c>
      <c r="AO159" s="1" t="s">
        <v>950</v>
      </c>
      <c r="AP159" s="1" t="s">
        <v>936</v>
      </c>
      <c r="AQ159" s="1" t="s">
        <v>964</v>
      </c>
      <c r="AR159" s="1" t="s">
        <v>1014</v>
      </c>
      <c r="AS159" s="17" t="s">
        <v>1006</v>
      </c>
      <c r="AT159" s="1" t="s">
        <v>102</v>
      </c>
      <c r="AV159" s="1">
        <v>3.8</v>
      </c>
      <c r="AW159" s="1">
        <v>2.3753116139062458</v>
      </c>
      <c r="AX159" s="1">
        <v>20</v>
      </c>
      <c r="AY159" s="1">
        <v>0.84970583144991996</v>
      </c>
      <c r="BA159" s="1">
        <v>3.8421052631578947</v>
      </c>
      <c r="BB159" s="1">
        <v>2.5224141411384462</v>
      </c>
      <c r="BC159" s="1">
        <v>19</v>
      </c>
      <c r="BD159" s="1">
        <v>0.57868149131475932</v>
      </c>
      <c r="BF159" s="1" t="s">
        <v>666</v>
      </c>
    </row>
    <row r="160" spans="1:60" x14ac:dyDescent="0.2">
      <c r="A160" s="1" t="s">
        <v>936</v>
      </c>
      <c r="B160" s="2" t="s">
        <v>954</v>
      </c>
      <c r="C160" s="2" t="s">
        <v>955</v>
      </c>
      <c r="D160" s="50" t="s">
        <v>1070</v>
      </c>
      <c r="E160" s="2" t="s">
        <v>1072</v>
      </c>
      <c r="F160" s="2" t="s">
        <v>102</v>
      </c>
      <c r="G160" s="1" t="s">
        <v>941</v>
      </c>
      <c r="H160" s="1" t="s">
        <v>942</v>
      </c>
      <c r="I160" s="1" t="s">
        <v>943</v>
      </c>
      <c r="J160" s="2" t="s">
        <v>944</v>
      </c>
      <c r="K160" s="2" t="s">
        <v>176</v>
      </c>
      <c r="L160" s="5" t="s">
        <v>77</v>
      </c>
      <c r="M160" s="2" t="s">
        <v>945</v>
      </c>
      <c r="N160" s="2" t="s">
        <v>79</v>
      </c>
      <c r="P160" s="2" t="s">
        <v>80</v>
      </c>
      <c r="Q160" s="2" t="s">
        <v>244</v>
      </c>
      <c r="R160" s="1" t="s">
        <v>946</v>
      </c>
      <c r="S160" s="26">
        <v>21</v>
      </c>
      <c r="T160" s="2" t="s">
        <v>283</v>
      </c>
      <c r="W160" s="2" t="s">
        <v>217</v>
      </c>
      <c r="X160" s="36"/>
      <c r="Y160" s="27" t="s">
        <v>285</v>
      </c>
      <c r="Z160" s="2" t="s">
        <v>947</v>
      </c>
      <c r="AB160" s="2" t="s">
        <v>948</v>
      </c>
      <c r="AC160" s="2" t="s">
        <v>288</v>
      </c>
      <c r="AD160" s="26">
        <v>90</v>
      </c>
      <c r="AE160" s="2" t="s">
        <v>183</v>
      </c>
      <c r="AF160" s="2" t="s">
        <v>90</v>
      </c>
      <c r="AH160" s="2" t="s">
        <v>91</v>
      </c>
      <c r="AI160" s="2" t="s">
        <v>131</v>
      </c>
      <c r="AK160" s="2" t="s">
        <v>1003</v>
      </c>
      <c r="AL160" s="1" t="s">
        <v>107</v>
      </c>
      <c r="AM160" s="1" t="s">
        <v>107</v>
      </c>
      <c r="AN160" s="2" t="s">
        <v>96</v>
      </c>
      <c r="AO160" s="1" t="s">
        <v>950</v>
      </c>
      <c r="AP160" s="1" t="s">
        <v>936</v>
      </c>
      <c r="AQ160" s="1" t="s">
        <v>1063</v>
      </c>
      <c r="AR160" s="1" t="s">
        <v>1017</v>
      </c>
      <c r="AS160" s="17" t="s">
        <v>1010</v>
      </c>
      <c r="AT160" s="1" t="s">
        <v>102</v>
      </c>
      <c r="AV160" s="1">
        <v>4.3888888888888893</v>
      </c>
      <c r="AW160" s="1">
        <v>2.2528123309971493</v>
      </c>
      <c r="AX160" s="1">
        <v>18</v>
      </c>
      <c r="AY160" s="1">
        <v>1.0344710317358752</v>
      </c>
      <c r="BA160" s="1">
        <v>3.5625</v>
      </c>
      <c r="BB160" s="1">
        <v>1.8607794065928396</v>
      </c>
      <c r="BC160" s="1">
        <v>16</v>
      </c>
      <c r="BD160" s="1">
        <v>0.46519485164820989</v>
      </c>
      <c r="BF160" s="1" t="s">
        <v>666</v>
      </c>
    </row>
    <row r="161" spans="1:66" x14ac:dyDescent="0.2">
      <c r="A161" s="1" t="s">
        <v>936</v>
      </c>
      <c r="B161" s="2" t="s">
        <v>937</v>
      </c>
      <c r="C161" s="2" t="s">
        <v>938</v>
      </c>
      <c r="D161" s="50" t="s">
        <v>1073</v>
      </c>
      <c r="E161" s="2" t="s">
        <v>1074</v>
      </c>
      <c r="F161" s="2" t="s">
        <v>102</v>
      </c>
      <c r="G161" s="1" t="s">
        <v>941</v>
      </c>
      <c r="H161" s="1" t="s">
        <v>942</v>
      </c>
      <c r="I161" s="1" t="s">
        <v>943</v>
      </c>
      <c r="J161" s="2" t="s">
        <v>944</v>
      </c>
      <c r="K161" s="2" t="s">
        <v>176</v>
      </c>
      <c r="L161" s="5" t="s">
        <v>77</v>
      </c>
      <c r="M161" s="2" t="s">
        <v>945</v>
      </c>
      <c r="N161" s="2" t="s">
        <v>79</v>
      </c>
      <c r="P161" s="2" t="s">
        <v>80</v>
      </c>
      <c r="Q161" s="2" t="s">
        <v>244</v>
      </c>
      <c r="R161" s="1" t="s">
        <v>946</v>
      </c>
      <c r="S161" s="26">
        <v>21</v>
      </c>
      <c r="T161" s="2" t="s">
        <v>283</v>
      </c>
      <c r="W161" s="2" t="s">
        <v>217</v>
      </c>
      <c r="X161" s="36"/>
      <c r="Y161" s="27" t="s">
        <v>285</v>
      </c>
      <c r="Z161" s="2" t="s">
        <v>947</v>
      </c>
      <c r="AB161" s="2" t="s">
        <v>948</v>
      </c>
      <c r="AC161" s="2" t="s">
        <v>88</v>
      </c>
      <c r="AD161" s="26">
        <v>90</v>
      </c>
      <c r="AE161" s="2" t="s">
        <v>183</v>
      </c>
      <c r="AF161" s="2" t="s">
        <v>90</v>
      </c>
      <c r="AH161" s="2" t="s">
        <v>416</v>
      </c>
      <c r="AI161" s="2" t="s">
        <v>1075</v>
      </c>
      <c r="AK161" s="1" t="s">
        <v>1076</v>
      </c>
      <c r="AL161" s="1" t="s">
        <v>94</v>
      </c>
      <c r="AM161" s="1" t="s">
        <v>95</v>
      </c>
      <c r="AN161" s="2" t="s">
        <v>96</v>
      </c>
      <c r="AO161" s="1" t="s">
        <v>950</v>
      </c>
      <c r="AP161" s="1" t="s">
        <v>936</v>
      </c>
      <c r="AQ161" s="2" t="s">
        <v>1077</v>
      </c>
      <c r="AR161" s="2" t="s">
        <v>1078</v>
      </c>
      <c r="AS161" s="1" t="s">
        <v>1079</v>
      </c>
      <c r="AT161" s="1" t="s">
        <v>102</v>
      </c>
      <c r="AV161" s="1">
        <v>247.53571428571425</v>
      </c>
      <c r="AW161" s="1">
        <v>63.835384429999998</v>
      </c>
      <c r="AX161" s="1">
        <v>21</v>
      </c>
      <c r="AY161" s="1">
        <v>54.016721329487964</v>
      </c>
      <c r="BA161" s="1">
        <v>186.37684210526314</v>
      </c>
      <c r="BB161" s="1">
        <v>71.393614797950434</v>
      </c>
      <c r="BC161" s="1">
        <v>19</v>
      </c>
      <c r="BD161" s="1">
        <v>42.757780008056756</v>
      </c>
      <c r="BF161" s="1" t="s">
        <v>666</v>
      </c>
    </row>
    <row r="162" spans="1:66" x14ac:dyDescent="0.2">
      <c r="A162" s="1" t="s">
        <v>936</v>
      </c>
      <c r="B162" s="2" t="s">
        <v>954</v>
      </c>
      <c r="C162" s="2" t="s">
        <v>955</v>
      </c>
      <c r="D162" s="50" t="s">
        <v>1073</v>
      </c>
      <c r="E162" s="2" t="s">
        <v>1080</v>
      </c>
      <c r="F162" s="2" t="s">
        <v>102</v>
      </c>
      <c r="G162" s="1" t="s">
        <v>941</v>
      </c>
      <c r="H162" s="1" t="s">
        <v>942</v>
      </c>
      <c r="I162" s="1" t="s">
        <v>943</v>
      </c>
      <c r="J162" s="2" t="s">
        <v>944</v>
      </c>
      <c r="K162" s="2" t="s">
        <v>176</v>
      </c>
      <c r="L162" s="5" t="s">
        <v>77</v>
      </c>
      <c r="M162" s="2" t="s">
        <v>945</v>
      </c>
      <c r="N162" s="2" t="s">
        <v>79</v>
      </c>
      <c r="P162" s="2" t="s">
        <v>80</v>
      </c>
      <c r="Q162" s="2" t="s">
        <v>244</v>
      </c>
      <c r="R162" s="1" t="s">
        <v>946</v>
      </c>
      <c r="S162" s="26">
        <v>21</v>
      </c>
      <c r="T162" s="2" t="s">
        <v>283</v>
      </c>
      <c r="W162" s="2" t="s">
        <v>217</v>
      </c>
      <c r="X162" s="36"/>
      <c r="Y162" s="27" t="s">
        <v>285</v>
      </c>
      <c r="Z162" s="2" t="s">
        <v>947</v>
      </c>
      <c r="AB162" s="2" t="s">
        <v>948</v>
      </c>
      <c r="AC162" s="2" t="s">
        <v>288</v>
      </c>
      <c r="AD162" s="26">
        <v>90</v>
      </c>
      <c r="AE162" s="2" t="s">
        <v>183</v>
      </c>
      <c r="AF162" s="2" t="s">
        <v>90</v>
      </c>
      <c r="AH162" s="2" t="s">
        <v>416</v>
      </c>
      <c r="AI162" s="2" t="s">
        <v>1075</v>
      </c>
      <c r="AK162" s="1" t="s">
        <v>1076</v>
      </c>
      <c r="AL162" s="1" t="s">
        <v>94</v>
      </c>
      <c r="AM162" s="1" t="s">
        <v>95</v>
      </c>
      <c r="AN162" s="2" t="s">
        <v>96</v>
      </c>
      <c r="AO162" s="1" t="s">
        <v>950</v>
      </c>
      <c r="AP162" s="1" t="s">
        <v>936</v>
      </c>
      <c r="AQ162" s="2" t="s">
        <v>1081</v>
      </c>
      <c r="AR162" s="2" t="s">
        <v>1082</v>
      </c>
      <c r="AS162" s="1" t="s">
        <v>1083</v>
      </c>
      <c r="AT162" s="1" t="s">
        <v>102</v>
      </c>
      <c r="AV162" s="1">
        <v>179.33</v>
      </c>
      <c r="AW162" s="1">
        <v>56.276312019999999</v>
      </c>
      <c r="AX162" s="1">
        <v>18</v>
      </c>
      <c r="AY162" s="1">
        <v>42.268486359999997</v>
      </c>
      <c r="BA162" s="1">
        <v>207.16374999999999</v>
      </c>
      <c r="BB162" s="1">
        <v>75.82116695444175</v>
      </c>
      <c r="BC162" s="1">
        <v>16</v>
      </c>
      <c r="BD162" s="1">
        <v>51.790937499999998</v>
      </c>
      <c r="BF162" s="1" t="s">
        <v>666</v>
      </c>
    </row>
    <row r="163" spans="1:66" x14ac:dyDescent="0.2">
      <c r="A163" s="1" t="s">
        <v>936</v>
      </c>
      <c r="B163" s="2" t="s">
        <v>937</v>
      </c>
      <c r="C163" s="2" t="s">
        <v>938</v>
      </c>
      <c r="D163" s="50" t="s">
        <v>1084</v>
      </c>
      <c r="E163" s="2" t="s">
        <v>1085</v>
      </c>
      <c r="F163" s="2" t="s">
        <v>102</v>
      </c>
      <c r="G163" s="1" t="s">
        <v>941</v>
      </c>
      <c r="H163" s="1" t="s">
        <v>942</v>
      </c>
      <c r="I163" s="1" t="s">
        <v>943</v>
      </c>
      <c r="J163" s="2" t="s">
        <v>944</v>
      </c>
      <c r="K163" s="2" t="s">
        <v>176</v>
      </c>
      <c r="L163" s="5" t="s">
        <v>77</v>
      </c>
      <c r="M163" s="2" t="s">
        <v>945</v>
      </c>
      <c r="N163" s="2" t="s">
        <v>79</v>
      </c>
      <c r="P163" s="2" t="s">
        <v>80</v>
      </c>
      <c r="Q163" s="2" t="s">
        <v>244</v>
      </c>
      <c r="R163" s="1" t="s">
        <v>946</v>
      </c>
      <c r="S163" s="26">
        <v>21</v>
      </c>
      <c r="T163" s="2" t="s">
        <v>283</v>
      </c>
      <c r="W163" s="2" t="s">
        <v>217</v>
      </c>
      <c r="X163" s="36"/>
      <c r="Y163" s="27" t="s">
        <v>285</v>
      </c>
      <c r="Z163" s="2" t="s">
        <v>947</v>
      </c>
      <c r="AB163" s="2" t="s">
        <v>948</v>
      </c>
      <c r="AC163" s="2" t="s">
        <v>88</v>
      </c>
      <c r="AD163" s="26">
        <v>90</v>
      </c>
      <c r="AE163" s="2" t="s">
        <v>183</v>
      </c>
      <c r="AF163" s="2" t="s">
        <v>90</v>
      </c>
      <c r="AH163" s="2" t="s">
        <v>416</v>
      </c>
      <c r="AI163" s="2" t="s">
        <v>430</v>
      </c>
      <c r="AK163" s="2" t="s">
        <v>1086</v>
      </c>
      <c r="AL163" s="2" t="s">
        <v>134</v>
      </c>
      <c r="AM163" s="1" t="s">
        <v>135</v>
      </c>
      <c r="AN163" s="2" t="s">
        <v>96</v>
      </c>
      <c r="AO163" s="1" t="s">
        <v>950</v>
      </c>
      <c r="AP163" s="1" t="s">
        <v>936</v>
      </c>
      <c r="AQ163" s="2" t="s">
        <v>1087</v>
      </c>
      <c r="AR163" s="2" t="s">
        <v>1088</v>
      </c>
      <c r="AS163" s="1" t="s">
        <v>1089</v>
      </c>
      <c r="AT163" s="1" t="s">
        <v>71</v>
      </c>
      <c r="AV163" s="1">
        <v>52.772659096932628</v>
      </c>
      <c r="AW163" s="1">
        <v>34.069451321801274</v>
      </c>
      <c r="AX163" s="1">
        <v>8</v>
      </c>
      <c r="AY163" s="1">
        <v>18.657952554343503</v>
      </c>
      <c r="BA163" s="1">
        <v>58.41830575855635</v>
      </c>
      <c r="BB163" s="1">
        <v>28.588027182463328</v>
      </c>
      <c r="BC163" s="1">
        <v>19</v>
      </c>
      <c r="BD163" s="1">
        <v>13.402078487074068</v>
      </c>
      <c r="BF163" s="1" t="s">
        <v>666</v>
      </c>
    </row>
    <row r="164" spans="1:66" x14ac:dyDescent="0.2">
      <c r="A164" s="1" t="s">
        <v>936</v>
      </c>
      <c r="B164" s="2" t="s">
        <v>954</v>
      </c>
      <c r="C164" s="2" t="s">
        <v>955</v>
      </c>
      <c r="D164" s="50" t="s">
        <v>1084</v>
      </c>
      <c r="E164" s="2" t="s">
        <v>1090</v>
      </c>
      <c r="F164" s="2" t="s">
        <v>102</v>
      </c>
      <c r="G164" s="1" t="s">
        <v>941</v>
      </c>
      <c r="H164" s="1" t="s">
        <v>942</v>
      </c>
      <c r="I164" s="1" t="s">
        <v>943</v>
      </c>
      <c r="J164" s="2" t="s">
        <v>944</v>
      </c>
      <c r="K164" s="2" t="s">
        <v>176</v>
      </c>
      <c r="L164" s="5" t="s">
        <v>77</v>
      </c>
      <c r="M164" s="2" t="s">
        <v>945</v>
      </c>
      <c r="N164" s="2" t="s">
        <v>79</v>
      </c>
      <c r="P164" s="2" t="s">
        <v>80</v>
      </c>
      <c r="Q164" s="2" t="s">
        <v>244</v>
      </c>
      <c r="R164" s="1" t="s">
        <v>946</v>
      </c>
      <c r="S164" s="26">
        <v>21</v>
      </c>
      <c r="T164" s="2" t="s">
        <v>283</v>
      </c>
      <c r="W164" s="2" t="s">
        <v>217</v>
      </c>
      <c r="X164" s="36"/>
      <c r="Y164" s="27" t="s">
        <v>285</v>
      </c>
      <c r="Z164" s="2" t="s">
        <v>947</v>
      </c>
      <c r="AB164" s="2" t="s">
        <v>948</v>
      </c>
      <c r="AC164" s="2" t="s">
        <v>288</v>
      </c>
      <c r="AD164" s="26">
        <v>90</v>
      </c>
      <c r="AE164" s="2" t="s">
        <v>183</v>
      </c>
      <c r="AF164" s="2" t="s">
        <v>90</v>
      </c>
      <c r="AH164" s="2" t="s">
        <v>416</v>
      </c>
      <c r="AI164" s="2" t="s">
        <v>430</v>
      </c>
      <c r="AK164" s="2" t="s">
        <v>1086</v>
      </c>
      <c r="AL164" s="2" t="s">
        <v>134</v>
      </c>
      <c r="AM164" s="1" t="s">
        <v>135</v>
      </c>
      <c r="AN164" s="2" t="s">
        <v>96</v>
      </c>
      <c r="AO164" s="1" t="s">
        <v>950</v>
      </c>
      <c r="AP164" s="1" t="s">
        <v>1091</v>
      </c>
      <c r="AQ164" s="2" t="s">
        <v>1092</v>
      </c>
      <c r="AR164" s="2" t="s">
        <v>1093</v>
      </c>
      <c r="AS164" s="1" t="s">
        <v>1094</v>
      </c>
      <c r="AT164" s="1" t="s">
        <v>71</v>
      </c>
      <c r="AV164" s="1">
        <v>63.830294671794761</v>
      </c>
      <c r="AW164" s="1">
        <v>26.437177877305356</v>
      </c>
      <c r="AX164" s="1">
        <v>17</v>
      </c>
      <c r="AY164" s="1">
        <v>15.481120414477056</v>
      </c>
      <c r="BA164" s="1">
        <v>49.819434281007794</v>
      </c>
      <c r="BB164" s="1">
        <v>33.963640359727798</v>
      </c>
      <c r="BC164" s="1">
        <v>16</v>
      </c>
      <c r="BD164" s="1">
        <v>12.454858570251949</v>
      </c>
      <c r="BF164" s="1" t="s">
        <v>666</v>
      </c>
    </row>
    <row r="165" spans="1:66" x14ac:dyDescent="0.2">
      <c r="A165" s="1" t="s">
        <v>1095</v>
      </c>
      <c r="B165" s="2" t="s">
        <v>1096</v>
      </c>
      <c r="C165" s="2" t="s">
        <v>1097</v>
      </c>
      <c r="D165" s="50" t="s">
        <v>1098</v>
      </c>
      <c r="E165" s="2" t="s">
        <v>1099</v>
      </c>
      <c r="F165" s="2" t="s">
        <v>102</v>
      </c>
      <c r="G165" s="1" t="s">
        <v>941</v>
      </c>
      <c r="H165" s="1" t="s">
        <v>1100</v>
      </c>
      <c r="J165" s="1" t="s">
        <v>1101</v>
      </c>
      <c r="L165" s="5" t="s">
        <v>77</v>
      </c>
      <c r="M165" s="2" t="s">
        <v>945</v>
      </c>
      <c r="N165" s="2" t="s">
        <v>126</v>
      </c>
      <c r="O165" s="27" t="s">
        <v>1102</v>
      </c>
      <c r="P165" s="1" t="s">
        <v>183</v>
      </c>
      <c r="Q165" s="1" t="s">
        <v>1103</v>
      </c>
      <c r="R165" s="1" t="s">
        <v>946</v>
      </c>
      <c r="S165" s="27">
        <v>21</v>
      </c>
      <c r="T165" s="1" t="s">
        <v>283</v>
      </c>
      <c r="W165" s="1" t="s">
        <v>217</v>
      </c>
      <c r="X165" s="27">
        <v>50</v>
      </c>
      <c r="Y165" s="27" t="s">
        <v>285</v>
      </c>
      <c r="Z165" s="1" t="s">
        <v>947</v>
      </c>
      <c r="AB165" s="18" t="s">
        <v>1104</v>
      </c>
      <c r="AC165" s="1" t="s">
        <v>88</v>
      </c>
      <c r="AD165" s="27">
        <v>74</v>
      </c>
      <c r="AF165" s="2" t="s">
        <v>90</v>
      </c>
      <c r="AH165" s="1" t="s">
        <v>91</v>
      </c>
      <c r="AI165" s="1" t="s">
        <v>185</v>
      </c>
      <c r="AK165" s="1" t="s">
        <v>1105</v>
      </c>
      <c r="AL165" s="1" t="s">
        <v>107</v>
      </c>
      <c r="AM165" s="1" t="s">
        <v>107</v>
      </c>
      <c r="AN165" s="2" t="s">
        <v>96</v>
      </c>
      <c r="AO165" s="1" t="s">
        <v>1106</v>
      </c>
      <c r="AP165" s="1" t="s">
        <v>1107</v>
      </c>
      <c r="AQ165" s="1" t="s">
        <v>1108</v>
      </c>
      <c r="AR165" s="1" t="s">
        <v>1109</v>
      </c>
      <c r="AS165" s="1" t="s">
        <v>1110</v>
      </c>
      <c r="AT165" s="1" t="s">
        <v>71</v>
      </c>
      <c r="AV165" s="1">
        <v>51.7</v>
      </c>
      <c r="AW165" s="1">
        <v>8.1000000000000014</v>
      </c>
      <c r="AX165" s="1">
        <v>9</v>
      </c>
      <c r="AY165" s="1">
        <v>2.7</v>
      </c>
      <c r="BA165" s="1">
        <v>22.3</v>
      </c>
      <c r="BB165" s="1">
        <v>10.435516278555651</v>
      </c>
      <c r="BC165" s="1">
        <v>10</v>
      </c>
      <c r="BD165" s="1">
        <v>3.3</v>
      </c>
      <c r="BF165" s="34" t="s">
        <v>1111</v>
      </c>
    </row>
    <row r="166" spans="1:66" x14ac:dyDescent="0.2">
      <c r="A166" s="1" t="s">
        <v>1095</v>
      </c>
      <c r="B166" s="2" t="s">
        <v>1112</v>
      </c>
      <c r="C166" s="2" t="s">
        <v>1113</v>
      </c>
      <c r="D166" s="50" t="s">
        <v>1098</v>
      </c>
      <c r="E166" s="2" t="s">
        <v>1114</v>
      </c>
      <c r="F166" s="2" t="s">
        <v>102</v>
      </c>
      <c r="G166" s="1" t="s">
        <v>941</v>
      </c>
      <c r="H166" s="1" t="s">
        <v>1100</v>
      </c>
      <c r="J166" s="1" t="s">
        <v>1101</v>
      </c>
      <c r="L166" s="5" t="s">
        <v>77</v>
      </c>
      <c r="M166" s="2" t="s">
        <v>945</v>
      </c>
      <c r="N166" s="2" t="s">
        <v>126</v>
      </c>
      <c r="O166" s="27" t="s">
        <v>1102</v>
      </c>
      <c r="P166" s="1" t="s">
        <v>183</v>
      </c>
      <c r="Q166" s="1" t="s">
        <v>1103</v>
      </c>
      <c r="R166" s="1" t="s">
        <v>946</v>
      </c>
      <c r="S166" s="27">
        <v>21</v>
      </c>
      <c r="T166" s="1" t="s">
        <v>283</v>
      </c>
      <c r="W166" s="1" t="s">
        <v>217</v>
      </c>
      <c r="X166" s="27">
        <v>50</v>
      </c>
      <c r="Y166" s="27" t="s">
        <v>285</v>
      </c>
      <c r="Z166" s="1" t="s">
        <v>947</v>
      </c>
      <c r="AB166" s="18" t="s">
        <v>1104</v>
      </c>
      <c r="AC166" s="1" t="s">
        <v>288</v>
      </c>
      <c r="AD166" s="27">
        <v>74</v>
      </c>
      <c r="AF166" s="2" t="s">
        <v>90</v>
      </c>
      <c r="AH166" s="1" t="s">
        <v>91</v>
      </c>
      <c r="AI166" s="1" t="s">
        <v>185</v>
      </c>
      <c r="AK166" s="1" t="s">
        <v>1105</v>
      </c>
      <c r="AL166" s="1" t="s">
        <v>107</v>
      </c>
      <c r="AM166" s="1" t="s">
        <v>107</v>
      </c>
      <c r="AN166" s="2" t="s">
        <v>96</v>
      </c>
      <c r="AO166" s="1" t="s">
        <v>1106</v>
      </c>
      <c r="AP166" s="1" t="s">
        <v>1107</v>
      </c>
      <c r="AQ166" s="1" t="s">
        <v>1115</v>
      </c>
      <c r="AR166" s="1" t="s">
        <v>1116</v>
      </c>
      <c r="AS166" s="1" t="s">
        <v>1117</v>
      </c>
      <c r="AT166" s="1" t="s">
        <v>71</v>
      </c>
      <c r="AV166" s="1">
        <v>53.2</v>
      </c>
      <c r="AW166" s="1">
        <v>11.067971810589329</v>
      </c>
      <c r="AX166" s="1">
        <v>10</v>
      </c>
      <c r="AY166" s="1">
        <v>3.5</v>
      </c>
      <c r="BA166" s="1">
        <v>31.1</v>
      </c>
      <c r="BB166" s="1">
        <v>14.424978336205569</v>
      </c>
      <c r="BC166" s="1">
        <v>8</v>
      </c>
      <c r="BD166" s="1">
        <v>5.0999999999999996</v>
      </c>
      <c r="BF166" s="34" t="s">
        <v>1111</v>
      </c>
    </row>
    <row r="167" spans="1:66" x14ac:dyDescent="0.2">
      <c r="A167" s="1" t="s">
        <v>1095</v>
      </c>
      <c r="B167" s="2" t="s">
        <v>1096</v>
      </c>
      <c r="C167" s="2" t="s">
        <v>1097</v>
      </c>
      <c r="D167" s="50" t="s">
        <v>1118</v>
      </c>
      <c r="E167" s="2" t="s">
        <v>1119</v>
      </c>
      <c r="F167" s="2" t="s">
        <v>102</v>
      </c>
      <c r="G167" s="1" t="s">
        <v>941</v>
      </c>
      <c r="H167" s="1" t="s">
        <v>1100</v>
      </c>
      <c r="J167" s="1" t="s">
        <v>1101</v>
      </c>
      <c r="L167" s="5" t="s">
        <v>77</v>
      </c>
      <c r="M167" s="2" t="s">
        <v>945</v>
      </c>
      <c r="N167" s="2" t="s">
        <v>126</v>
      </c>
      <c r="O167" s="27" t="s">
        <v>1102</v>
      </c>
      <c r="P167" s="1" t="s">
        <v>183</v>
      </c>
      <c r="Q167" s="1" t="s">
        <v>1103</v>
      </c>
      <c r="R167" s="1" t="s">
        <v>946</v>
      </c>
      <c r="S167" s="27">
        <v>21</v>
      </c>
      <c r="T167" s="1" t="s">
        <v>283</v>
      </c>
      <c r="W167" s="1" t="s">
        <v>217</v>
      </c>
      <c r="X167" s="27">
        <v>50</v>
      </c>
      <c r="Y167" s="27" t="s">
        <v>285</v>
      </c>
      <c r="Z167" s="1" t="s">
        <v>947</v>
      </c>
      <c r="AB167" s="18" t="s">
        <v>1104</v>
      </c>
      <c r="AC167" s="1" t="s">
        <v>88</v>
      </c>
      <c r="AD167" s="27">
        <v>74</v>
      </c>
      <c r="AF167" s="2" t="s">
        <v>90</v>
      </c>
      <c r="AH167" s="1" t="s">
        <v>91</v>
      </c>
      <c r="AI167" s="1" t="s">
        <v>185</v>
      </c>
      <c r="AK167" s="1" t="s">
        <v>676</v>
      </c>
      <c r="AL167" s="1" t="s">
        <v>107</v>
      </c>
      <c r="AM167" s="1" t="s">
        <v>107</v>
      </c>
      <c r="AN167" s="2" t="s">
        <v>96</v>
      </c>
      <c r="AO167" s="1" t="s">
        <v>1106</v>
      </c>
      <c r="AP167" s="1" t="s">
        <v>1107</v>
      </c>
      <c r="AQ167" s="1" t="s">
        <v>1108</v>
      </c>
      <c r="AR167" s="1" t="s">
        <v>1109</v>
      </c>
      <c r="AS167" s="1" t="s">
        <v>1110</v>
      </c>
      <c r="AT167" s="1" t="s">
        <v>71</v>
      </c>
      <c r="AV167" s="1">
        <v>23.4</v>
      </c>
      <c r="AW167" s="1">
        <v>5.0999999999999996</v>
      </c>
      <c r="AX167" s="1">
        <v>9</v>
      </c>
      <c r="AY167" s="1">
        <v>1.7</v>
      </c>
      <c r="BA167" s="1">
        <v>8.4</v>
      </c>
      <c r="BB167" s="1">
        <v>3.7947331922020551</v>
      </c>
      <c r="BC167" s="1">
        <v>10</v>
      </c>
      <c r="BD167" s="1">
        <v>1.2</v>
      </c>
      <c r="BF167" s="34" t="s">
        <v>1111</v>
      </c>
    </row>
    <row r="168" spans="1:66" x14ac:dyDescent="0.2">
      <c r="A168" s="1" t="s">
        <v>1095</v>
      </c>
      <c r="B168" s="2" t="s">
        <v>1112</v>
      </c>
      <c r="C168" s="2" t="s">
        <v>1113</v>
      </c>
      <c r="D168" s="50" t="s">
        <v>1118</v>
      </c>
      <c r="E168" s="2" t="s">
        <v>1120</v>
      </c>
      <c r="F168" s="2" t="s">
        <v>102</v>
      </c>
      <c r="G168" s="1" t="s">
        <v>941</v>
      </c>
      <c r="H168" s="1" t="s">
        <v>1100</v>
      </c>
      <c r="J168" s="1" t="s">
        <v>1101</v>
      </c>
      <c r="L168" s="5" t="s">
        <v>77</v>
      </c>
      <c r="M168" s="2" t="s">
        <v>945</v>
      </c>
      <c r="N168" s="2" t="s">
        <v>126</v>
      </c>
      <c r="O168" s="27" t="s">
        <v>1102</v>
      </c>
      <c r="P168" s="1" t="s">
        <v>183</v>
      </c>
      <c r="Q168" s="1" t="s">
        <v>1103</v>
      </c>
      <c r="R168" s="1" t="s">
        <v>946</v>
      </c>
      <c r="S168" s="27">
        <v>21</v>
      </c>
      <c r="T168" s="1" t="s">
        <v>283</v>
      </c>
      <c r="W168" s="1" t="s">
        <v>217</v>
      </c>
      <c r="X168" s="27">
        <v>50</v>
      </c>
      <c r="Y168" s="27" t="s">
        <v>285</v>
      </c>
      <c r="Z168" s="1" t="s">
        <v>947</v>
      </c>
      <c r="AB168" s="18" t="s">
        <v>1104</v>
      </c>
      <c r="AC168" s="1" t="s">
        <v>288</v>
      </c>
      <c r="AD168" s="27">
        <v>74</v>
      </c>
      <c r="AF168" s="2" t="s">
        <v>90</v>
      </c>
      <c r="AH168" s="1" t="s">
        <v>91</v>
      </c>
      <c r="AI168" s="1" t="s">
        <v>185</v>
      </c>
      <c r="AK168" s="1" t="s">
        <v>676</v>
      </c>
      <c r="AL168" s="1" t="s">
        <v>107</v>
      </c>
      <c r="AM168" s="1" t="s">
        <v>107</v>
      </c>
      <c r="AN168" s="2" t="s">
        <v>96</v>
      </c>
      <c r="AO168" s="1" t="s">
        <v>1106</v>
      </c>
      <c r="AP168" s="1" t="s">
        <v>1107</v>
      </c>
      <c r="AQ168" s="1" t="s">
        <v>1115</v>
      </c>
      <c r="AR168" s="1" t="s">
        <v>1116</v>
      </c>
      <c r="AS168" s="1" t="s">
        <v>1117</v>
      </c>
      <c r="AT168" s="1" t="s">
        <v>71</v>
      </c>
      <c r="AV168" s="1">
        <v>23.4</v>
      </c>
      <c r="AW168" s="1">
        <v>7.905694150420949</v>
      </c>
      <c r="AX168" s="1">
        <v>10</v>
      </c>
      <c r="AY168" s="1">
        <v>2.5</v>
      </c>
      <c r="BA168" s="1">
        <v>14.1</v>
      </c>
      <c r="BB168" s="1">
        <v>4.8083261120685235</v>
      </c>
      <c r="BC168" s="1">
        <v>8</v>
      </c>
      <c r="BD168" s="1">
        <v>1.7</v>
      </c>
      <c r="BF168" s="34" t="s">
        <v>1111</v>
      </c>
    </row>
    <row r="169" spans="1:66" x14ac:dyDescent="0.2">
      <c r="A169" s="1" t="s">
        <v>1095</v>
      </c>
      <c r="B169" s="2" t="s">
        <v>1096</v>
      </c>
      <c r="C169" s="2" t="s">
        <v>1097</v>
      </c>
      <c r="D169" s="50" t="s">
        <v>1121</v>
      </c>
      <c r="E169" s="2" t="s">
        <v>1122</v>
      </c>
      <c r="F169" s="2" t="s">
        <v>102</v>
      </c>
      <c r="G169" s="1" t="s">
        <v>941</v>
      </c>
      <c r="H169" s="1" t="s">
        <v>1100</v>
      </c>
      <c r="J169" s="1" t="s">
        <v>1101</v>
      </c>
      <c r="L169" s="5" t="s">
        <v>77</v>
      </c>
      <c r="M169" s="2" t="s">
        <v>945</v>
      </c>
      <c r="N169" s="2" t="s">
        <v>126</v>
      </c>
      <c r="O169" s="27" t="s">
        <v>1102</v>
      </c>
      <c r="P169" s="1" t="s">
        <v>183</v>
      </c>
      <c r="Q169" s="1" t="s">
        <v>1103</v>
      </c>
      <c r="R169" s="1" t="s">
        <v>946</v>
      </c>
      <c r="S169" s="27">
        <v>21</v>
      </c>
      <c r="T169" s="1" t="s">
        <v>283</v>
      </c>
      <c r="W169" s="1" t="s">
        <v>217</v>
      </c>
      <c r="X169" s="27">
        <v>50</v>
      </c>
      <c r="Y169" s="27" t="s">
        <v>285</v>
      </c>
      <c r="Z169" s="1" t="s">
        <v>947</v>
      </c>
      <c r="AB169" s="18" t="s">
        <v>1104</v>
      </c>
      <c r="AC169" s="1" t="s">
        <v>88</v>
      </c>
      <c r="AD169" s="27">
        <v>74</v>
      </c>
      <c r="AF169" s="2" t="s">
        <v>90</v>
      </c>
      <c r="AH169" s="1" t="s">
        <v>91</v>
      </c>
      <c r="AI169" s="1" t="s">
        <v>185</v>
      </c>
      <c r="AK169" s="1" t="s">
        <v>687</v>
      </c>
      <c r="AL169" s="1" t="s">
        <v>107</v>
      </c>
      <c r="AM169" s="1" t="s">
        <v>107</v>
      </c>
      <c r="AN169" s="2" t="s">
        <v>96</v>
      </c>
      <c r="AO169" s="1" t="s">
        <v>1106</v>
      </c>
      <c r="AP169" s="1" t="s">
        <v>1107</v>
      </c>
      <c r="AQ169" s="1" t="s">
        <v>1108</v>
      </c>
      <c r="AR169" s="1" t="s">
        <v>1109</v>
      </c>
      <c r="AS169" s="1" t="s">
        <v>1110</v>
      </c>
      <c r="AT169" s="1" t="s">
        <v>71</v>
      </c>
      <c r="AV169" s="1">
        <v>2</v>
      </c>
      <c r="AW169" s="1">
        <v>1.4814814814814814</v>
      </c>
      <c r="AX169" s="1">
        <v>9</v>
      </c>
      <c r="AY169" s="1">
        <v>0.49382716049382713</v>
      </c>
      <c r="BA169" s="1">
        <v>0.5</v>
      </c>
      <c r="BB169" s="1">
        <v>0.7407407407407407</v>
      </c>
      <c r="BC169" s="1">
        <v>10</v>
      </c>
      <c r="BD169" s="1">
        <v>0.23424278964210216</v>
      </c>
      <c r="BF169" s="34" t="s">
        <v>1123</v>
      </c>
      <c r="BI169">
        <v>2</v>
      </c>
      <c r="BJ169">
        <v>1</v>
      </c>
      <c r="BK169">
        <v>3</v>
      </c>
      <c r="BL169">
        <v>0.5</v>
      </c>
      <c r="BM169">
        <v>0</v>
      </c>
      <c r="BN169">
        <v>1</v>
      </c>
    </row>
    <row r="170" spans="1:66" x14ac:dyDescent="0.2">
      <c r="A170" s="1" t="s">
        <v>1095</v>
      </c>
      <c r="B170" s="2" t="s">
        <v>1112</v>
      </c>
      <c r="C170" s="2" t="s">
        <v>1113</v>
      </c>
      <c r="D170" s="50" t="s">
        <v>1121</v>
      </c>
      <c r="E170" s="2" t="s">
        <v>1124</v>
      </c>
      <c r="F170" s="2" t="s">
        <v>102</v>
      </c>
      <c r="G170" s="1" t="s">
        <v>941</v>
      </c>
      <c r="H170" s="1" t="s">
        <v>1100</v>
      </c>
      <c r="J170" s="1" t="s">
        <v>1101</v>
      </c>
      <c r="L170" s="5" t="s">
        <v>77</v>
      </c>
      <c r="M170" s="2" t="s">
        <v>945</v>
      </c>
      <c r="N170" s="2" t="s">
        <v>126</v>
      </c>
      <c r="O170" s="27" t="s">
        <v>1102</v>
      </c>
      <c r="P170" s="1" t="s">
        <v>183</v>
      </c>
      <c r="Q170" s="1" t="s">
        <v>1103</v>
      </c>
      <c r="R170" s="1" t="s">
        <v>946</v>
      </c>
      <c r="S170" s="27">
        <v>21</v>
      </c>
      <c r="T170" s="1" t="s">
        <v>283</v>
      </c>
      <c r="W170" s="1" t="s">
        <v>217</v>
      </c>
      <c r="X170" s="27">
        <v>50</v>
      </c>
      <c r="Y170" s="27" t="s">
        <v>285</v>
      </c>
      <c r="Z170" s="1" t="s">
        <v>947</v>
      </c>
      <c r="AB170" s="18" t="s">
        <v>1104</v>
      </c>
      <c r="AC170" s="1" t="s">
        <v>288</v>
      </c>
      <c r="AD170" s="27">
        <v>74</v>
      </c>
      <c r="AF170" s="2" t="s">
        <v>90</v>
      </c>
      <c r="AH170" s="1" t="s">
        <v>91</v>
      </c>
      <c r="AI170" s="1" t="s">
        <v>185</v>
      </c>
      <c r="AK170" s="1" t="s">
        <v>687</v>
      </c>
      <c r="AL170" s="1" t="s">
        <v>107</v>
      </c>
      <c r="AM170" s="1" t="s">
        <v>107</v>
      </c>
      <c r="AN170" s="2" t="s">
        <v>96</v>
      </c>
      <c r="AO170" s="1" t="s">
        <v>1106</v>
      </c>
      <c r="AP170" s="1" t="s">
        <v>1107</v>
      </c>
      <c r="AQ170" s="1" t="s">
        <v>1108</v>
      </c>
      <c r="AR170" s="1" t="s">
        <v>1109</v>
      </c>
      <c r="AS170" s="1" t="s">
        <v>1110</v>
      </c>
      <c r="AT170" s="1" t="s">
        <v>71</v>
      </c>
      <c r="AV170" s="1">
        <v>2.0666666666666669</v>
      </c>
      <c r="AW170" s="1">
        <v>1.3333333333333333</v>
      </c>
      <c r="AX170" s="1">
        <v>10</v>
      </c>
      <c r="AY170" s="1">
        <v>0.42163702135578385</v>
      </c>
      <c r="BA170" s="1">
        <v>0.16666666666666666</v>
      </c>
      <c r="BB170" s="1">
        <v>0.37037037037037035</v>
      </c>
      <c r="BC170" s="1">
        <v>8</v>
      </c>
      <c r="BD170" s="1">
        <v>0.13094570021973101</v>
      </c>
      <c r="BF170" s="34" t="s">
        <v>1123</v>
      </c>
      <c r="BI170">
        <v>2</v>
      </c>
      <c r="BJ170">
        <v>1.2</v>
      </c>
      <c r="BK170">
        <v>3</v>
      </c>
      <c r="BL170">
        <v>0</v>
      </c>
      <c r="BM170">
        <v>0</v>
      </c>
      <c r="BN170">
        <v>0.5</v>
      </c>
    </row>
    <row r="171" spans="1:66" x14ac:dyDescent="0.2">
      <c r="A171" s="1" t="s">
        <v>1095</v>
      </c>
      <c r="B171" s="2" t="s">
        <v>1096</v>
      </c>
      <c r="C171" s="2" t="s">
        <v>1097</v>
      </c>
      <c r="D171" s="50" t="s">
        <v>1125</v>
      </c>
      <c r="E171" s="2" t="s">
        <v>1126</v>
      </c>
      <c r="F171" s="2" t="s">
        <v>102</v>
      </c>
      <c r="G171" s="1" t="s">
        <v>941</v>
      </c>
      <c r="H171" s="1" t="s">
        <v>1100</v>
      </c>
      <c r="J171" s="1" t="s">
        <v>1101</v>
      </c>
      <c r="L171" s="5" t="s">
        <v>77</v>
      </c>
      <c r="M171" s="2" t="s">
        <v>945</v>
      </c>
      <c r="N171" s="2" t="s">
        <v>126</v>
      </c>
      <c r="O171" s="27" t="s">
        <v>1102</v>
      </c>
      <c r="P171" s="1" t="s">
        <v>183</v>
      </c>
      <c r="Q171" s="1" t="s">
        <v>1103</v>
      </c>
      <c r="R171" s="1" t="s">
        <v>946</v>
      </c>
      <c r="S171" s="27">
        <v>21</v>
      </c>
      <c r="T171" s="1" t="s">
        <v>283</v>
      </c>
      <c r="W171" s="1" t="s">
        <v>217</v>
      </c>
      <c r="X171" s="27">
        <v>50</v>
      </c>
      <c r="Y171" s="27" t="s">
        <v>285</v>
      </c>
      <c r="Z171" s="1" t="s">
        <v>947</v>
      </c>
      <c r="AB171" s="18" t="s">
        <v>1104</v>
      </c>
      <c r="AC171" s="1" t="s">
        <v>88</v>
      </c>
      <c r="AD171" s="27">
        <v>74</v>
      </c>
      <c r="AF171" s="2" t="s">
        <v>90</v>
      </c>
      <c r="AH171" s="1" t="s">
        <v>91</v>
      </c>
      <c r="AI171" s="1" t="s">
        <v>185</v>
      </c>
      <c r="AK171" s="1" t="s">
        <v>1127</v>
      </c>
      <c r="AL171" s="1" t="s">
        <v>94</v>
      </c>
      <c r="AM171" s="1" t="s">
        <v>95</v>
      </c>
      <c r="AN171" s="2" t="s">
        <v>96</v>
      </c>
      <c r="AO171" s="1" t="s">
        <v>1106</v>
      </c>
      <c r="AP171" s="1" t="s">
        <v>1107</v>
      </c>
      <c r="AQ171" s="1" t="s">
        <v>1115</v>
      </c>
      <c r="AR171" s="1" t="s">
        <v>1116</v>
      </c>
      <c r="AS171" s="1" t="s">
        <v>1117</v>
      </c>
      <c r="AT171" s="1" t="s">
        <v>102</v>
      </c>
      <c r="AV171" s="1">
        <v>23.7</v>
      </c>
      <c r="AW171" s="1">
        <v>14.700000000000001</v>
      </c>
      <c r="AX171" s="1">
        <v>9</v>
      </c>
      <c r="AY171" s="1">
        <v>4.9000000000000004</v>
      </c>
      <c r="BA171" s="1">
        <v>80.099999999999994</v>
      </c>
      <c r="BB171" s="1">
        <v>61.348186607266555</v>
      </c>
      <c r="BC171" s="1">
        <v>10</v>
      </c>
      <c r="BD171" s="1">
        <v>19.399999999999999</v>
      </c>
      <c r="BF171" s="34" t="s">
        <v>1111</v>
      </c>
      <c r="BI171"/>
      <c r="BJ171"/>
      <c r="BK171"/>
      <c r="BL171"/>
      <c r="BM171"/>
      <c r="BN171"/>
    </row>
    <row r="172" spans="1:66" x14ac:dyDescent="0.2">
      <c r="A172" s="1" t="s">
        <v>1095</v>
      </c>
      <c r="B172" s="2" t="s">
        <v>1112</v>
      </c>
      <c r="C172" s="2" t="s">
        <v>1113</v>
      </c>
      <c r="D172" s="50" t="s">
        <v>1125</v>
      </c>
      <c r="E172" s="2" t="s">
        <v>1128</v>
      </c>
      <c r="F172" s="2" t="s">
        <v>102</v>
      </c>
      <c r="G172" s="1" t="s">
        <v>941</v>
      </c>
      <c r="H172" s="1" t="s">
        <v>1100</v>
      </c>
      <c r="J172" s="1" t="s">
        <v>1101</v>
      </c>
      <c r="L172" s="5" t="s">
        <v>77</v>
      </c>
      <c r="M172" s="2" t="s">
        <v>945</v>
      </c>
      <c r="N172" s="2" t="s">
        <v>126</v>
      </c>
      <c r="O172" s="27" t="s">
        <v>1102</v>
      </c>
      <c r="P172" s="1" t="s">
        <v>183</v>
      </c>
      <c r="Q172" s="1" t="s">
        <v>1103</v>
      </c>
      <c r="R172" s="1" t="s">
        <v>946</v>
      </c>
      <c r="S172" s="27">
        <v>21</v>
      </c>
      <c r="T172" s="1" t="s">
        <v>283</v>
      </c>
      <c r="W172" s="1" t="s">
        <v>217</v>
      </c>
      <c r="X172" s="27">
        <v>50</v>
      </c>
      <c r="Y172" s="27" t="s">
        <v>285</v>
      </c>
      <c r="Z172" s="1" t="s">
        <v>947</v>
      </c>
      <c r="AB172" s="18" t="s">
        <v>1104</v>
      </c>
      <c r="AC172" s="1" t="s">
        <v>288</v>
      </c>
      <c r="AD172" s="27">
        <v>74</v>
      </c>
      <c r="AF172" s="2" t="s">
        <v>90</v>
      </c>
      <c r="AH172" s="1" t="s">
        <v>91</v>
      </c>
      <c r="AI172" s="1" t="s">
        <v>185</v>
      </c>
      <c r="AK172" s="1" t="s">
        <v>1127</v>
      </c>
      <c r="AL172" s="1" t="s">
        <v>94</v>
      </c>
      <c r="AM172" s="1" t="s">
        <v>95</v>
      </c>
      <c r="AN172" s="2" t="s">
        <v>96</v>
      </c>
      <c r="AO172" s="1" t="s">
        <v>1106</v>
      </c>
      <c r="AP172" s="1" t="s">
        <v>1107</v>
      </c>
      <c r="AQ172" s="1" t="s">
        <v>1108</v>
      </c>
      <c r="AR172" s="1" t="s">
        <v>1109</v>
      </c>
      <c r="AS172" s="1" t="s">
        <v>1110</v>
      </c>
      <c r="AT172" s="1" t="s">
        <v>102</v>
      </c>
      <c r="AV172" s="1">
        <v>18.3</v>
      </c>
      <c r="AW172" s="1">
        <v>9.4868329805051381</v>
      </c>
      <c r="AX172" s="1">
        <v>10</v>
      </c>
      <c r="AY172" s="1">
        <v>3</v>
      </c>
      <c r="BA172" s="1">
        <v>75.3</v>
      </c>
      <c r="BB172" s="1">
        <v>56.85138520739843</v>
      </c>
      <c r="BC172" s="1">
        <v>8</v>
      </c>
      <c r="BD172" s="1">
        <v>20.100000000000001</v>
      </c>
      <c r="BF172" s="34" t="s">
        <v>1111</v>
      </c>
      <c r="BI172"/>
      <c r="BJ172"/>
      <c r="BK172"/>
      <c r="BL172"/>
      <c r="BM172"/>
      <c r="BN172"/>
    </row>
    <row r="173" spans="1:66" x14ac:dyDescent="0.2">
      <c r="A173" s="1" t="s">
        <v>1095</v>
      </c>
      <c r="B173" s="2" t="s">
        <v>1096</v>
      </c>
      <c r="C173" s="2" t="s">
        <v>1097</v>
      </c>
      <c r="D173" s="50" t="s">
        <v>1129</v>
      </c>
      <c r="E173" s="2" t="s">
        <v>1130</v>
      </c>
      <c r="F173" s="2" t="s">
        <v>102</v>
      </c>
      <c r="G173" s="1" t="s">
        <v>941</v>
      </c>
      <c r="H173" s="1" t="s">
        <v>1100</v>
      </c>
      <c r="J173" s="1" t="s">
        <v>1101</v>
      </c>
      <c r="L173" s="5" t="s">
        <v>77</v>
      </c>
      <c r="M173" s="2" t="s">
        <v>945</v>
      </c>
      <c r="N173" s="2" t="s">
        <v>126</v>
      </c>
      <c r="O173" s="27" t="s">
        <v>1102</v>
      </c>
      <c r="P173" s="1" t="s">
        <v>183</v>
      </c>
      <c r="Q173" s="1" t="s">
        <v>1103</v>
      </c>
      <c r="R173" s="1" t="s">
        <v>946</v>
      </c>
      <c r="S173" s="27">
        <v>21</v>
      </c>
      <c r="T173" s="1" t="s">
        <v>283</v>
      </c>
      <c r="W173" s="1" t="s">
        <v>217</v>
      </c>
      <c r="X173" s="27">
        <v>50</v>
      </c>
      <c r="Y173" s="27" t="s">
        <v>285</v>
      </c>
      <c r="Z173" s="1" t="s">
        <v>947</v>
      </c>
      <c r="AB173" s="18" t="s">
        <v>1104</v>
      </c>
      <c r="AC173" s="1" t="s">
        <v>88</v>
      </c>
      <c r="AD173" s="27">
        <v>74</v>
      </c>
      <c r="AF173" s="2" t="s">
        <v>90</v>
      </c>
      <c r="AH173" s="1" t="s">
        <v>91</v>
      </c>
      <c r="AI173" s="1" t="s">
        <v>185</v>
      </c>
      <c r="AK173" s="1" t="s">
        <v>1131</v>
      </c>
      <c r="AL173" s="1" t="s">
        <v>94</v>
      </c>
      <c r="AM173" s="1" t="s">
        <v>95</v>
      </c>
      <c r="AN173" s="2" t="s">
        <v>96</v>
      </c>
      <c r="AO173" s="1" t="s">
        <v>1106</v>
      </c>
      <c r="AP173" s="1" t="s">
        <v>1107</v>
      </c>
      <c r="AQ173" s="1" t="s">
        <v>1115</v>
      </c>
      <c r="AR173" s="1" t="s">
        <v>1116</v>
      </c>
      <c r="AS173" s="1" t="s">
        <v>1117</v>
      </c>
      <c r="AT173" s="1" t="s">
        <v>102</v>
      </c>
      <c r="AV173" s="1">
        <v>16.766666666666666</v>
      </c>
      <c r="AW173" s="1">
        <v>8.4444444444444429</v>
      </c>
      <c r="AX173" s="1">
        <v>9</v>
      </c>
      <c r="AY173" s="1">
        <v>2.8148148148148144</v>
      </c>
      <c r="BA173" s="1">
        <v>38.699999999999996</v>
      </c>
      <c r="BB173" s="1">
        <v>27.111111111111104</v>
      </c>
      <c r="BC173" s="1">
        <v>10</v>
      </c>
      <c r="BD173" s="1">
        <v>8.5732861009009369</v>
      </c>
      <c r="BF173" s="34" t="s">
        <v>1123</v>
      </c>
      <c r="BI173">
        <v>16.3</v>
      </c>
      <c r="BJ173">
        <v>11.3</v>
      </c>
      <c r="BK173">
        <v>22.7</v>
      </c>
      <c r="BL173">
        <v>28.9</v>
      </c>
      <c r="BM173">
        <v>25.3</v>
      </c>
      <c r="BN173">
        <v>61.9</v>
      </c>
    </row>
    <row r="174" spans="1:66" x14ac:dyDescent="0.2">
      <c r="A174" s="1" t="s">
        <v>1095</v>
      </c>
      <c r="B174" s="2" t="s">
        <v>1112</v>
      </c>
      <c r="C174" s="2" t="s">
        <v>1113</v>
      </c>
      <c r="D174" s="50" t="s">
        <v>1129</v>
      </c>
      <c r="E174" s="2" t="s">
        <v>1132</v>
      </c>
      <c r="F174" s="2" t="s">
        <v>102</v>
      </c>
      <c r="G174" s="1" t="s">
        <v>941</v>
      </c>
      <c r="H174" s="1" t="s">
        <v>1100</v>
      </c>
      <c r="J174" s="1" t="s">
        <v>1101</v>
      </c>
      <c r="L174" s="5" t="s">
        <v>77</v>
      </c>
      <c r="M174" s="2" t="s">
        <v>945</v>
      </c>
      <c r="N174" s="2" t="s">
        <v>126</v>
      </c>
      <c r="O174" s="27" t="s">
        <v>1102</v>
      </c>
      <c r="P174" s="1" t="s">
        <v>183</v>
      </c>
      <c r="Q174" s="1" t="s">
        <v>1103</v>
      </c>
      <c r="R174" s="1" t="s">
        <v>946</v>
      </c>
      <c r="S174" s="27">
        <v>21</v>
      </c>
      <c r="T174" s="1" t="s">
        <v>283</v>
      </c>
      <c r="W174" s="1" t="s">
        <v>217</v>
      </c>
      <c r="X174" s="27">
        <v>50</v>
      </c>
      <c r="Y174" s="27" t="s">
        <v>285</v>
      </c>
      <c r="Z174" s="1" t="s">
        <v>947</v>
      </c>
      <c r="AB174" s="18" t="s">
        <v>1104</v>
      </c>
      <c r="AC174" s="1" t="s">
        <v>288</v>
      </c>
      <c r="AD174" s="27">
        <v>74</v>
      </c>
      <c r="AF174" s="2" t="s">
        <v>90</v>
      </c>
      <c r="AH174" s="1" t="s">
        <v>91</v>
      </c>
      <c r="AI174" s="1" t="s">
        <v>185</v>
      </c>
      <c r="AK174" s="1" t="s">
        <v>1131</v>
      </c>
      <c r="AL174" s="1" t="s">
        <v>94</v>
      </c>
      <c r="AM174" s="1" t="s">
        <v>95</v>
      </c>
      <c r="AN174" s="2" t="s">
        <v>96</v>
      </c>
      <c r="AO174" s="1" t="s">
        <v>1106</v>
      </c>
      <c r="AP174" s="1" t="s">
        <v>1107</v>
      </c>
      <c r="AQ174" s="1" t="s">
        <v>1108</v>
      </c>
      <c r="AR174" s="1" t="s">
        <v>1109</v>
      </c>
      <c r="AS174" s="1" t="s">
        <v>1110</v>
      </c>
      <c r="AT174" s="1" t="s">
        <v>102</v>
      </c>
      <c r="AV174" s="1">
        <v>26.066666666666666</v>
      </c>
      <c r="AW174" s="1">
        <v>5.1111111111111098</v>
      </c>
      <c r="AX174" s="1">
        <v>10</v>
      </c>
      <c r="AY174" s="1">
        <v>1.6162752485305045</v>
      </c>
      <c r="BA174" s="1">
        <v>24.933333333333337</v>
      </c>
      <c r="BB174" s="1">
        <v>16.074074074074076</v>
      </c>
      <c r="BC174" s="1">
        <v>8</v>
      </c>
      <c r="BD174" s="1">
        <v>5.6830433895363264</v>
      </c>
      <c r="BF174" s="34" t="s">
        <v>1123</v>
      </c>
      <c r="BI174">
        <v>24.7</v>
      </c>
      <c r="BJ174">
        <v>23.3</v>
      </c>
      <c r="BK174">
        <v>30.2</v>
      </c>
      <c r="BL174">
        <v>24.3</v>
      </c>
      <c r="BM174">
        <v>14.4</v>
      </c>
      <c r="BN174">
        <v>36.1</v>
      </c>
    </row>
    <row r="175" spans="1:66" x14ac:dyDescent="0.2">
      <c r="A175" s="1" t="s">
        <v>1095</v>
      </c>
      <c r="B175" s="2" t="s">
        <v>1096</v>
      </c>
      <c r="C175" s="2" t="s">
        <v>1097</v>
      </c>
      <c r="D175" s="50" t="s">
        <v>1133</v>
      </c>
      <c r="E175" s="2" t="s">
        <v>1134</v>
      </c>
      <c r="F175" s="2" t="s">
        <v>102</v>
      </c>
      <c r="G175" s="1" t="s">
        <v>941</v>
      </c>
      <c r="H175" s="1" t="s">
        <v>1100</v>
      </c>
      <c r="J175" s="1" t="s">
        <v>1101</v>
      </c>
      <c r="L175" s="5" t="s">
        <v>77</v>
      </c>
      <c r="M175" s="2" t="s">
        <v>945</v>
      </c>
      <c r="N175" s="2" t="s">
        <v>126</v>
      </c>
      <c r="O175" s="27" t="s">
        <v>1102</v>
      </c>
      <c r="P175" s="1" t="s">
        <v>183</v>
      </c>
      <c r="Q175" s="1" t="s">
        <v>1103</v>
      </c>
      <c r="R175" s="1" t="s">
        <v>946</v>
      </c>
      <c r="S175" s="27">
        <v>21</v>
      </c>
      <c r="T175" s="1" t="s">
        <v>283</v>
      </c>
      <c r="W175" s="1" t="s">
        <v>217</v>
      </c>
      <c r="X175" s="27">
        <v>50</v>
      </c>
      <c r="Y175" s="27" t="s">
        <v>285</v>
      </c>
      <c r="Z175" s="1" t="s">
        <v>947</v>
      </c>
      <c r="AB175" s="18" t="s">
        <v>1104</v>
      </c>
      <c r="AC175" s="1" t="s">
        <v>88</v>
      </c>
      <c r="AD175" s="27">
        <v>74</v>
      </c>
      <c r="AF175" s="2" t="s">
        <v>90</v>
      </c>
      <c r="AH175" s="1" t="s">
        <v>91</v>
      </c>
      <c r="AI175" s="1" t="s">
        <v>185</v>
      </c>
      <c r="AK175" s="1" t="s">
        <v>404</v>
      </c>
      <c r="AL175" s="1" t="s">
        <v>107</v>
      </c>
      <c r="AM175" s="1" t="s">
        <v>107</v>
      </c>
      <c r="AN175" s="2" t="s">
        <v>96</v>
      </c>
      <c r="AO175" s="1" t="s">
        <v>1106</v>
      </c>
      <c r="AP175" s="1" t="s">
        <v>1107</v>
      </c>
      <c r="AQ175" s="1" t="s">
        <v>1115</v>
      </c>
      <c r="AR175" s="1" t="s">
        <v>1116</v>
      </c>
      <c r="AS175" s="1" t="s">
        <v>1117</v>
      </c>
      <c r="AT175" s="1" t="s">
        <v>102</v>
      </c>
      <c r="AV175" s="1">
        <v>3.3</v>
      </c>
      <c r="AW175" s="1">
        <v>1.7999999999999998</v>
      </c>
      <c r="AX175" s="1">
        <v>9</v>
      </c>
      <c r="AY175" s="1">
        <v>0.6</v>
      </c>
      <c r="BA175" s="1">
        <v>3.3</v>
      </c>
      <c r="BB175" s="1">
        <v>1.5811388300841898</v>
      </c>
      <c r="BC175" s="1">
        <v>10</v>
      </c>
      <c r="BD175" s="1">
        <v>0.5</v>
      </c>
      <c r="BF175" s="34" t="s">
        <v>1111</v>
      </c>
      <c r="BI175"/>
      <c r="BJ175"/>
      <c r="BK175"/>
      <c r="BL175"/>
      <c r="BM175"/>
      <c r="BN175"/>
    </row>
    <row r="176" spans="1:66" x14ac:dyDescent="0.2">
      <c r="A176" s="1" t="s">
        <v>1095</v>
      </c>
      <c r="B176" s="2" t="s">
        <v>1112</v>
      </c>
      <c r="C176" s="2" t="s">
        <v>1113</v>
      </c>
      <c r="D176" s="50" t="s">
        <v>1133</v>
      </c>
      <c r="E176" s="2" t="s">
        <v>1135</v>
      </c>
      <c r="F176" s="2" t="s">
        <v>102</v>
      </c>
      <c r="G176" s="1" t="s">
        <v>941</v>
      </c>
      <c r="H176" s="1" t="s">
        <v>1100</v>
      </c>
      <c r="J176" s="1" t="s">
        <v>1101</v>
      </c>
      <c r="L176" s="5" t="s">
        <v>77</v>
      </c>
      <c r="M176" s="2" t="s">
        <v>945</v>
      </c>
      <c r="N176" s="2" t="s">
        <v>126</v>
      </c>
      <c r="O176" s="27" t="s">
        <v>1102</v>
      </c>
      <c r="P176" s="1" t="s">
        <v>183</v>
      </c>
      <c r="Q176" s="1" t="s">
        <v>1103</v>
      </c>
      <c r="R176" s="1" t="s">
        <v>946</v>
      </c>
      <c r="S176" s="27">
        <v>21</v>
      </c>
      <c r="T176" s="1" t="s">
        <v>283</v>
      </c>
      <c r="W176" s="1" t="s">
        <v>217</v>
      </c>
      <c r="X176" s="27">
        <v>50</v>
      </c>
      <c r="Y176" s="27" t="s">
        <v>285</v>
      </c>
      <c r="Z176" s="1" t="s">
        <v>947</v>
      </c>
      <c r="AB176" s="18" t="s">
        <v>1104</v>
      </c>
      <c r="AC176" s="1" t="s">
        <v>288</v>
      </c>
      <c r="AD176" s="27">
        <v>74</v>
      </c>
      <c r="AF176" s="2" t="s">
        <v>90</v>
      </c>
      <c r="AH176" s="1" t="s">
        <v>91</v>
      </c>
      <c r="AI176" s="1" t="s">
        <v>185</v>
      </c>
      <c r="AK176" s="1" t="s">
        <v>404</v>
      </c>
      <c r="AL176" s="1" t="s">
        <v>107</v>
      </c>
      <c r="AM176" s="1" t="s">
        <v>107</v>
      </c>
      <c r="AN176" s="2" t="s">
        <v>96</v>
      </c>
      <c r="AO176" s="1" t="s">
        <v>1106</v>
      </c>
      <c r="AP176" s="1" t="s">
        <v>1107</v>
      </c>
      <c r="AQ176" s="1" t="s">
        <v>1108</v>
      </c>
      <c r="AR176" s="1" t="s">
        <v>1109</v>
      </c>
      <c r="AS176" s="1" t="s">
        <v>1110</v>
      </c>
      <c r="AT176" s="1" t="s">
        <v>102</v>
      </c>
      <c r="AV176" s="1">
        <v>4.8</v>
      </c>
      <c r="AW176" s="1">
        <v>1.8973665961010275</v>
      </c>
      <c r="AX176" s="1">
        <v>10</v>
      </c>
      <c r="AY176" s="1">
        <v>0.6</v>
      </c>
      <c r="BA176" s="1">
        <v>2.9</v>
      </c>
      <c r="BB176" s="1">
        <v>1.697056274847714</v>
      </c>
      <c r="BC176" s="1">
        <v>8</v>
      </c>
      <c r="BD176" s="1">
        <v>0.6</v>
      </c>
      <c r="BF176" s="34" t="s">
        <v>1111</v>
      </c>
      <c r="BI176"/>
      <c r="BJ176"/>
      <c r="BK176"/>
      <c r="BL176"/>
      <c r="BM176"/>
      <c r="BN176"/>
    </row>
    <row r="177" spans="1:66" x14ac:dyDescent="0.2">
      <c r="A177" s="1" t="s">
        <v>1095</v>
      </c>
      <c r="B177" s="2" t="s">
        <v>1096</v>
      </c>
      <c r="C177" s="2" t="s">
        <v>1097</v>
      </c>
      <c r="D177" s="50" t="s">
        <v>1136</v>
      </c>
      <c r="E177" s="2" t="s">
        <v>1137</v>
      </c>
      <c r="F177" s="2" t="s">
        <v>102</v>
      </c>
      <c r="G177" s="1" t="s">
        <v>941</v>
      </c>
      <c r="H177" s="1" t="s">
        <v>1100</v>
      </c>
      <c r="J177" s="1" t="s">
        <v>1101</v>
      </c>
      <c r="L177" s="5" t="s">
        <v>77</v>
      </c>
      <c r="M177" s="2" t="s">
        <v>945</v>
      </c>
      <c r="N177" s="2" t="s">
        <v>126</v>
      </c>
      <c r="O177" s="27" t="s">
        <v>1102</v>
      </c>
      <c r="P177" s="1" t="s">
        <v>183</v>
      </c>
      <c r="Q177" s="1" t="s">
        <v>1103</v>
      </c>
      <c r="R177" s="1" t="s">
        <v>946</v>
      </c>
      <c r="S177" s="27">
        <v>21</v>
      </c>
      <c r="T177" s="1" t="s">
        <v>283</v>
      </c>
      <c r="W177" s="1" t="s">
        <v>217</v>
      </c>
      <c r="X177" s="27">
        <v>50</v>
      </c>
      <c r="Y177" s="27" t="s">
        <v>285</v>
      </c>
      <c r="Z177" s="1" t="s">
        <v>947</v>
      </c>
      <c r="AB177" s="18" t="s">
        <v>1104</v>
      </c>
      <c r="AC177" s="1" t="s">
        <v>88</v>
      </c>
      <c r="AD177" s="27">
        <v>74</v>
      </c>
      <c r="AF177" s="2" t="s">
        <v>90</v>
      </c>
      <c r="AH177" s="1" t="s">
        <v>91</v>
      </c>
      <c r="AI177" s="1" t="s">
        <v>185</v>
      </c>
      <c r="AK177" s="1" t="s">
        <v>340</v>
      </c>
      <c r="AL177" s="1" t="s">
        <v>134</v>
      </c>
      <c r="AM177" s="1" t="s">
        <v>135</v>
      </c>
      <c r="AN177" s="2" t="s">
        <v>96</v>
      </c>
      <c r="AO177" s="1" t="s">
        <v>1106</v>
      </c>
      <c r="AP177" s="1" t="s">
        <v>1107</v>
      </c>
      <c r="AQ177" s="1" t="s">
        <v>1115</v>
      </c>
      <c r="AR177" s="1" t="s">
        <v>1116</v>
      </c>
      <c r="AS177" s="1" t="s">
        <v>1117</v>
      </c>
      <c r="AT177" s="1" t="s">
        <v>102</v>
      </c>
      <c r="AV177" s="1">
        <v>4.5999999999999996</v>
      </c>
      <c r="AW177" s="1">
        <v>1.1851851851851856</v>
      </c>
      <c r="AX177" s="1">
        <v>9</v>
      </c>
      <c r="AY177" s="1">
        <v>0.39506172839506187</v>
      </c>
      <c r="BA177" s="1">
        <v>0.6333333333333333</v>
      </c>
      <c r="BB177" s="1">
        <v>0.96296296296296291</v>
      </c>
      <c r="BC177" s="1">
        <v>10</v>
      </c>
      <c r="BD177" s="1">
        <v>0.3045156265347328</v>
      </c>
      <c r="BF177" s="34" t="s">
        <v>1123</v>
      </c>
      <c r="BI177">
        <v>4.5999999999999996</v>
      </c>
      <c r="BJ177">
        <v>3.8</v>
      </c>
      <c r="BK177">
        <v>5.4</v>
      </c>
      <c r="BL177">
        <v>0.6</v>
      </c>
      <c r="BM177">
        <v>0</v>
      </c>
      <c r="BN177">
        <v>1.3</v>
      </c>
    </row>
    <row r="178" spans="1:66" x14ac:dyDescent="0.2">
      <c r="A178" s="1" t="s">
        <v>1095</v>
      </c>
      <c r="B178" s="2" t="s">
        <v>1112</v>
      </c>
      <c r="C178" s="2" t="s">
        <v>1113</v>
      </c>
      <c r="D178" s="50" t="s">
        <v>1136</v>
      </c>
      <c r="E178" s="2" t="s">
        <v>1138</v>
      </c>
      <c r="F178" s="2" t="s">
        <v>102</v>
      </c>
      <c r="G178" s="1" t="s">
        <v>941</v>
      </c>
      <c r="H178" s="1" t="s">
        <v>1100</v>
      </c>
      <c r="J178" s="1" t="s">
        <v>1101</v>
      </c>
      <c r="L178" s="5" t="s">
        <v>77</v>
      </c>
      <c r="M178" s="2" t="s">
        <v>945</v>
      </c>
      <c r="N178" s="2" t="s">
        <v>126</v>
      </c>
      <c r="O178" s="27" t="s">
        <v>1102</v>
      </c>
      <c r="P178" s="1" t="s">
        <v>183</v>
      </c>
      <c r="Q178" s="1" t="s">
        <v>1103</v>
      </c>
      <c r="R178" s="1" t="s">
        <v>946</v>
      </c>
      <c r="S178" s="27">
        <v>21</v>
      </c>
      <c r="T178" s="1" t="s">
        <v>283</v>
      </c>
      <c r="W178" s="1" t="s">
        <v>217</v>
      </c>
      <c r="X178" s="27">
        <v>50</v>
      </c>
      <c r="Y178" s="27" t="s">
        <v>285</v>
      </c>
      <c r="Z178" s="1" t="s">
        <v>947</v>
      </c>
      <c r="AB178" s="18" t="s">
        <v>1104</v>
      </c>
      <c r="AC178" s="1" t="s">
        <v>288</v>
      </c>
      <c r="AD178" s="27">
        <v>74</v>
      </c>
      <c r="AF178" s="2" t="s">
        <v>90</v>
      </c>
      <c r="AH178" s="1" t="s">
        <v>91</v>
      </c>
      <c r="AI178" s="1" t="s">
        <v>185</v>
      </c>
      <c r="AK178" s="1" t="s">
        <v>340</v>
      </c>
      <c r="AL178" s="1" t="s">
        <v>134</v>
      </c>
      <c r="AM178" s="1" t="s">
        <v>135</v>
      </c>
      <c r="AN178" s="2" t="s">
        <v>96</v>
      </c>
      <c r="AO178" s="1" t="s">
        <v>1106</v>
      </c>
      <c r="AP178" s="1" t="s">
        <v>1107</v>
      </c>
      <c r="AQ178" s="1" t="s">
        <v>1108</v>
      </c>
      <c r="AR178" s="1" t="s">
        <v>1109</v>
      </c>
      <c r="AS178" s="1" t="s">
        <v>1110</v>
      </c>
      <c r="AT178" s="1" t="s">
        <v>102</v>
      </c>
      <c r="AV178" s="1">
        <v>6.2</v>
      </c>
      <c r="AW178" s="1">
        <v>3.0370370370370368</v>
      </c>
      <c r="AX178" s="1">
        <v>10</v>
      </c>
      <c r="AY178" s="1">
        <v>0.9603954375326188</v>
      </c>
      <c r="BA178" s="1">
        <v>9.9999999999999992E-2</v>
      </c>
      <c r="BB178" s="1">
        <v>0.22222222222222221</v>
      </c>
      <c r="BC178" s="1">
        <v>8</v>
      </c>
      <c r="BD178" s="1">
        <v>7.8567420131838608E-2</v>
      </c>
      <c r="BF178" s="34" t="s">
        <v>1123</v>
      </c>
      <c r="BI178">
        <v>6.5</v>
      </c>
      <c r="BJ178">
        <v>4</v>
      </c>
      <c r="BK178">
        <v>8.1</v>
      </c>
      <c r="BL178">
        <v>0</v>
      </c>
      <c r="BM178">
        <v>0</v>
      </c>
      <c r="BN178">
        <v>0.3</v>
      </c>
    </row>
    <row r="179" spans="1:66" x14ac:dyDescent="0.2">
      <c r="A179" s="1" t="s">
        <v>1095</v>
      </c>
      <c r="B179" s="2" t="s">
        <v>1096</v>
      </c>
      <c r="C179" s="2" t="s">
        <v>1097</v>
      </c>
      <c r="D179" s="50" t="s">
        <v>1139</v>
      </c>
      <c r="E179" s="2" t="s">
        <v>1140</v>
      </c>
      <c r="F179" s="2" t="s">
        <v>102</v>
      </c>
      <c r="G179" s="1" t="s">
        <v>941</v>
      </c>
      <c r="H179" s="1" t="s">
        <v>1100</v>
      </c>
      <c r="J179" s="1" t="s">
        <v>1101</v>
      </c>
      <c r="L179" s="5" t="s">
        <v>77</v>
      </c>
      <c r="M179" s="2" t="s">
        <v>945</v>
      </c>
      <c r="N179" s="2" t="s">
        <v>126</v>
      </c>
      <c r="O179" s="27" t="s">
        <v>1102</v>
      </c>
      <c r="P179" s="1" t="s">
        <v>183</v>
      </c>
      <c r="Q179" s="1" t="s">
        <v>1103</v>
      </c>
      <c r="R179" s="1" t="s">
        <v>946</v>
      </c>
      <c r="S179" s="27">
        <v>21</v>
      </c>
      <c r="T179" s="1" t="s">
        <v>283</v>
      </c>
      <c r="W179" s="1" t="s">
        <v>217</v>
      </c>
      <c r="X179" s="27">
        <v>50</v>
      </c>
      <c r="Y179" s="27" t="s">
        <v>285</v>
      </c>
      <c r="Z179" s="1" t="s">
        <v>947</v>
      </c>
      <c r="AB179" s="18" t="s">
        <v>1104</v>
      </c>
      <c r="AC179" s="1" t="s">
        <v>88</v>
      </c>
      <c r="AD179" s="27">
        <v>70</v>
      </c>
      <c r="AF179" s="2" t="s">
        <v>90</v>
      </c>
      <c r="AH179" s="1" t="s">
        <v>91</v>
      </c>
      <c r="AI179" s="1" t="s">
        <v>131</v>
      </c>
      <c r="AK179" s="2" t="s">
        <v>1013</v>
      </c>
      <c r="AL179" s="1" t="s">
        <v>94</v>
      </c>
      <c r="AM179" s="1" t="s">
        <v>95</v>
      </c>
      <c r="AN179" s="2" t="s">
        <v>96</v>
      </c>
      <c r="AO179" s="1" t="s">
        <v>1106</v>
      </c>
      <c r="AP179" s="1" t="s">
        <v>1107</v>
      </c>
      <c r="AQ179" s="1" t="s">
        <v>1115</v>
      </c>
      <c r="AR179" s="1" t="s">
        <v>1116</v>
      </c>
      <c r="AS179" s="1" t="s">
        <v>1117</v>
      </c>
      <c r="AT179" s="1" t="s">
        <v>102</v>
      </c>
      <c r="AV179" s="1">
        <v>264</v>
      </c>
      <c r="AW179" s="1">
        <v>21</v>
      </c>
      <c r="AX179" s="1">
        <v>9</v>
      </c>
      <c r="AY179" s="1">
        <v>7</v>
      </c>
      <c r="BA179" s="1">
        <v>251</v>
      </c>
      <c r="BB179" s="1">
        <v>41.109609582188931</v>
      </c>
      <c r="BC179" s="1">
        <v>10</v>
      </c>
      <c r="BD179" s="1">
        <v>13</v>
      </c>
      <c r="BF179" s="34" t="s">
        <v>1111</v>
      </c>
      <c r="BI179"/>
      <c r="BJ179"/>
      <c r="BK179"/>
      <c r="BL179"/>
      <c r="BM179"/>
      <c r="BN179"/>
    </row>
    <row r="180" spans="1:66" x14ac:dyDescent="0.2">
      <c r="A180" s="1" t="s">
        <v>1095</v>
      </c>
      <c r="B180" s="2" t="s">
        <v>1112</v>
      </c>
      <c r="C180" s="2" t="s">
        <v>1113</v>
      </c>
      <c r="D180" s="50" t="s">
        <v>1139</v>
      </c>
      <c r="E180" s="2" t="s">
        <v>1141</v>
      </c>
      <c r="F180" s="2" t="s">
        <v>102</v>
      </c>
      <c r="G180" s="1" t="s">
        <v>941</v>
      </c>
      <c r="H180" s="1" t="s">
        <v>1100</v>
      </c>
      <c r="J180" s="1" t="s">
        <v>1101</v>
      </c>
      <c r="L180" s="5" t="s">
        <v>77</v>
      </c>
      <c r="M180" s="2" t="s">
        <v>945</v>
      </c>
      <c r="N180" s="2" t="s">
        <v>126</v>
      </c>
      <c r="O180" s="27" t="s">
        <v>1102</v>
      </c>
      <c r="P180" s="1" t="s">
        <v>183</v>
      </c>
      <c r="Q180" s="1" t="s">
        <v>1103</v>
      </c>
      <c r="R180" s="1" t="s">
        <v>946</v>
      </c>
      <c r="S180" s="27">
        <v>21</v>
      </c>
      <c r="T180" s="1" t="s">
        <v>283</v>
      </c>
      <c r="W180" s="1" t="s">
        <v>217</v>
      </c>
      <c r="X180" s="27">
        <v>50</v>
      </c>
      <c r="Y180" s="27" t="s">
        <v>285</v>
      </c>
      <c r="Z180" s="1" t="s">
        <v>947</v>
      </c>
      <c r="AB180" s="18" t="s">
        <v>1104</v>
      </c>
      <c r="AC180" s="1" t="s">
        <v>288</v>
      </c>
      <c r="AD180" s="27">
        <v>70</v>
      </c>
      <c r="AF180" s="2" t="s">
        <v>90</v>
      </c>
      <c r="AH180" s="1" t="s">
        <v>91</v>
      </c>
      <c r="AI180" s="1" t="s">
        <v>131</v>
      </c>
      <c r="AK180" s="2" t="s">
        <v>1013</v>
      </c>
      <c r="AL180" s="1" t="s">
        <v>94</v>
      </c>
      <c r="AM180" s="1" t="s">
        <v>95</v>
      </c>
      <c r="AN180" s="2" t="s">
        <v>96</v>
      </c>
      <c r="AO180" s="1" t="s">
        <v>1106</v>
      </c>
      <c r="AP180" s="1" t="s">
        <v>1107</v>
      </c>
      <c r="AQ180" s="1" t="s">
        <v>1108</v>
      </c>
      <c r="AR180" s="1" t="s">
        <v>1109</v>
      </c>
      <c r="AS180" s="1" t="s">
        <v>1110</v>
      </c>
      <c r="AT180" s="1" t="s">
        <v>102</v>
      </c>
      <c r="AV180" s="1">
        <v>269</v>
      </c>
      <c r="AW180" s="1">
        <v>15.811388300841898</v>
      </c>
      <c r="AX180" s="1">
        <v>10</v>
      </c>
      <c r="AY180" s="1">
        <v>5</v>
      </c>
      <c r="BA180" s="1">
        <v>266</v>
      </c>
      <c r="BB180" s="1">
        <v>31.112698372208094</v>
      </c>
      <c r="BC180" s="1">
        <v>8</v>
      </c>
      <c r="BD180" s="1">
        <v>11</v>
      </c>
      <c r="BF180" s="34" t="s">
        <v>1111</v>
      </c>
      <c r="BI180"/>
      <c r="BJ180"/>
      <c r="BK180"/>
      <c r="BL180"/>
      <c r="BM180"/>
      <c r="BN180"/>
    </row>
    <row r="181" spans="1:66" x14ac:dyDescent="0.2">
      <c r="A181" s="1" t="s">
        <v>1095</v>
      </c>
      <c r="B181" s="2" t="s">
        <v>1096</v>
      </c>
      <c r="C181" s="2" t="s">
        <v>1097</v>
      </c>
      <c r="D181" s="50" t="s">
        <v>1142</v>
      </c>
      <c r="E181" s="2" t="s">
        <v>1143</v>
      </c>
      <c r="F181" s="2" t="s">
        <v>102</v>
      </c>
      <c r="G181" s="1" t="s">
        <v>941</v>
      </c>
      <c r="H181" s="1" t="s">
        <v>1100</v>
      </c>
      <c r="J181" s="1" t="s">
        <v>1101</v>
      </c>
      <c r="L181" s="5" t="s">
        <v>77</v>
      </c>
      <c r="M181" s="2" t="s">
        <v>945</v>
      </c>
      <c r="N181" s="2" t="s">
        <v>126</v>
      </c>
      <c r="O181" s="27" t="s">
        <v>1102</v>
      </c>
      <c r="P181" s="1" t="s">
        <v>183</v>
      </c>
      <c r="Q181" s="1" t="s">
        <v>1103</v>
      </c>
      <c r="R181" s="1" t="s">
        <v>946</v>
      </c>
      <c r="S181" s="27">
        <v>21</v>
      </c>
      <c r="T181" s="1" t="s">
        <v>283</v>
      </c>
      <c r="W181" s="1" t="s">
        <v>217</v>
      </c>
      <c r="X181" s="27">
        <v>50</v>
      </c>
      <c r="Y181" s="27" t="s">
        <v>285</v>
      </c>
      <c r="Z181" s="1" t="s">
        <v>947</v>
      </c>
      <c r="AB181" s="18" t="s">
        <v>1104</v>
      </c>
      <c r="AC181" s="1" t="s">
        <v>88</v>
      </c>
      <c r="AD181" s="27">
        <v>70</v>
      </c>
      <c r="AF181" s="2" t="s">
        <v>90</v>
      </c>
      <c r="AH181" s="1" t="s">
        <v>91</v>
      </c>
      <c r="AI181" s="1" t="s">
        <v>131</v>
      </c>
      <c r="AK181" s="2" t="s">
        <v>1021</v>
      </c>
      <c r="AL181" s="1" t="s">
        <v>94</v>
      </c>
      <c r="AM181" s="1" t="s">
        <v>95</v>
      </c>
      <c r="AN181" s="2" t="s">
        <v>96</v>
      </c>
      <c r="AO181" s="1" t="s">
        <v>1106</v>
      </c>
      <c r="AP181" s="1" t="s">
        <v>1107</v>
      </c>
      <c r="AQ181" s="1" t="s">
        <v>1115</v>
      </c>
      <c r="AR181" s="1" t="s">
        <v>1116</v>
      </c>
      <c r="AS181" s="1" t="s">
        <v>1117</v>
      </c>
      <c r="AT181" s="1" t="s">
        <v>71</v>
      </c>
      <c r="AV181" s="1">
        <v>32.666666666666664</v>
      </c>
      <c r="AW181" s="1">
        <v>23.777777777777779</v>
      </c>
      <c r="AX181" s="1">
        <v>9</v>
      </c>
      <c r="AY181" s="1">
        <v>7.9259259259259265</v>
      </c>
      <c r="BA181" s="1">
        <v>35.366666666666667</v>
      </c>
      <c r="BB181" s="1">
        <v>44.296296296296291</v>
      </c>
      <c r="BC181" s="1">
        <v>10</v>
      </c>
      <c r="BD181" s="1">
        <v>14.007718820597708</v>
      </c>
      <c r="BF181" s="34" t="s">
        <v>1123</v>
      </c>
      <c r="BI181">
        <v>27.1</v>
      </c>
      <c r="BJ181">
        <v>19.399999999999999</v>
      </c>
      <c r="BK181">
        <v>51.5</v>
      </c>
      <c r="BL181">
        <v>41.9</v>
      </c>
      <c r="BM181">
        <v>2.2000000000000002</v>
      </c>
      <c r="BN181">
        <v>62</v>
      </c>
    </row>
    <row r="182" spans="1:66" x14ac:dyDescent="0.2">
      <c r="A182" s="1" t="s">
        <v>1095</v>
      </c>
      <c r="B182" s="2" t="s">
        <v>1112</v>
      </c>
      <c r="C182" s="2" t="s">
        <v>1113</v>
      </c>
      <c r="D182" s="50" t="s">
        <v>1142</v>
      </c>
      <c r="E182" s="2" t="s">
        <v>1144</v>
      </c>
      <c r="F182" s="2" t="s">
        <v>102</v>
      </c>
      <c r="G182" s="1" t="s">
        <v>941</v>
      </c>
      <c r="H182" s="1" t="s">
        <v>1100</v>
      </c>
      <c r="J182" s="1" t="s">
        <v>1101</v>
      </c>
      <c r="L182" s="5" t="s">
        <v>77</v>
      </c>
      <c r="M182" s="2" t="s">
        <v>945</v>
      </c>
      <c r="N182" s="2" t="s">
        <v>126</v>
      </c>
      <c r="O182" s="27" t="s">
        <v>1102</v>
      </c>
      <c r="P182" s="1" t="s">
        <v>183</v>
      </c>
      <c r="Q182" s="1" t="s">
        <v>1103</v>
      </c>
      <c r="R182" s="1" t="s">
        <v>946</v>
      </c>
      <c r="S182" s="27">
        <v>21</v>
      </c>
      <c r="T182" s="1" t="s">
        <v>283</v>
      </c>
      <c r="W182" s="1" t="s">
        <v>217</v>
      </c>
      <c r="X182" s="27">
        <v>50</v>
      </c>
      <c r="Y182" s="27" t="s">
        <v>285</v>
      </c>
      <c r="Z182" s="1" t="s">
        <v>947</v>
      </c>
      <c r="AB182" s="18" t="s">
        <v>1104</v>
      </c>
      <c r="AC182" s="1" t="s">
        <v>288</v>
      </c>
      <c r="AD182" s="27">
        <v>70</v>
      </c>
      <c r="AF182" s="2" t="s">
        <v>90</v>
      </c>
      <c r="AH182" s="1" t="s">
        <v>91</v>
      </c>
      <c r="AI182" s="1" t="s">
        <v>131</v>
      </c>
      <c r="AK182" s="2" t="s">
        <v>1021</v>
      </c>
      <c r="AL182" s="1" t="s">
        <v>94</v>
      </c>
      <c r="AM182" s="1" t="s">
        <v>95</v>
      </c>
      <c r="AN182" s="2" t="s">
        <v>96</v>
      </c>
      <c r="AO182" s="1" t="s">
        <v>1106</v>
      </c>
      <c r="AP182" s="1" t="s">
        <v>1107</v>
      </c>
      <c r="AQ182" s="1" t="s">
        <v>1108</v>
      </c>
      <c r="AR182" s="1" t="s">
        <v>1109</v>
      </c>
      <c r="AS182" s="1" t="s">
        <v>1110</v>
      </c>
      <c r="AT182" s="1" t="s">
        <v>71</v>
      </c>
      <c r="AV182" s="1">
        <v>25.933333333333334</v>
      </c>
      <c r="AW182" s="1">
        <v>16.888888888888889</v>
      </c>
      <c r="AX182" s="1">
        <v>10</v>
      </c>
      <c r="AY182" s="1">
        <v>5.3407356038399296</v>
      </c>
      <c r="BA182" s="1">
        <v>32.333333333333336</v>
      </c>
      <c r="BB182" s="1">
        <v>23.777777777777779</v>
      </c>
      <c r="BC182" s="1">
        <v>8</v>
      </c>
      <c r="BD182" s="1">
        <v>8.4067139541067313</v>
      </c>
      <c r="BF182" s="34" t="s">
        <v>1123</v>
      </c>
      <c r="BI182">
        <v>19.600000000000001</v>
      </c>
      <c r="BJ182">
        <v>17.7</v>
      </c>
      <c r="BK182">
        <v>40.5</v>
      </c>
      <c r="BL182">
        <v>26.1</v>
      </c>
      <c r="BM182">
        <v>19.399999999999999</v>
      </c>
      <c r="BN182">
        <v>51.5</v>
      </c>
    </row>
    <row r="183" spans="1:66" x14ac:dyDescent="0.2">
      <c r="A183" s="1" t="s">
        <v>1095</v>
      </c>
      <c r="B183" s="2" t="s">
        <v>1096</v>
      </c>
      <c r="C183" s="2" t="s">
        <v>1097</v>
      </c>
      <c r="D183" s="50" t="s">
        <v>1145</v>
      </c>
      <c r="E183" s="2" t="s">
        <v>1146</v>
      </c>
      <c r="F183" s="2" t="s">
        <v>102</v>
      </c>
      <c r="G183" s="1" t="s">
        <v>941</v>
      </c>
      <c r="H183" s="1" t="s">
        <v>1100</v>
      </c>
      <c r="J183" s="1" t="s">
        <v>1101</v>
      </c>
      <c r="L183" s="5" t="s">
        <v>77</v>
      </c>
      <c r="M183" s="2" t="s">
        <v>945</v>
      </c>
      <c r="N183" s="2" t="s">
        <v>126</v>
      </c>
      <c r="O183" s="27" t="s">
        <v>1102</v>
      </c>
      <c r="P183" s="1" t="s">
        <v>183</v>
      </c>
      <c r="Q183" s="1" t="s">
        <v>1103</v>
      </c>
      <c r="R183" s="1" t="s">
        <v>946</v>
      </c>
      <c r="S183" s="27">
        <v>21</v>
      </c>
      <c r="T183" s="1" t="s">
        <v>283</v>
      </c>
      <c r="W183" s="1" t="s">
        <v>217</v>
      </c>
      <c r="X183" s="27">
        <v>50</v>
      </c>
      <c r="Y183" s="27" t="s">
        <v>285</v>
      </c>
      <c r="Z183" s="1" t="s">
        <v>947</v>
      </c>
      <c r="AB183" s="18" t="s">
        <v>1104</v>
      </c>
      <c r="AC183" s="1" t="s">
        <v>88</v>
      </c>
      <c r="AD183" s="27">
        <v>70</v>
      </c>
      <c r="AF183" s="2" t="s">
        <v>90</v>
      </c>
      <c r="AH183" s="1" t="s">
        <v>91</v>
      </c>
      <c r="AI183" s="1" t="s">
        <v>131</v>
      </c>
      <c r="AK183" s="1" t="s">
        <v>1029</v>
      </c>
      <c r="AL183" s="1" t="s">
        <v>107</v>
      </c>
      <c r="AM183" s="1" t="s">
        <v>107</v>
      </c>
      <c r="AN183" s="2" t="s">
        <v>96</v>
      </c>
      <c r="AO183" s="1" t="s">
        <v>1106</v>
      </c>
      <c r="AP183" s="1" t="s">
        <v>1107</v>
      </c>
      <c r="AQ183" s="1" t="s">
        <v>1115</v>
      </c>
      <c r="AR183" s="1" t="s">
        <v>1116</v>
      </c>
      <c r="AS183" s="1" t="s">
        <v>1117</v>
      </c>
      <c r="AT183" s="1" t="s">
        <v>71</v>
      </c>
      <c r="AV183" s="1">
        <v>6.2</v>
      </c>
      <c r="AW183" s="1">
        <v>3</v>
      </c>
      <c r="AX183" s="1">
        <v>9</v>
      </c>
      <c r="AY183" s="1">
        <v>1</v>
      </c>
      <c r="BA183" s="1">
        <v>2.9</v>
      </c>
      <c r="BB183" s="1">
        <v>2.529822128134704</v>
      </c>
      <c r="BC183" s="1">
        <v>10</v>
      </c>
      <c r="BD183" s="1">
        <v>0.8</v>
      </c>
      <c r="BF183" s="34" t="s">
        <v>1111</v>
      </c>
      <c r="BI183"/>
      <c r="BJ183"/>
      <c r="BK183"/>
      <c r="BL183"/>
      <c r="BM183"/>
      <c r="BN183"/>
    </row>
    <row r="184" spans="1:66" x14ac:dyDescent="0.2">
      <c r="A184" s="1" t="s">
        <v>1095</v>
      </c>
      <c r="B184" s="2" t="s">
        <v>1112</v>
      </c>
      <c r="C184" s="2" t="s">
        <v>1113</v>
      </c>
      <c r="D184" s="50" t="s">
        <v>1145</v>
      </c>
      <c r="E184" s="2" t="s">
        <v>1147</v>
      </c>
      <c r="F184" s="2" t="s">
        <v>102</v>
      </c>
      <c r="G184" s="1" t="s">
        <v>941</v>
      </c>
      <c r="H184" s="1" t="s">
        <v>1100</v>
      </c>
      <c r="J184" s="1" t="s">
        <v>1101</v>
      </c>
      <c r="L184" s="5" t="s">
        <v>77</v>
      </c>
      <c r="M184" s="2" t="s">
        <v>945</v>
      </c>
      <c r="N184" s="2" t="s">
        <v>126</v>
      </c>
      <c r="O184" s="27" t="s">
        <v>1102</v>
      </c>
      <c r="P184" s="1" t="s">
        <v>183</v>
      </c>
      <c r="Q184" s="1" t="s">
        <v>1103</v>
      </c>
      <c r="R184" s="1" t="s">
        <v>946</v>
      </c>
      <c r="S184" s="27">
        <v>21</v>
      </c>
      <c r="T184" s="1" t="s">
        <v>283</v>
      </c>
      <c r="W184" s="1" t="s">
        <v>217</v>
      </c>
      <c r="X184" s="27">
        <v>50</v>
      </c>
      <c r="Y184" s="27" t="s">
        <v>285</v>
      </c>
      <c r="Z184" s="1" t="s">
        <v>947</v>
      </c>
      <c r="AB184" s="18" t="s">
        <v>1104</v>
      </c>
      <c r="AC184" s="1" t="s">
        <v>288</v>
      </c>
      <c r="AD184" s="27">
        <v>70</v>
      </c>
      <c r="AF184" s="2" t="s">
        <v>90</v>
      </c>
      <c r="AH184" s="1" t="s">
        <v>91</v>
      </c>
      <c r="AI184" s="1" t="s">
        <v>131</v>
      </c>
      <c r="AK184" s="1" t="s">
        <v>1029</v>
      </c>
      <c r="AL184" s="1" t="s">
        <v>107</v>
      </c>
      <c r="AM184" s="1" t="s">
        <v>107</v>
      </c>
      <c r="AN184" s="2" t="s">
        <v>96</v>
      </c>
      <c r="AO184" s="1" t="s">
        <v>1106</v>
      </c>
      <c r="AP184" s="1" t="s">
        <v>1107</v>
      </c>
      <c r="AQ184" s="1" t="s">
        <v>1108</v>
      </c>
      <c r="AR184" s="1" t="s">
        <v>1109</v>
      </c>
      <c r="AS184" s="1" t="s">
        <v>1110</v>
      </c>
      <c r="AT184" s="1" t="s">
        <v>71</v>
      </c>
      <c r="AV184" s="1">
        <v>4.7</v>
      </c>
      <c r="AW184" s="1">
        <v>1.9606121493043953</v>
      </c>
      <c r="AX184" s="1">
        <v>10</v>
      </c>
      <c r="AY184" s="1">
        <v>0.62</v>
      </c>
      <c r="BA184" s="1">
        <v>2.9</v>
      </c>
      <c r="BB184" s="1">
        <v>1.9798989873223332</v>
      </c>
      <c r="BC184" s="1">
        <v>8</v>
      </c>
      <c r="BD184" s="1">
        <v>0.7</v>
      </c>
      <c r="BF184" s="34" t="s">
        <v>1111</v>
      </c>
      <c r="BI184"/>
      <c r="BJ184"/>
      <c r="BK184"/>
      <c r="BL184"/>
      <c r="BM184"/>
      <c r="BN184"/>
    </row>
    <row r="185" spans="1:66" x14ac:dyDescent="0.2">
      <c r="A185" s="1" t="s">
        <v>1095</v>
      </c>
      <c r="B185" s="2" t="s">
        <v>1096</v>
      </c>
      <c r="C185" s="2" t="s">
        <v>1097</v>
      </c>
      <c r="D185" s="50" t="s">
        <v>1148</v>
      </c>
      <c r="E185" s="2" t="s">
        <v>1149</v>
      </c>
      <c r="F185" s="2" t="s">
        <v>102</v>
      </c>
      <c r="G185" s="1" t="s">
        <v>941</v>
      </c>
      <c r="H185" s="1" t="s">
        <v>1100</v>
      </c>
      <c r="J185" s="1" t="s">
        <v>1101</v>
      </c>
      <c r="L185" s="5" t="s">
        <v>77</v>
      </c>
      <c r="M185" s="2" t="s">
        <v>945</v>
      </c>
      <c r="N185" s="2" t="s">
        <v>126</v>
      </c>
      <c r="O185" s="27" t="s">
        <v>1102</v>
      </c>
      <c r="P185" s="1" t="s">
        <v>183</v>
      </c>
      <c r="Q185" s="1" t="s">
        <v>1103</v>
      </c>
      <c r="R185" s="1" t="s">
        <v>946</v>
      </c>
      <c r="S185" s="27">
        <v>21</v>
      </c>
      <c r="T185" s="1" t="s">
        <v>283</v>
      </c>
      <c r="W185" s="1" t="s">
        <v>217</v>
      </c>
      <c r="X185" s="27">
        <v>50</v>
      </c>
      <c r="Y185" s="27" t="s">
        <v>285</v>
      </c>
      <c r="Z185" s="1" t="s">
        <v>947</v>
      </c>
      <c r="AB185" s="18" t="s">
        <v>1104</v>
      </c>
      <c r="AC185" s="1" t="s">
        <v>88</v>
      </c>
      <c r="AD185" s="27">
        <v>70</v>
      </c>
      <c r="AF185" s="2" t="s">
        <v>90</v>
      </c>
      <c r="AH185" s="1" t="s">
        <v>91</v>
      </c>
      <c r="AI185" s="1" t="s">
        <v>131</v>
      </c>
      <c r="AK185" s="1" t="s">
        <v>1037</v>
      </c>
      <c r="AL185" s="1" t="s">
        <v>107</v>
      </c>
      <c r="AM185" s="1" t="s">
        <v>107</v>
      </c>
      <c r="AN185" s="2" t="s">
        <v>96</v>
      </c>
      <c r="AO185" s="1" t="s">
        <v>1106</v>
      </c>
      <c r="AP185" s="1" t="s">
        <v>1107</v>
      </c>
      <c r="AQ185" s="1" t="s">
        <v>1115</v>
      </c>
      <c r="AR185" s="1" t="s">
        <v>1116</v>
      </c>
      <c r="AS185" s="1" t="s">
        <v>1117</v>
      </c>
      <c r="AT185" s="1" t="s">
        <v>102</v>
      </c>
      <c r="AV185" s="1">
        <v>0</v>
      </c>
      <c r="AW185" s="1">
        <v>0</v>
      </c>
      <c r="AX185" s="1">
        <v>9</v>
      </c>
      <c r="AY185" s="1">
        <v>0</v>
      </c>
      <c r="BA185" s="1">
        <v>0.23333333333333331</v>
      </c>
      <c r="BB185" s="1">
        <v>0.51851851851851849</v>
      </c>
      <c r="BC185" s="1">
        <v>10</v>
      </c>
      <c r="BD185" s="1">
        <v>0.16396995274947151</v>
      </c>
      <c r="BF185" s="34" t="s">
        <v>1123</v>
      </c>
      <c r="BI185">
        <v>0</v>
      </c>
      <c r="BJ185">
        <v>0</v>
      </c>
      <c r="BK185">
        <v>0</v>
      </c>
      <c r="BL185">
        <v>0</v>
      </c>
      <c r="BM185">
        <v>0</v>
      </c>
      <c r="BN185">
        <v>0.7</v>
      </c>
    </row>
    <row r="186" spans="1:66" x14ac:dyDescent="0.2">
      <c r="A186" s="1" t="s">
        <v>1095</v>
      </c>
      <c r="B186" s="2" t="s">
        <v>1112</v>
      </c>
      <c r="C186" s="2" t="s">
        <v>1113</v>
      </c>
      <c r="D186" s="50" t="s">
        <v>1148</v>
      </c>
      <c r="E186" s="2" t="s">
        <v>1150</v>
      </c>
      <c r="F186" s="2" t="s">
        <v>102</v>
      </c>
      <c r="G186" s="1" t="s">
        <v>941</v>
      </c>
      <c r="H186" s="1" t="s">
        <v>1100</v>
      </c>
      <c r="J186" s="1" t="s">
        <v>1101</v>
      </c>
      <c r="L186" s="5" t="s">
        <v>77</v>
      </c>
      <c r="M186" s="2" t="s">
        <v>945</v>
      </c>
      <c r="N186" s="2" t="s">
        <v>126</v>
      </c>
      <c r="O186" s="27" t="s">
        <v>1102</v>
      </c>
      <c r="P186" s="1" t="s">
        <v>183</v>
      </c>
      <c r="Q186" s="1" t="s">
        <v>1103</v>
      </c>
      <c r="R186" s="1" t="s">
        <v>946</v>
      </c>
      <c r="S186" s="27">
        <v>21</v>
      </c>
      <c r="T186" s="1" t="s">
        <v>283</v>
      </c>
      <c r="W186" s="1" t="s">
        <v>217</v>
      </c>
      <c r="X186" s="27">
        <v>50</v>
      </c>
      <c r="Y186" s="27" t="s">
        <v>285</v>
      </c>
      <c r="Z186" s="1" t="s">
        <v>947</v>
      </c>
      <c r="AB186" s="18" t="s">
        <v>1104</v>
      </c>
      <c r="AC186" s="1" t="s">
        <v>288</v>
      </c>
      <c r="AD186" s="27">
        <v>70</v>
      </c>
      <c r="AF186" s="2" t="s">
        <v>90</v>
      </c>
      <c r="AH186" s="1" t="s">
        <v>91</v>
      </c>
      <c r="AI186" s="1" t="s">
        <v>131</v>
      </c>
      <c r="AK186" s="1" t="s">
        <v>1037</v>
      </c>
      <c r="AL186" s="1" t="s">
        <v>107</v>
      </c>
      <c r="AM186" s="1" t="s">
        <v>107</v>
      </c>
      <c r="AN186" s="2" t="s">
        <v>96</v>
      </c>
      <c r="AO186" s="1" t="s">
        <v>1106</v>
      </c>
      <c r="AP186" s="1" t="s">
        <v>1107</v>
      </c>
      <c r="AQ186" s="1" t="s">
        <v>1108</v>
      </c>
      <c r="AR186" s="1" t="s">
        <v>1109</v>
      </c>
      <c r="AS186" s="1" t="s">
        <v>1110</v>
      </c>
      <c r="AT186" s="1" t="s">
        <v>102</v>
      </c>
      <c r="AV186" s="1">
        <v>1.7333333333333334</v>
      </c>
      <c r="AW186" s="1">
        <v>0.59259259259259256</v>
      </c>
      <c r="AX186" s="1">
        <v>10</v>
      </c>
      <c r="AY186" s="1">
        <v>0.18739423171368172</v>
      </c>
      <c r="BA186" s="1">
        <v>0.66666666666666663</v>
      </c>
      <c r="BB186" s="1">
        <v>0.7407407407407407</v>
      </c>
      <c r="BC186" s="1">
        <v>8</v>
      </c>
      <c r="BD186" s="1">
        <v>0.26189140043946202</v>
      </c>
      <c r="BF186" s="34" t="s">
        <v>1123</v>
      </c>
      <c r="BI186">
        <v>2</v>
      </c>
      <c r="BJ186">
        <v>1.2</v>
      </c>
      <c r="BK186">
        <v>2</v>
      </c>
      <c r="BL186">
        <v>1</v>
      </c>
      <c r="BM186">
        <v>0</v>
      </c>
      <c r="BN186">
        <v>1</v>
      </c>
    </row>
    <row r="187" spans="1:66" x14ac:dyDescent="0.2">
      <c r="A187" s="1" t="s">
        <v>1095</v>
      </c>
      <c r="B187" s="2" t="s">
        <v>1096</v>
      </c>
      <c r="C187" s="2" t="s">
        <v>1097</v>
      </c>
      <c r="D187" s="50" t="s">
        <v>1151</v>
      </c>
      <c r="E187" s="2" t="s">
        <v>1152</v>
      </c>
      <c r="F187" s="2" t="s">
        <v>102</v>
      </c>
      <c r="G187" s="1" t="s">
        <v>941</v>
      </c>
      <c r="H187" s="1" t="s">
        <v>1100</v>
      </c>
      <c r="J187" s="1" t="s">
        <v>1101</v>
      </c>
      <c r="L187" s="5" t="s">
        <v>77</v>
      </c>
      <c r="M187" s="2" t="s">
        <v>945</v>
      </c>
      <c r="N187" s="2" t="s">
        <v>126</v>
      </c>
      <c r="O187" s="27" t="s">
        <v>1102</v>
      </c>
      <c r="P187" s="1" t="s">
        <v>183</v>
      </c>
      <c r="Q187" s="1" t="s">
        <v>1103</v>
      </c>
      <c r="R187" s="1" t="s">
        <v>946</v>
      </c>
      <c r="S187" s="27">
        <v>21</v>
      </c>
      <c r="T187" s="1" t="s">
        <v>283</v>
      </c>
      <c r="W187" s="1" t="s">
        <v>217</v>
      </c>
      <c r="X187" s="27">
        <v>50</v>
      </c>
      <c r="Y187" s="27" t="s">
        <v>285</v>
      </c>
      <c r="Z187" s="1" t="s">
        <v>947</v>
      </c>
      <c r="AB187" s="18" t="s">
        <v>1104</v>
      </c>
      <c r="AC187" s="1" t="s">
        <v>88</v>
      </c>
      <c r="AD187" s="27">
        <v>70</v>
      </c>
      <c r="AF187" s="2" t="s">
        <v>90</v>
      </c>
      <c r="AH187" s="1" t="s">
        <v>91</v>
      </c>
      <c r="AI187" s="1" t="s">
        <v>131</v>
      </c>
      <c r="AK187" s="1" t="s">
        <v>1045</v>
      </c>
      <c r="AL187" s="1" t="s">
        <v>107</v>
      </c>
      <c r="AM187" s="1" t="s">
        <v>107</v>
      </c>
      <c r="AN187" s="2" t="s">
        <v>96</v>
      </c>
      <c r="AO187" s="1" t="s">
        <v>1106</v>
      </c>
      <c r="AP187" s="1" t="s">
        <v>1107</v>
      </c>
      <c r="AQ187" s="1" t="s">
        <v>1115</v>
      </c>
      <c r="AR187" s="1" t="s">
        <v>1116</v>
      </c>
      <c r="AS187" s="1" t="s">
        <v>1117</v>
      </c>
      <c r="AT187" s="1" t="s">
        <v>102</v>
      </c>
      <c r="AV187" s="1">
        <v>6.7</v>
      </c>
      <c r="AW187" s="1">
        <v>4.5</v>
      </c>
      <c r="AX187" s="1">
        <v>9</v>
      </c>
      <c r="AY187" s="1">
        <v>1.5</v>
      </c>
      <c r="BA187" s="1">
        <v>9.8000000000000007</v>
      </c>
      <c r="BB187" s="1">
        <v>7.2732386183872721</v>
      </c>
      <c r="BC187" s="1">
        <v>10</v>
      </c>
      <c r="BD187" s="1">
        <v>2.2999999999999998</v>
      </c>
      <c r="BF187" s="34" t="s">
        <v>1111</v>
      </c>
      <c r="BI187"/>
      <c r="BJ187"/>
      <c r="BK187"/>
      <c r="BL187"/>
      <c r="BM187"/>
      <c r="BN187"/>
    </row>
    <row r="188" spans="1:66" x14ac:dyDescent="0.2">
      <c r="A188" s="1" t="s">
        <v>1095</v>
      </c>
      <c r="B188" s="2" t="s">
        <v>1112</v>
      </c>
      <c r="C188" s="2" t="s">
        <v>1113</v>
      </c>
      <c r="D188" s="50" t="s">
        <v>1151</v>
      </c>
      <c r="E188" s="2" t="s">
        <v>1153</v>
      </c>
      <c r="F188" s="2" t="s">
        <v>102</v>
      </c>
      <c r="G188" s="1" t="s">
        <v>941</v>
      </c>
      <c r="H188" s="1" t="s">
        <v>1100</v>
      </c>
      <c r="J188" s="1" t="s">
        <v>1101</v>
      </c>
      <c r="L188" s="5" t="s">
        <v>77</v>
      </c>
      <c r="M188" s="2" t="s">
        <v>945</v>
      </c>
      <c r="N188" s="2" t="s">
        <v>126</v>
      </c>
      <c r="O188" s="27" t="s">
        <v>1102</v>
      </c>
      <c r="P188" s="1" t="s">
        <v>183</v>
      </c>
      <c r="Q188" s="1" t="s">
        <v>1103</v>
      </c>
      <c r="R188" s="1" t="s">
        <v>946</v>
      </c>
      <c r="S188" s="27">
        <v>21</v>
      </c>
      <c r="T188" s="1" t="s">
        <v>283</v>
      </c>
      <c r="W188" s="1" t="s">
        <v>217</v>
      </c>
      <c r="X188" s="27">
        <v>50</v>
      </c>
      <c r="Y188" s="27" t="s">
        <v>285</v>
      </c>
      <c r="Z188" s="1" t="s">
        <v>947</v>
      </c>
      <c r="AB188" s="18" t="s">
        <v>1104</v>
      </c>
      <c r="AC188" s="1" t="s">
        <v>288</v>
      </c>
      <c r="AD188" s="27">
        <v>70</v>
      </c>
      <c r="AF188" s="2" t="s">
        <v>90</v>
      </c>
      <c r="AH188" s="1" t="s">
        <v>91</v>
      </c>
      <c r="AI188" s="1" t="s">
        <v>131</v>
      </c>
      <c r="AK188" s="1" t="s">
        <v>1045</v>
      </c>
      <c r="AL188" s="1" t="s">
        <v>107</v>
      </c>
      <c r="AM188" s="1" t="s">
        <v>107</v>
      </c>
      <c r="AN188" s="2" t="s">
        <v>96</v>
      </c>
      <c r="AO188" s="1" t="s">
        <v>1106</v>
      </c>
      <c r="AP188" s="1" t="s">
        <v>1107</v>
      </c>
      <c r="AQ188" s="1" t="s">
        <v>1108</v>
      </c>
      <c r="AR188" s="1" t="s">
        <v>1109</v>
      </c>
      <c r="AS188" s="1" t="s">
        <v>1110</v>
      </c>
      <c r="AT188" s="1" t="s">
        <v>102</v>
      </c>
      <c r="AV188" s="1">
        <v>7.8</v>
      </c>
      <c r="AW188" s="1">
        <v>3.7947331922020551</v>
      </c>
      <c r="AX188" s="1">
        <v>10</v>
      </c>
      <c r="AY188" s="1">
        <v>1.2</v>
      </c>
      <c r="BA188" s="1">
        <v>8.1</v>
      </c>
      <c r="BB188" s="1">
        <v>4.8083261120685235</v>
      </c>
      <c r="BC188" s="1">
        <v>8</v>
      </c>
      <c r="BD188" s="1">
        <v>1.7</v>
      </c>
      <c r="BF188" s="34" t="s">
        <v>1111</v>
      </c>
      <c r="BI188"/>
      <c r="BJ188"/>
      <c r="BK188"/>
      <c r="BL188"/>
      <c r="BM188"/>
      <c r="BN188"/>
    </row>
    <row r="189" spans="1:66" x14ac:dyDescent="0.2">
      <c r="A189" s="1" t="s">
        <v>1095</v>
      </c>
      <c r="B189" s="2" t="s">
        <v>1096</v>
      </c>
      <c r="C189" s="2" t="s">
        <v>1097</v>
      </c>
      <c r="D189" s="50" t="s">
        <v>1154</v>
      </c>
      <c r="E189" s="2" t="s">
        <v>1155</v>
      </c>
      <c r="F189" s="2" t="s">
        <v>102</v>
      </c>
      <c r="G189" s="1" t="s">
        <v>941</v>
      </c>
      <c r="H189" s="1" t="s">
        <v>1100</v>
      </c>
      <c r="J189" s="1" t="s">
        <v>1101</v>
      </c>
      <c r="L189" s="5" t="s">
        <v>77</v>
      </c>
      <c r="M189" s="2" t="s">
        <v>945</v>
      </c>
      <c r="N189" s="2" t="s">
        <v>126</v>
      </c>
      <c r="O189" s="27" t="s">
        <v>1102</v>
      </c>
      <c r="P189" s="1" t="s">
        <v>183</v>
      </c>
      <c r="Q189" s="1" t="s">
        <v>1103</v>
      </c>
      <c r="R189" s="1" t="s">
        <v>946</v>
      </c>
      <c r="S189" s="27">
        <v>21</v>
      </c>
      <c r="T189" s="1" t="s">
        <v>283</v>
      </c>
      <c r="W189" s="1" t="s">
        <v>217</v>
      </c>
      <c r="X189" s="27">
        <v>50</v>
      </c>
      <c r="Y189" s="27" t="s">
        <v>285</v>
      </c>
      <c r="Z189" s="1" t="s">
        <v>947</v>
      </c>
      <c r="AB189" s="18" t="s">
        <v>1104</v>
      </c>
      <c r="AC189" s="1" t="s">
        <v>88</v>
      </c>
      <c r="AD189" s="27">
        <v>70</v>
      </c>
      <c r="AF189" s="2" t="s">
        <v>90</v>
      </c>
      <c r="AH189" s="1" t="s">
        <v>91</v>
      </c>
      <c r="AI189" s="1" t="s">
        <v>131</v>
      </c>
      <c r="AK189" s="1" t="s">
        <v>963</v>
      </c>
      <c r="AL189" s="1" t="s">
        <v>107</v>
      </c>
      <c r="AM189" s="1" t="s">
        <v>107</v>
      </c>
      <c r="AN189" s="2" t="s">
        <v>96</v>
      </c>
      <c r="AO189" s="1" t="s">
        <v>1106</v>
      </c>
      <c r="AP189" s="1" t="s">
        <v>1107</v>
      </c>
      <c r="AQ189" s="1" t="s">
        <v>1115</v>
      </c>
      <c r="AR189" s="1" t="s">
        <v>1116</v>
      </c>
      <c r="AS189" s="1" t="s">
        <v>1117</v>
      </c>
      <c r="AT189" s="1" t="s">
        <v>71</v>
      </c>
      <c r="AV189" s="1">
        <v>14.9</v>
      </c>
      <c r="AW189" s="1">
        <v>5.4</v>
      </c>
      <c r="AX189" s="1">
        <v>9</v>
      </c>
      <c r="AY189" s="1">
        <v>1.8</v>
      </c>
      <c r="BA189" s="1">
        <v>8</v>
      </c>
      <c r="BB189" s="1">
        <v>4.110960958218894</v>
      </c>
      <c r="BC189" s="1">
        <v>10</v>
      </c>
      <c r="BD189" s="1">
        <v>1.3</v>
      </c>
      <c r="BF189" s="34" t="s">
        <v>1111</v>
      </c>
      <c r="BI189"/>
      <c r="BJ189"/>
      <c r="BK189"/>
      <c r="BL189"/>
      <c r="BM189"/>
      <c r="BN189"/>
    </row>
    <row r="190" spans="1:66" x14ac:dyDescent="0.2">
      <c r="A190" s="1" t="s">
        <v>1095</v>
      </c>
      <c r="B190" s="2" t="s">
        <v>1112</v>
      </c>
      <c r="C190" s="2" t="s">
        <v>1113</v>
      </c>
      <c r="D190" s="50" t="s">
        <v>1154</v>
      </c>
      <c r="E190" s="2" t="s">
        <v>1156</v>
      </c>
      <c r="F190" s="2" t="s">
        <v>102</v>
      </c>
      <c r="G190" s="1" t="s">
        <v>941</v>
      </c>
      <c r="H190" s="1" t="s">
        <v>1100</v>
      </c>
      <c r="J190" s="1" t="s">
        <v>1101</v>
      </c>
      <c r="L190" s="5" t="s">
        <v>77</v>
      </c>
      <c r="M190" s="2" t="s">
        <v>945</v>
      </c>
      <c r="N190" s="2" t="s">
        <v>126</v>
      </c>
      <c r="O190" s="27" t="s">
        <v>1102</v>
      </c>
      <c r="P190" s="1" t="s">
        <v>183</v>
      </c>
      <c r="Q190" s="1" t="s">
        <v>1103</v>
      </c>
      <c r="R190" s="1" t="s">
        <v>946</v>
      </c>
      <c r="S190" s="27">
        <v>21</v>
      </c>
      <c r="T190" s="1" t="s">
        <v>283</v>
      </c>
      <c r="W190" s="1" t="s">
        <v>217</v>
      </c>
      <c r="X190" s="27">
        <v>50</v>
      </c>
      <c r="Y190" s="27" t="s">
        <v>285</v>
      </c>
      <c r="Z190" s="1" t="s">
        <v>947</v>
      </c>
      <c r="AB190" s="18" t="s">
        <v>1104</v>
      </c>
      <c r="AC190" s="1" t="s">
        <v>288</v>
      </c>
      <c r="AD190" s="27">
        <v>70</v>
      </c>
      <c r="AF190" s="2" t="s">
        <v>90</v>
      </c>
      <c r="AH190" s="1" t="s">
        <v>91</v>
      </c>
      <c r="AI190" s="1" t="s">
        <v>131</v>
      </c>
      <c r="AK190" s="1" t="s">
        <v>963</v>
      </c>
      <c r="AL190" s="1" t="s">
        <v>107</v>
      </c>
      <c r="AM190" s="1" t="s">
        <v>107</v>
      </c>
      <c r="AN190" s="2" t="s">
        <v>96</v>
      </c>
      <c r="AO190" s="1" t="s">
        <v>1106</v>
      </c>
      <c r="AP190" s="1" t="s">
        <v>1107</v>
      </c>
      <c r="AQ190" s="1" t="s">
        <v>1108</v>
      </c>
      <c r="AR190" s="1" t="s">
        <v>1109</v>
      </c>
      <c r="AS190" s="1" t="s">
        <v>1110</v>
      </c>
      <c r="AT190" s="1" t="s">
        <v>71</v>
      </c>
      <c r="AV190" s="1">
        <v>15.8</v>
      </c>
      <c r="AW190" s="1">
        <v>4.110960958218894</v>
      </c>
      <c r="AX190" s="1">
        <v>10</v>
      </c>
      <c r="AY190" s="1">
        <v>1.3</v>
      </c>
      <c r="BA190" s="1">
        <v>15.2</v>
      </c>
      <c r="BB190" s="1">
        <v>3.9597979746446663</v>
      </c>
      <c r="BC190" s="1">
        <v>8</v>
      </c>
      <c r="BD190" s="1">
        <v>1.4</v>
      </c>
      <c r="BF190" s="34" t="s">
        <v>1111</v>
      </c>
      <c r="BI190"/>
      <c r="BJ190"/>
      <c r="BK190"/>
      <c r="BL190"/>
      <c r="BM190"/>
      <c r="BN190"/>
    </row>
    <row r="191" spans="1:66" x14ac:dyDescent="0.2">
      <c r="A191" s="1" t="s">
        <v>1095</v>
      </c>
      <c r="B191" s="2" t="s">
        <v>1096</v>
      </c>
      <c r="C191" s="2" t="s">
        <v>1097</v>
      </c>
      <c r="D191" s="50" t="s">
        <v>1157</v>
      </c>
      <c r="E191" s="2" t="s">
        <v>1158</v>
      </c>
      <c r="F191" s="2" t="s">
        <v>102</v>
      </c>
      <c r="G191" s="1" t="s">
        <v>941</v>
      </c>
      <c r="H191" s="1" t="s">
        <v>1100</v>
      </c>
      <c r="J191" s="1" t="s">
        <v>1101</v>
      </c>
      <c r="L191" s="5" t="s">
        <v>77</v>
      </c>
      <c r="M191" s="2" t="s">
        <v>945</v>
      </c>
      <c r="N191" s="2" t="s">
        <v>126</v>
      </c>
      <c r="O191" s="27" t="s">
        <v>1102</v>
      </c>
      <c r="P191" s="1" t="s">
        <v>183</v>
      </c>
      <c r="Q191" s="1" t="s">
        <v>1103</v>
      </c>
      <c r="R191" s="1" t="s">
        <v>946</v>
      </c>
      <c r="S191" s="27">
        <v>21</v>
      </c>
      <c r="T191" s="1" t="s">
        <v>283</v>
      </c>
      <c r="W191" s="1" t="s">
        <v>217</v>
      </c>
      <c r="X191" s="27">
        <v>50</v>
      </c>
      <c r="Y191" s="27" t="s">
        <v>285</v>
      </c>
      <c r="Z191" s="1" t="s">
        <v>947</v>
      </c>
      <c r="AB191" s="18" t="s">
        <v>1104</v>
      </c>
      <c r="AC191" s="1" t="s">
        <v>88</v>
      </c>
      <c r="AD191" s="27">
        <v>70</v>
      </c>
      <c r="AF191" s="2" t="s">
        <v>90</v>
      </c>
      <c r="AH191" s="1" t="s">
        <v>91</v>
      </c>
      <c r="AI191" s="1" t="s">
        <v>131</v>
      </c>
      <c r="AK191" s="1" t="s">
        <v>993</v>
      </c>
      <c r="AL191" s="1" t="s">
        <v>94</v>
      </c>
      <c r="AM191" s="1" t="s">
        <v>95</v>
      </c>
      <c r="AN191" s="2" t="s">
        <v>96</v>
      </c>
      <c r="AO191" s="1" t="s">
        <v>1106</v>
      </c>
      <c r="AP191" s="1" t="s">
        <v>1107</v>
      </c>
      <c r="AQ191" s="1" t="s">
        <v>1115</v>
      </c>
      <c r="AR191" s="1" t="s">
        <v>1116</v>
      </c>
      <c r="AS191" s="1" t="s">
        <v>1117</v>
      </c>
      <c r="AT191" s="1" t="s">
        <v>102</v>
      </c>
      <c r="AV191" s="1">
        <v>0</v>
      </c>
      <c r="AW191" s="1">
        <v>0</v>
      </c>
      <c r="AX191" s="1">
        <v>9</v>
      </c>
      <c r="AY191" s="1">
        <v>0</v>
      </c>
      <c r="BA191" s="1">
        <v>1.1333333333333333</v>
      </c>
      <c r="BB191" s="1">
        <v>1.7037037037037035</v>
      </c>
      <c r="BC191" s="1">
        <v>10</v>
      </c>
      <c r="BD191" s="1">
        <v>0.53875841617683495</v>
      </c>
      <c r="BF191" s="34" t="s">
        <v>1123</v>
      </c>
      <c r="BI191">
        <v>0</v>
      </c>
      <c r="BJ191">
        <v>0</v>
      </c>
      <c r="BK191">
        <v>0</v>
      </c>
      <c r="BL191">
        <v>1.1000000000000001</v>
      </c>
      <c r="BM191">
        <v>0</v>
      </c>
      <c r="BN191">
        <v>2.2999999999999998</v>
      </c>
    </row>
    <row r="192" spans="1:66" x14ac:dyDescent="0.2">
      <c r="A192" s="1" t="s">
        <v>1095</v>
      </c>
      <c r="B192" s="2" t="s">
        <v>1112</v>
      </c>
      <c r="C192" s="2" t="s">
        <v>1113</v>
      </c>
      <c r="D192" s="50" t="s">
        <v>1157</v>
      </c>
      <c r="E192" s="2" t="s">
        <v>1159</v>
      </c>
      <c r="F192" s="2" t="s">
        <v>102</v>
      </c>
      <c r="G192" s="1" t="s">
        <v>941</v>
      </c>
      <c r="H192" s="1" t="s">
        <v>1100</v>
      </c>
      <c r="J192" s="1" t="s">
        <v>1101</v>
      </c>
      <c r="L192" s="5" t="s">
        <v>77</v>
      </c>
      <c r="M192" s="2" t="s">
        <v>945</v>
      </c>
      <c r="N192" s="2" t="s">
        <v>126</v>
      </c>
      <c r="O192" s="27" t="s">
        <v>1102</v>
      </c>
      <c r="P192" s="1" t="s">
        <v>183</v>
      </c>
      <c r="Q192" s="1" t="s">
        <v>1103</v>
      </c>
      <c r="R192" s="1" t="s">
        <v>946</v>
      </c>
      <c r="S192" s="27">
        <v>21</v>
      </c>
      <c r="T192" s="1" t="s">
        <v>283</v>
      </c>
      <c r="W192" s="1" t="s">
        <v>217</v>
      </c>
      <c r="X192" s="27">
        <v>50</v>
      </c>
      <c r="Y192" s="27" t="s">
        <v>285</v>
      </c>
      <c r="Z192" s="1" t="s">
        <v>947</v>
      </c>
      <c r="AB192" s="18" t="s">
        <v>1104</v>
      </c>
      <c r="AC192" s="1" t="s">
        <v>288</v>
      </c>
      <c r="AD192" s="27">
        <v>70</v>
      </c>
      <c r="AF192" s="2" t="s">
        <v>90</v>
      </c>
      <c r="AH192" s="1" t="s">
        <v>91</v>
      </c>
      <c r="AI192" s="1" t="s">
        <v>131</v>
      </c>
      <c r="AK192" s="1" t="s">
        <v>993</v>
      </c>
      <c r="AL192" s="1" t="s">
        <v>94</v>
      </c>
      <c r="AM192" s="1" t="s">
        <v>95</v>
      </c>
      <c r="AN192" s="2" t="s">
        <v>96</v>
      </c>
      <c r="AO192" s="1" t="s">
        <v>1106</v>
      </c>
      <c r="AP192" s="1" t="s">
        <v>1107</v>
      </c>
      <c r="AQ192" s="1" t="s">
        <v>1108</v>
      </c>
      <c r="AR192" s="1" t="s">
        <v>1109</v>
      </c>
      <c r="AS192" s="1" t="s">
        <v>1110</v>
      </c>
      <c r="AT192" s="1" t="s">
        <v>102</v>
      </c>
      <c r="AV192" s="1">
        <v>5.1333333333333329</v>
      </c>
      <c r="AW192" s="1">
        <v>8.5925925925925917</v>
      </c>
      <c r="AX192" s="1">
        <v>10</v>
      </c>
      <c r="AY192" s="1">
        <v>2.7172163598483849</v>
      </c>
      <c r="BA192" s="1">
        <v>10.5</v>
      </c>
      <c r="BB192" s="1">
        <v>13.62962962962963</v>
      </c>
      <c r="BC192" s="1">
        <v>8</v>
      </c>
      <c r="BD192" s="1">
        <v>4.8188017680861011</v>
      </c>
      <c r="BF192" s="34" t="s">
        <v>1123</v>
      </c>
      <c r="BI192">
        <v>3.8</v>
      </c>
      <c r="BJ192">
        <v>0</v>
      </c>
      <c r="BK192">
        <v>11.6</v>
      </c>
      <c r="BL192">
        <v>7.3</v>
      </c>
      <c r="BM192">
        <v>2.9</v>
      </c>
      <c r="BN192">
        <v>21.3</v>
      </c>
    </row>
    <row r="193" spans="1:66" x14ac:dyDescent="0.2">
      <c r="A193" s="1" t="s">
        <v>1095</v>
      </c>
      <c r="B193" s="2" t="s">
        <v>1096</v>
      </c>
      <c r="C193" s="2" t="s">
        <v>1097</v>
      </c>
      <c r="D193" s="50" t="s">
        <v>1160</v>
      </c>
      <c r="E193" s="2" t="s">
        <v>1161</v>
      </c>
      <c r="F193" s="2" t="s">
        <v>102</v>
      </c>
      <c r="G193" s="1" t="s">
        <v>941</v>
      </c>
      <c r="H193" s="1" t="s">
        <v>1100</v>
      </c>
      <c r="J193" s="1" t="s">
        <v>1101</v>
      </c>
      <c r="L193" s="5" t="s">
        <v>77</v>
      </c>
      <c r="M193" s="2" t="s">
        <v>945</v>
      </c>
      <c r="N193" s="2" t="s">
        <v>126</v>
      </c>
      <c r="O193" s="27" t="s">
        <v>1102</v>
      </c>
      <c r="P193" s="1" t="s">
        <v>183</v>
      </c>
      <c r="Q193" s="1" t="s">
        <v>1103</v>
      </c>
      <c r="R193" s="1" t="s">
        <v>946</v>
      </c>
      <c r="S193" s="27">
        <v>21</v>
      </c>
      <c r="T193" s="1" t="s">
        <v>283</v>
      </c>
      <c r="W193" s="1" t="s">
        <v>217</v>
      </c>
      <c r="X193" s="27">
        <v>50</v>
      </c>
      <c r="Y193" s="27" t="s">
        <v>285</v>
      </c>
      <c r="Z193" s="1" t="s">
        <v>947</v>
      </c>
      <c r="AB193" s="18" t="s">
        <v>1104</v>
      </c>
      <c r="AC193" s="1" t="s">
        <v>88</v>
      </c>
      <c r="AD193" s="27">
        <v>70</v>
      </c>
      <c r="AF193" s="2" t="s">
        <v>90</v>
      </c>
      <c r="AH193" s="1" t="s">
        <v>91</v>
      </c>
      <c r="AI193" s="1" t="s">
        <v>131</v>
      </c>
      <c r="AK193" s="1" t="s">
        <v>1162</v>
      </c>
      <c r="AL193" s="1" t="s">
        <v>94</v>
      </c>
      <c r="AM193" s="1" t="s">
        <v>95</v>
      </c>
      <c r="AN193" s="2" t="s">
        <v>96</v>
      </c>
      <c r="AO193" s="1" t="s">
        <v>1106</v>
      </c>
      <c r="AP193" s="1" t="s">
        <v>1107</v>
      </c>
      <c r="AQ193" s="1" t="s">
        <v>1115</v>
      </c>
      <c r="AR193" s="1" t="s">
        <v>1116</v>
      </c>
      <c r="AS193" s="1" t="s">
        <v>1117</v>
      </c>
      <c r="AT193" s="1" t="s">
        <v>102</v>
      </c>
      <c r="AV193" s="1">
        <v>24.9</v>
      </c>
      <c r="AW193" s="1">
        <v>20.700000000000003</v>
      </c>
      <c r="AX193" s="1">
        <v>9</v>
      </c>
      <c r="AY193" s="1">
        <v>6.9</v>
      </c>
      <c r="BA193" s="1">
        <v>46.8</v>
      </c>
      <c r="BB193" s="1">
        <v>20.871032557111302</v>
      </c>
      <c r="BC193" s="1">
        <v>10</v>
      </c>
      <c r="BD193" s="1">
        <v>6.6</v>
      </c>
      <c r="BF193" s="34" t="s">
        <v>1111</v>
      </c>
      <c r="BI193"/>
      <c r="BJ193"/>
      <c r="BK193"/>
      <c r="BL193"/>
      <c r="BM193"/>
      <c r="BN193"/>
    </row>
    <row r="194" spans="1:66" x14ac:dyDescent="0.2">
      <c r="A194" s="1" t="s">
        <v>1095</v>
      </c>
      <c r="B194" s="2" t="s">
        <v>1112</v>
      </c>
      <c r="C194" s="2" t="s">
        <v>1113</v>
      </c>
      <c r="D194" s="50" t="s">
        <v>1160</v>
      </c>
      <c r="E194" s="2" t="s">
        <v>1163</v>
      </c>
      <c r="F194" s="2" t="s">
        <v>102</v>
      </c>
      <c r="G194" s="1" t="s">
        <v>941</v>
      </c>
      <c r="H194" s="1" t="s">
        <v>1100</v>
      </c>
      <c r="J194" s="1" t="s">
        <v>1101</v>
      </c>
      <c r="L194" s="5" t="s">
        <v>77</v>
      </c>
      <c r="M194" s="2" t="s">
        <v>945</v>
      </c>
      <c r="N194" s="2" t="s">
        <v>126</v>
      </c>
      <c r="O194" s="27" t="s">
        <v>1102</v>
      </c>
      <c r="P194" s="1" t="s">
        <v>183</v>
      </c>
      <c r="Q194" s="1" t="s">
        <v>1103</v>
      </c>
      <c r="R194" s="1" t="s">
        <v>946</v>
      </c>
      <c r="S194" s="27">
        <v>21</v>
      </c>
      <c r="T194" s="1" t="s">
        <v>283</v>
      </c>
      <c r="W194" s="1" t="s">
        <v>217</v>
      </c>
      <c r="X194" s="27">
        <v>50</v>
      </c>
      <c r="Y194" s="27" t="s">
        <v>285</v>
      </c>
      <c r="Z194" s="1" t="s">
        <v>947</v>
      </c>
      <c r="AB194" s="18" t="s">
        <v>1104</v>
      </c>
      <c r="AC194" s="1" t="s">
        <v>288</v>
      </c>
      <c r="AD194" s="27">
        <v>70</v>
      </c>
      <c r="AF194" s="2" t="s">
        <v>90</v>
      </c>
      <c r="AH194" s="1" t="s">
        <v>91</v>
      </c>
      <c r="AI194" s="1" t="s">
        <v>131</v>
      </c>
      <c r="AK194" s="1" t="s">
        <v>1162</v>
      </c>
      <c r="AL194" s="1" t="s">
        <v>94</v>
      </c>
      <c r="AM194" s="1" t="s">
        <v>95</v>
      </c>
      <c r="AN194" s="2" t="s">
        <v>96</v>
      </c>
      <c r="AO194" s="1" t="s">
        <v>1106</v>
      </c>
      <c r="AP194" s="1" t="s">
        <v>1107</v>
      </c>
      <c r="AQ194" s="1" t="s">
        <v>1108</v>
      </c>
      <c r="AR194" s="1" t="s">
        <v>1109</v>
      </c>
      <c r="AS194" s="1" t="s">
        <v>1110</v>
      </c>
      <c r="AT194" s="1" t="s">
        <v>102</v>
      </c>
      <c r="AV194" s="1">
        <v>24</v>
      </c>
      <c r="AW194" s="1">
        <v>14.862705002791385</v>
      </c>
      <c r="AX194" s="1">
        <v>10</v>
      </c>
      <c r="AY194" s="1">
        <v>4.7</v>
      </c>
      <c r="BA194" s="1">
        <v>29.7</v>
      </c>
      <c r="BB194" s="1">
        <v>28.56711395993652</v>
      </c>
      <c r="BC194" s="1">
        <v>8</v>
      </c>
      <c r="BD194" s="1">
        <v>10.1</v>
      </c>
      <c r="BF194" s="34" t="s">
        <v>1111</v>
      </c>
      <c r="BI194"/>
      <c r="BJ194"/>
      <c r="BK194"/>
      <c r="BL194"/>
      <c r="BM194"/>
      <c r="BN194"/>
    </row>
    <row r="195" spans="1:66" x14ac:dyDescent="0.2">
      <c r="A195" s="1" t="s">
        <v>1095</v>
      </c>
      <c r="B195" s="2" t="s">
        <v>1096</v>
      </c>
      <c r="C195" s="2" t="s">
        <v>1097</v>
      </c>
      <c r="D195" s="50" t="s">
        <v>1164</v>
      </c>
      <c r="E195" s="2" t="s">
        <v>1165</v>
      </c>
      <c r="F195" s="2" t="s">
        <v>102</v>
      </c>
      <c r="G195" s="1" t="s">
        <v>941</v>
      </c>
      <c r="H195" s="1" t="s">
        <v>1100</v>
      </c>
      <c r="J195" s="1" t="s">
        <v>1101</v>
      </c>
      <c r="L195" s="5" t="s">
        <v>77</v>
      </c>
      <c r="M195" s="2" t="s">
        <v>945</v>
      </c>
      <c r="N195" s="2" t="s">
        <v>126</v>
      </c>
      <c r="O195" s="27" t="s">
        <v>1102</v>
      </c>
      <c r="P195" s="1" t="s">
        <v>183</v>
      </c>
      <c r="Q195" s="1" t="s">
        <v>1103</v>
      </c>
      <c r="R195" s="1" t="s">
        <v>946</v>
      </c>
      <c r="S195" s="27">
        <v>21</v>
      </c>
      <c r="T195" s="1" t="s">
        <v>283</v>
      </c>
      <c r="W195" s="1" t="s">
        <v>217</v>
      </c>
      <c r="X195" s="27">
        <v>50</v>
      </c>
      <c r="Y195" s="27" t="s">
        <v>285</v>
      </c>
      <c r="Z195" s="1" t="s">
        <v>947</v>
      </c>
      <c r="AB195" s="18" t="s">
        <v>1104</v>
      </c>
      <c r="AC195" s="1" t="s">
        <v>88</v>
      </c>
      <c r="AD195" s="27">
        <v>70</v>
      </c>
      <c r="AF195" s="2" t="s">
        <v>90</v>
      </c>
      <c r="AH195" s="1" t="s">
        <v>91</v>
      </c>
      <c r="AI195" s="1" t="s">
        <v>131</v>
      </c>
      <c r="AK195" s="1" t="s">
        <v>404</v>
      </c>
      <c r="AL195" s="1" t="s">
        <v>107</v>
      </c>
      <c r="AM195" s="1" t="s">
        <v>107</v>
      </c>
      <c r="AN195" s="2" t="s">
        <v>96</v>
      </c>
      <c r="AO195" s="1" t="s">
        <v>1106</v>
      </c>
      <c r="AP195" s="1" t="s">
        <v>1107</v>
      </c>
      <c r="AQ195" s="1" t="s">
        <v>1115</v>
      </c>
      <c r="AR195" s="1" t="s">
        <v>1116</v>
      </c>
      <c r="AS195" s="1" t="s">
        <v>1117</v>
      </c>
      <c r="AT195" s="1" t="s">
        <v>102</v>
      </c>
      <c r="AV195" s="1">
        <v>3</v>
      </c>
      <c r="AW195" s="1">
        <v>1.4814814814814814</v>
      </c>
      <c r="AX195" s="1">
        <v>9</v>
      </c>
      <c r="AY195" s="1">
        <v>0.49382716049382713</v>
      </c>
      <c r="BA195" s="1">
        <v>2.5666666666666669</v>
      </c>
      <c r="BB195" s="1">
        <v>2.4444444444444442</v>
      </c>
      <c r="BC195" s="1">
        <v>10</v>
      </c>
      <c r="BD195" s="1">
        <v>0.77300120581893705</v>
      </c>
      <c r="BF195" s="34" t="s">
        <v>1123</v>
      </c>
      <c r="BI195">
        <v>3</v>
      </c>
      <c r="BJ195">
        <v>2</v>
      </c>
      <c r="BK195">
        <v>4</v>
      </c>
      <c r="BL195">
        <v>2</v>
      </c>
      <c r="BM195">
        <v>1.2</v>
      </c>
      <c r="BN195">
        <v>4.5</v>
      </c>
    </row>
    <row r="196" spans="1:66" x14ac:dyDescent="0.2">
      <c r="A196" s="1" t="s">
        <v>1095</v>
      </c>
      <c r="B196" s="2" t="s">
        <v>1112</v>
      </c>
      <c r="C196" s="2" t="s">
        <v>1113</v>
      </c>
      <c r="D196" s="50" t="s">
        <v>1164</v>
      </c>
      <c r="E196" s="2" t="s">
        <v>1166</v>
      </c>
      <c r="F196" s="2" t="s">
        <v>102</v>
      </c>
      <c r="G196" s="1" t="s">
        <v>941</v>
      </c>
      <c r="H196" s="1" t="s">
        <v>1100</v>
      </c>
      <c r="J196" s="1" t="s">
        <v>1101</v>
      </c>
      <c r="L196" s="5" t="s">
        <v>77</v>
      </c>
      <c r="M196" s="2" t="s">
        <v>945</v>
      </c>
      <c r="N196" s="2" t="s">
        <v>126</v>
      </c>
      <c r="O196" s="27" t="s">
        <v>1102</v>
      </c>
      <c r="P196" s="1" t="s">
        <v>183</v>
      </c>
      <c r="Q196" s="1" t="s">
        <v>1103</v>
      </c>
      <c r="R196" s="1" t="s">
        <v>946</v>
      </c>
      <c r="S196" s="27">
        <v>21</v>
      </c>
      <c r="T196" s="1" t="s">
        <v>283</v>
      </c>
      <c r="W196" s="1" t="s">
        <v>217</v>
      </c>
      <c r="X196" s="27">
        <v>50</v>
      </c>
      <c r="Y196" s="27" t="s">
        <v>285</v>
      </c>
      <c r="Z196" s="1" t="s">
        <v>947</v>
      </c>
      <c r="AB196" s="18" t="s">
        <v>1104</v>
      </c>
      <c r="AC196" s="1" t="s">
        <v>288</v>
      </c>
      <c r="AD196" s="27">
        <v>70</v>
      </c>
      <c r="AF196" s="2" t="s">
        <v>90</v>
      </c>
      <c r="AH196" s="1" t="s">
        <v>91</v>
      </c>
      <c r="AI196" s="1" t="s">
        <v>131</v>
      </c>
      <c r="AK196" s="1" t="s">
        <v>404</v>
      </c>
      <c r="AL196" s="1" t="s">
        <v>107</v>
      </c>
      <c r="AM196" s="1" t="s">
        <v>107</v>
      </c>
      <c r="AN196" s="2" t="s">
        <v>96</v>
      </c>
      <c r="AO196" s="1" t="s">
        <v>1106</v>
      </c>
      <c r="AP196" s="1" t="s">
        <v>1107</v>
      </c>
      <c r="AQ196" s="1" t="s">
        <v>1108</v>
      </c>
      <c r="AR196" s="1" t="s">
        <v>1109</v>
      </c>
      <c r="AS196" s="1" t="s">
        <v>1110</v>
      </c>
      <c r="AT196" s="1" t="s">
        <v>102</v>
      </c>
      <c r="AV196" s="1">
        <v>3.4</v>
      </c>
      <c r="AW196" s="1">
        <v>1.333333333333333</v>
      </c>
      <c r="AX196" s="1">
        <v>10</v>
      </c>
      <c r="AY196" s="1">
        <v>0.42163702135578379</v>
      </c>
      <c r="BA196" s="1">
        <v>2.9666666666666668</v>
      </c>
      <c r="BB196" s="1">
        <v>3.7037037037037033</v>
      </c>
      <c r="BC196" s="1">
        <v>8</v>
      </c>
      <c r="BD196" s="1">
        <v>1.30945700219731</v>
      </c>
      <c r="BF196" s="34" t="s">
        <v>1123</v>
      </c>
      <c r="BI196">
        <v>4</v>
      </c>
      <c r="BJ196">
        <v>2.2000000000000002</v>
      </c>
      <c r="BK196">
        <v>4</v>
      </c>
      <c r="BL196">
        <v>2.5</v>
      </c>
      <c r="BM196">
        <v>0.7</v>
      </c>
      <c r="BN196">
        <v>5.7</v>
      </c>
    </row>
    <row r="197" spans="1:66" x14ac:dyDescent="0.2">
      <c r="A197" s="1" t="s">
        <v>1095</v>
      </c>
      <c r="B197" s="2" t="s">
        <v>1096</v>
      </c>
      <c r="C197" s="2" t="s">
        <v>1097</v>
      </c>
      <c r="D197" s="50" t="s">
        <v>1167</v>
      </c>
      <c r="E197" s="2" t="s">
        <v>1168</v>
      </c>
      <c r="F197" s="2" t="s">
        <v>102</v>
      </c>
      <c r="G197" s="1" t="s">
        <v>941</v>
      </c>
      <c r="H197" s="1" t="s">
        <v>1100</v>
      </c>
      <c r="J197" s="1" t="s">
        <v>1101</v>
      </c>
      <c r="L197" s="5" t="s">
        <v>77</v>
      </c>
      <c r="M197" s="2" t="s">
        <v>945</v>
      </c>
      <c r="N197" s="2" t="s">
        <v>126</v>
      </c>
      <c r="O197" s="27" t="s">
        <v>1102</v>
      </c>
      <c r="P197" s="1" t="s">
        <v>183</v>
      </c>
      <c r="Q197" s="1" t="s">
        <v>1103</v>
      </c>
      <c r="R197" s="1" t="s">
        <v>946</v>
      </c>
      <c r="S197" s="27">
        <v>21</v>
      </c>
      <c r="T197" s="1" t="s">
        <v>283</v>
      </c>
      <c r="W197" s="1" t="s">
        <v>217</v>
      </c>
      <c r="X197" s="27">
        <v>50</v>
      </c>
      <c r="Y197" s="27" t="s">
        <v>285</v>
      </c>
      <c r="Z197" s="1" t="s">
        <v>947</v>
      </c>
      <c r="AB197" s="18" t="s">
        <v>1104</v>
      </c>
      <c r="AC197" s="1" t="s">
        <v>88</v>
      </c>
      <c r="AD197" s="27">
        <v>70</v>
      </c>
      <c r="AF197" s="2" t="s">
        <v>90</v>
      </c>
      <c r="AH197" s="1" t="s">
        <v>91</v>
      </c>
      <c r="AI197" s="1" t="s">
        <v>131</v>
      </c>
      <c r="AK197" s="1" t="s">
        <v>340</v>
      </c>
      <c r="AL197" s="1" t="s">
        <v>134</v>
      </c>
      <c r="AM197" s="1" t="s">
        <v>135</v>
      </c>
      <c r="AN197" s="2" t="s">
        <v>96</v>
      </c>
      <c r="AO197" s="1" t="s">
        <v>1106</v>
      </c>
      <c r="AP197" s="1" t="s">
        <v>1107</v>
      </c>
      <c r="AQ197" s="1" t="s">
        <v>1115</v>
      </c>
      <c r="AR197" s="1" t="s">
        <v>1116</v>
      </c>
      <c r="AS197" s="1" t="s">
        <v>1117</v>
      </c>
      <c r="AT197" s="1" t="s">
        <v>102</v>
      </c>
      <c r="AV197" s="1">
        <v>6.8</v>
      </c>
      <c r="AW197" s="1">
        <v>5.4</v>
      </c>
      <c r="AX197" s="1">
        <v>9</v>
      </c>
      <c r="AY197" s="1">
        <v>1.8</v>
      </c>
      <c r="BA197" s="1">
        <v>20.9</v>
      </c>
      <c r="BB197" s="1">
        <v>15.17893276880822</v>
      </c>
      <c r="BC197" s="1">
        <v>10</v>
      </c>
      <c r="BD197" s="1">
        <v>4.8</v>
      </c>
      <c r="BF197" s="34" t="s">
        <v>1111</v>
      </c>
      <c r="BI197"/>
      <c r="BJ197"/>
      <c r="BK197"/>
      <c r="BL197"/>
      <c r="BM197"/>
      <c r="BN197"/>
    </row>
    <row r="198" spans="1:66" x14ac:dyDescent="0.2">
      <c r="A198" s="1" t="s">
        <v>1095</v>
      </c>
      <c r="B198" s="2" t="s">
        <v>1112</v>
      </c>
      <c r="C198" s="2" t="s">
        <v>1113</v>
      </c>
      <c r="D198" s="50" t="s">
        <v>1167</v>
      </c>
      <c r="E198" s="2" t="s">
        <v>1169</v>
      </c>
      <c r="F198" s="2" t="s">
        <v>102</v>
      </c>
      <c r="G198" s="1" t="s">
        <v>941</v>
      </c>
      <c r="H198" s="1" t="s">
        <v>1100</v>
      </c>
      <c r="J198" s="1" t="s">
        <v>1101</v>
      </c>
      <c r="L198" s="5" t="s">
        <v>77</v>
      </c>
      <c r="M198" s="2" t="s">
        <v>945</v>
      </c>
      <c r="N198" s="2" t="s">
        <v>126</v>
      </c>
      <c r="O198" s="27" t="s">
        <v>1102</v>
      </c>
      <c r="P198" s="1" t="s">
        <v>183</v>
      </c>
      <c r="Q198" s="1" t="s">
        <v>1103</v>
      </c>
      <c r="R198" s="1" t="s">
        <v>946</v>
      </c>
      <c r="S198" s="27">
        <v>21</v>
      </c>
      <c r="T198" s="1" t="s">
        <v>283</v>
      </c>
      <c r="W198" s="1" t="s">
        <v>217</v>
      </c>
      <c r="X198" s="27">
        <v>50</v>
      </c>
      <c r="Y198" s="27" t="s">
        <v>285</v>
      </c>
      <c r="Z198" s="1" t="s">
        <v>947</v>
      </c>
      <c r="AB198" s="18" t="s">
        <v>1104</v>
      </c>
      <c r="AC198" s="1" t="s">
        <v>288</v>
      </c>
      <c r="AD198" s="27">
        <v>70</v>
      </c>
      <c r="AF198" s="2" t="s">
        <v>90</v>
      </c>
      <c r="AH198" s="1" t="s">
        <v>91</v>
      </c>
      <c r="AI198" s="1" t="s">
        <v>131</v>
      </c>
      <c r="AK198" s="1" t="s">
        <v>340</v>
      </c>
      <c r="AL198" s="1" t="s">
        <v>134</v>
      </c>
      <c r="AM198" s="1" t="s">
        <v>135</v>
      </c>
      <c r="AN198" s="2" t="s">
        <v>96</v>
      </c>
      <c r="AO198" s="1" t="s">
        <v>1106</v>
      </c>
      <c r="AP198" s="1" t="s">
        <v>1107</v>
      </c>
      <c r="AQ198" s="1" t="s">
        <v>1108</v>
      </c>
      <c r="AR198" s="1" t="s">
        <v>1109</v>
      </c>
      <c r="AS198" s="1" t="s">
        <v>1110</v>
      </c>
      <c r="AT198" s="1" t="s">
        <v>102</v>
      </c>
      <c r="AV198" s="1">
        <v>6.4</v>
      </c>
      <c r="AW198" s="1">
        <v>2.8460498941515415</v>
      </c>
      <c r="AX198" s="1">
        <v>10</v>
      </c>
      <c r="AY198" s="1">
        <v>0.9</v>
      </c>
      <c r="BA198" s="1">
        <v>8.8000000000000007</v>
      </c>
      <c r="BB198" s="1">
        <v>8.2024386617639511</v>
      </c>
      <c r="BC198" s="1">
        <v>8</v>
      </c>
      <c r="BD198" s="1">
        <v>2.9</v>
      </c>
      <c r="BF198" s="34" t="s">
        <v>1111</v>
      </c>
      <c r="BI198"/>
      <c r="BJ198"/>
      <c r="BK198"/>
      <c r="BL198"/>
      <c r="BM198"/>
      <c r="BN198"/>
    </row>
    <row r="199" spans="1:66" x14ac:dyDescent="0.2">
      <c r="A199" s="1" t="s">
        <v>1095</v>
      </c>
      <c r="B199" s="2" t="s">
        <v>1096</v>
      </c>
      <c r="C199" s="2" t="s">
        <v>1097</v>
      </c>
      <c r="D199" s="50" t="s">
        <v>1170</v>
      </c>
      <c r="E199" s="2" t="s">
        <v>1171</v>
      </c>
      <c r="F199" s="2" t="s">
        <v>102</v>
      </c>
      <c r="G199" s="1" t="s">
        <v>941</v>
      </c>
      <c r="H199" s="1" t="s">
        <v>1100</v>
      </c>
      <c r="J199" s="1" t="s">
        <v>1101</v>
      </c>
      <c r="L199" s="5" t="s">
        <v>77</v>
      </c>
      <c r="M199" s="2" t="s">
        <v>945</v>
      </c>
      <c r="N199" s="2" t="s">
        <v>126</v>
      </c>
      <c r="O199" s="27" t="s">
        <v>1102</v>
      </c>
      <c r="P199" s="1" t="s">
        <v>183</v>
      </c>
      <c r="Q199" s="1" t="s">
        <v>1103</v>
      </c>
      <c r="R199" s="1" t="s">
        <v>946</v>
      </c>
      <c r="S199" s="27">
        <v>21</v>
      </c>
      <c r="T199" s="1" t="s">
        <v>283</v>
      </c>
      <c r="W199" s="1" t="s">
        <v>217</v>
      </c>
      <c r="X199" s="27">
        <v>50</v>
      </c>
      <c r="Y199" s="27" t="s">
        <v>285</v>
      </c>
      <c r="Z199" s="1" t="s">
        <v>947</v>
      </c>
      <c r="AB199" s="18" t="s">
        <v>1104</v>
      </c>
      <c r="AC199" s="1" t="s">
        <v>88</v>
      </c>
      <c r="AD199" s="27">
        <v>80</v>
      </c>
      <c r="AF199" s="2" t="s">
        <v>90</v>
      </c>
      <c r="AH199" s="1" t="s">
        <v>416</v>
      </c>
      <c r="AI199" s="1" t="s">
        <v>430</v>
      </c>
      <c r="AK199" s="1" t="s">
        <v>1086</v>
      </c>
      <c r="AL199" s="1" t="s">
        <v>134</v>
      </c>
      <c r="AM199" s="1" t="s">
        <v>135</v>
      </c>
      <c r="AN199" s="2" t="s">
        <v>96</v>
      </c>
      <c r="AO199" s="1" t="s">
        <v>1106</v>
      </c>
      <c r="AP199" s="1" t="s">
        <v>1107</v>
      </c>
      <c r="AQ199" s="1" t="s">
        <v>1115</v>
      </c>
      <c r="AR199" s="1" t="s">
        <v>1116</v>
      </c>
      <c r="AS199" s="1" t="s">
        <v>1117</v>
      </c>
      <c r="AT199" s="1" t="s">
        <v>71</v>
      </c>
      <c r="AV199" s="1">
        <v>63.5</v>
      </c>
      <c r="AW199" s="1">
        <v>17.399999999999999</v>
      </c>
      <c r="AX199" s="1">
        <v>9</v>
      </c>
      <c r="AY199" s="1">
        <v>5.8</v>
      </c>
      <c r="BA199" s="1">
        <v>60.3</v>
      </c>
      <c r="BB199" s="1">
        <v>13.914021704740872</v>
      </c>
      <c r="BC199" s="1">
        <v>10</v>
      </c>
      <c r="BD199" s="1">
        <v>4.4000000000000004</v>
      </c>
      <c r="BF199" s="34" t="s">
        <v>1111</v>
      </c>
      <c r="BI199"/>
      <c r="BJ199"/>
      <c r="BK199"/>
      <c r="BL199"/>
      <c r="BM199"/>
      <c r="BN199"/>
    </row>
    <row r="200" spans="1:66" x14ac:dyDescent="0.2">
      <c r="A200" s="1" t="s">
        <v>1095</v>
      </c>
      <c r="B200" s="2" t="s">
        <v>1112</v>
      </c>
      <c r="C200" s="2" t="s">
        <v>1113</v>
      </c>
      <c r="D200" s="50" t="s">
        <v>1170</v>
      </c>
      <c r="E200" s="2" t="s">
        <v>1172</v>
      </c>
      <c r="F200" s="2" t="s">
        <v>102</v>
      </c>
      <c r="G200" s="1" t="s">
        <v>941</v>
      </c>
      <c r="H200" s="1" t="s">
        <v>1100</v>
      </c>
      <c r="J200" s="1" t="s">
        <v>1101</v>
      </c>
      <c r="L200" s="5" t="s">
        <v>77</v>
      </c>
      <c r="M200" s="2" t="s">
        <v>945</v>
      </c>
      <c r="N200" s="2" t="s">
        <v>126</v>
      </c>
      <c r="O200" s="27" t="s">
        <v>1102</v>
      </c>
      <c r="P200" s="1" t="s">
        <v>183</v>
      </c>
      <c r="Q200" s="1" t="s">
        <v>1103</v>
      </c>
      <c r="R200" s="1" t="s">
        <v>946</v>
      </c>
      <c r="S200" s="27">
        <v>21</v>
      </c>
      <c r="T200" s="1" t="s">
        <v>283</v>
      </c>
      <c r="W200" s="1" t="s">
        <v>217</v>
      </c>
      <c r="X200" s="27">
        <v>50</v>
      </c>
      <c r="Y200" s="27" t="s">
        <v>285</v>
      </c>
      <c r="Z200" s="1" t="s">
        <v>947</v>
      </c>
      <c r="AB200" s="18" t="s">
        <v>1104</v>
      </c>
      <c r="AC200" s="1" t="s">
        <v>288</v>
      </c>
      <c r="AD200" s="27">
        <v>80</v>
      </c>
      <c r="AF200" s="2" t="s">
        <v>90</v>
      </c>
      <c r="AH200" s="1" t="s">
        <v>416</v>
      </c>
      <c r="AI200" s="1" t="s">
        <v>430</v>
      </c>
      <c r="AK200" s="1" t="s">
        <v>1086</v>
      </c>
      <c r="AL200" s="1" t="s">
        <v>134</v>
      </c>
      <c r="AM200" s="1" t="s">
        <v>135</v>
      </c>
      <c r="AN200" s="2" t="s">
        <v>96</v>
      </c>
      <c r="AO200" s="1" t="s">
        <v>1106</v>
      </c>
      <c r="AP200" s="1" t="s">
        <v>1107</v>
      </c>
      <c r="AQ200" s="1" t="s">
        <v>1108</v>
      </c>
      <c r="AR200" s="1" t="s">
        <v>1109</v>
      </c>
      <c r="AS200" s="1" t="s">
        <v>1110</v>
      </c>
      <c r="AT200" s="1" t="s">
        <v>71</v>
      </c>
      <c r="AV200" s="1">
        <v>62.3</v>
      </c>
      <c r="AW200" s="1">
        <v>21.187260323128143</v>
      </c>
      <c r="AX200" s="1">
        <v>10</v>
      </c>
      <c r="AY200" s="1">
        <v>6.7</v>
      </c>
      <c r="BA200" s="1">
        <v>83.4</v>
      </c>
      <c r="BB200" s="1">
        <v>11.313708498984761</v>
      </c>
      <c r="BC200" s="1">
        <v>8</v>
      </c>
      <c r="BD200" s="1">
        <v>4</v>
      </c>
      <c r="BF200" s="34" t="s">
        <v>1111</v>
      </c>
      <c r="BI200"/>
      <c r="BJ200"/>
      <c r="BK200"/>
      <c r="BL200"/>
      <c r="BM200"/>
      <c r="BN200"/>
    </row>
    <row r="201" spans="1:66" x14ac:dyDescent="0.2">
      <c r="A201" s="1" t="s">
        <v>1095</v>
      </c>
      <c r="B201" s="2" t="s">
        <v>1096</v>
      </c>
      <c r="C201" s="2" t="s">
        <v>1097</v>
      </c>
      <c r="D201" s="50" t="s">
        <v>1173</v>
      </c>
      <c r="E201" s="2" t="s">
        <v>1174</v>
      </c>
      <c r="F201" s="2" t="s">
        <v>102</v>
      </c>
      <c r="G201" s="1" t="s">
        <v>941</v>
      </c>
      <c r="H201" s="1" t="s">
        <v>1100</v>
      </c>
      <c r="J201" s="1" t="s">
        <v>1101</v>
      </c>
      <c r="L201" s="5" t="s">
        <v>77</v>
      </c>
      <c r="M201" s="2" t="s">
        <v>945</v>
      </c>
      <c r="N201" s="2" t="s">
        <v>126</v>
      </c>
      <c r="O201" s="27" t="s">
        <v>1102</v>
      </c>
      <c r="P201" s="1" t="s">
        <v>183</v>
      </c>
      <c r="Q201" s="1" t="s">
        <v>1103</v>
      </c>
      <c r="R201" s="1" t="s">
        <v>946</v>
      </c>
      <c r="S201" s="27">
        <v>21</v>
      </c>
      <c r="T201" s="1" t="s">
        <v>283</v>
      </c>
      <c r="W201" s="1" t="s">
        <v>217</v>
      </c>
      <c r="X201" s="27">
        <v>50</v>
      </c>
      <c r="Y201" s="27" t="s">
        <v>285</v>
      </c>
      <c r="Z201" s="1" t="s">
        <v>947</v>
      </c>
      <c r="AB201" s="18" t="s">
        <v>1104</v>
      </c>
      <c r="AC201" s="1" t="s">
        <v>88</v>
      </c>
      <c r="AD201" s="27">
        <v>95</v>
      </c>
      <c r="AF201" s="2" t="s">
        <v>90</v>
      </c>
      <c r="AH201" s="1" t="s">
        <v>416</v>
      </c>
      <c r="AI201" s="1" t="s">
        <v>1075</v>
      </c>
      <c r="AK201" s="1" t="s">
        <v>1175</v>
      </c>
      <c r="AL201" s="1" t="s">
        <v>94</v>
      </c>
      <c r="AM201" s="1" t="s">
        <v>95</v>
      </c>
      <c r="AN201" s="2" t="s">
        <v>96</v>
      </c>
      <c r="AO201" s="1" t="s">
        <v>1106</v>
      </c>
      <c r="AP201" s="1" t="s">
        <v>1107</v>
      </c>
      <c r="AQ201" s="1" t="s">
        <v>1115</v>
      </c>
      <c r="AR201" s="1" t="s">
        <v>1116</v>
      </c>
      <c r="AS201" s="1" t="s">
        <v>1117</v>
      </c>
      <c r="AT201" s="1" t="s">
        <v>102</v>
      </c>
      <c r="AV201" s="1">
        <v>111.33333333333333</v>
      </c>
      <c r="AW201" s="1">
        <v>45.925925925925924</v>
      </c>
      <c r="AX201" s="1">
        <v>9</v>
      </c>
      <c r="AY201" s="1">
        <v>15.308641975308641</v>
      </c>
      <c r="BA201" s="1">
        <v>135.33333333333334</v>
      </c>
      <c r="BB201" s="1">
        <v>45.925925925925924</v>
      </c>
      <c r="BC201" s="1">
        <v>10</v>
      </c>
      <c r="BD201" s="1">
        <v>14.523052957810334</v>
      </c>
      <c r="BF201" s="34" t="s">
        <v>1123</v>
      </c>
      <c r="BI201">
        <v>110</v>
      </c>
      <c r="BJ201">
        <v>81</v>
      </c>
      <c r="BK201">
        <v>143</v>
      </c>
      <c r="BL201">
        <v>140</v>
      </c>
      <c r="BM201">
        <v>102</v>
      </c>
      <c r="BN201">
        <v>164</v>
      </c>
    </row>
    <row r="202" spans="1:66" x14ac:dyDescent="0.2">
      <c r="A202" s="1" t="s">
        <v>1095</v>
      </c>
      <c r="B202" s="2" t="s">
        <v>1112</v>
      </c>
      <c r="C202" s="2" t="s">
        <v>1113</v>
      </c>
      <c r="D202" s="50" t="s">
        <v>1173</v>
      </c>
      <c r="E202" s="2" t="s">
        <v>1176</v>
      </c>
      <c r="F202" s="2" t="s">
        <v>102</v>
      </c>
      <c r="G202" s="1" t="s">
        <v>941</v>
      </c>
      <c r="H202" s="1" t="s">
        <v>1100</v>
      </c>
      <c r="J202" s="1" t="s">
        <v>1101</v>
      </c>
      <c r="L202" s="5" t="s">
        <v>77</v>
      </c>
      <c r="M202" s="2" t="s">
        <v>945</v>
      </c>
      <c r="N202" s="2" t="s">
        <v>126</v>
      </c>
      <c r="O202" s="27" t="s">
        <v>1102</v>
      </c>
      <c r="P202" s="1" t="s">
        <v>183</v>
      </c>
      <c r="Q202" s="1" t="s">
        <v>1103</v>
      </c>
      <c r="R202" s="1" t="s">
        <v>946</v>
      </c>
      <c r="S202" s="27">
        <v>21</v>
      </c>
      <c r="T202" s="1" t="s">
        <v>283</v>
      </c>
      <c r="W202" s="1" t="s">
        <v>217</v>
      </c>
      <c r="X202" s="27">
        <v>50</v>
      </c>
      <c r="Y202" s="27" t="s">
        <v>285</v>
      </c>
      <c r="Z202" s="1" t="s">
        <v>947</v>
      </c>
      <c r="AB202" s="18" t="s">
        <v>1104</v>
      </c>
      <c r="AC202" s="1" t="s">
        <v>288</v>
      </c>
      <c r="AD202" s="27">
        <v>95</v>
      </c>
      <c r="AF202" s="2" t="s">
        <v>90</v>
      </c>
      <c r="AH202" s="1" t="s">
        <v>416</v>
      </c>
      <c r="AI202" s="1" t="s">
        <v>1075</v>
      </c>
      <c r="AK202" s="1" t="s">
        <v>1177</v>
      </c>
      <c r="AL202" s="1" t="s">
        <v>94</v>
      </c>
      <c r="AM202" s="1" t="s">
        <v>95</v>
      </c>
      <c r="AN202" s="2" t="s">
        <v>96</v>
      </c>
      <c r="AO202" s="1" t="s">
        <v>1106</v>
      </c>
      <c r="AP202" s="1" t="s">
        <v>1107</v>
      </c>
      <c r="AQ202" s="1" t="s">
        <v>1108</v>
      </c>
      <c r="AR202" s="1" t="s">
        <v>1109</v>
      </c>
      <c r="AS202" s="1" t="s">
        <v>1110</v>
      </c>
      <c r="AT202" s="1" t="s">
        <v>102</v>
      </c>
      <c r="AV202" s="1">
        <v>64</v>
      </c>
      <c r="AW202" s="1">
        <v>28.148148148148145</v>
      </c>
      <c r="AX202" s="1">
        <v>10</v>
      </c>
      <c r="AY202" s="1">
        <v>8.9012260063998809</v>
      </c>
      <c r="BA202" s="1">
        <v>98.666666666666671</v>
      </c>
      <c r="BB202" s="1">
        <v>16.296296296296294</v>
      </c>
      <c r="BC202" s="1">
        <v>8</v>
      </c>
      <c r="BD202" s="1">
        <v>5.7616108096681637</v>
      </c>
      <c r="BF202" s="34" t="s">
        <v>1123</v>
      </c>
      <c r="BI202">
        <v>64</v>
      </c>
      <c r="BJ202">
        <v>45</v>
      </c>
      <c r="BK202">
        <v>83</v>
      </c>
      <c r="BL202">
        <v>100</v>
      </c>
      <c r="BM202">
        <v>87</v>
      </c>
      <c r="BN202">
        <v>109</v>
      </c>
    </row>
    <row r="203" spans="1:66" x14ac:dyDescent="0.2">
      <c r="A203" s="1" t="s">
        <v>1095</v>
      </c>
      <c r="B203" s="2" t="s">
        <v>1096</v>
      </c>
      <c r="C203" s="2" t="s">
        <v>1097</v>
      </c>
      <c r="D203" s="50" t="s">
        <v>1178</v>
      </c>
      <c r="E203" s="2" t="s">
        <v>1179</v>
      </c>
      <c r="F203" s="2" t="s">
        <v>102</v>
      </c>
      <c r="G203" s="1" t="s">
        <v>941</v>
      </c>
      <c r="H203" s="1" t="s">
        <v>1100</v>
      </c>
      <c r="J203" s="1" t="s">
        <v>1101</v>
      </c>
      <c r="L203" s="5" t="s">
        <v>77</v>
      </c>
      <c r="M203" s="2" t="s">
        <v>945</v>
      </c>
      <c r="N203" s="2" t="s">
        <v>126</v>
      </c>
      <c r="O203" s="27" t="s">
        <v>1102</v>
      </c>
      <c r="P203" s="1" t="s">
        <v>183</v>
      </c>
      <c r="Q203" s="1" t="s">
        <v>1103</v>
      </c>
      <c r="R203" s="1" t="s">
        <v>946</v>
      </c>
      <c r="S203" s="27">
        <v>21</v>
      </c>
      <c r="T203" s="1" t="s">
        <v>283</v>
      </c>
      <c r="W203" s="1" t="s">
        <v>217</v>
      </c>
      <c r="X203" s="27">
        <v>50</v>
      </c>
      <c r="Y203" s="27" t="s">
        <v>285</v>
      </c>
      <c r="Z203" s="1" t="s">
        <v>947</v>
      </c>
      <c r="AB203" s="18" t="s">
        <v>1104</v>
      </c>
      <c r="AC203" s="1" t="s">
        <v>88</v>
      </c>
      <c r="AD203" s="27">
        <v>95</v>
      </c>
      <c r="AF203" s="2" t="s">
        <v>90</v>
      </c>
      <c r="AH203" s="1" t="s">
        <v>416</v>
      </c>
      <c r="AI203" s="1" t="s">
        <v>1075</v>
      </c>
      <c r="AK203" s="1" t="s">
        <v>1180</v>
      </c>
      <c r="AL203" s="1" t="s">
        <v>94</v>
      </c>
      <c r="AM203" s="1" t="s">
        <v>95</v>
      </c>
      <c r="AN203" s="2" t="s">
        <v>96</v>
      </c>
      <c r="AO203" s="1" t="s">
        <v>1106</v>
      </c>
      <c r="AP203" s="1" t="s">
        <v>1107</v>
      </c>
      <c r="AQ203" s="1" t="s">
        <v>1115</v>
      </c>
      <c r="AR203" s="1" t="s">
        <v>1116</v>
      </c>
      <c r="AS203" s="1" t="s">
        <v>1117</v>
      </c>
      <c r="AT203" s="1" t="s">
        <v>102</v>
      </c>
      <c r="AV203" s="1">
        <v>202</v>
      </c>
      <c r="AW203" s="1">
        <v>39</v>
      </c>
      <c r="AX203" s="1">
        <v>9</v>
      </c>
      <c r="AY203" s="1">
        <v>13</v>
      </c>
      <c r="BA203" s="1">
        <v>201</v>
      </c>
      <c r="BB203" s="1">
        <v>34.785054261852174</v>
      </c>
      <c r="BC203" s="1">
        <v>10</v>
      </c>
      <c r="BD203" s="1">
        <v>11</v>
      </c>
      <c r="BF203" s="34" t="s">
        <v>1111</v>
      </c>
      <c r="BI203"/>
      <c r="BJ203"/>
      <c r="BK203"/>
      <c r="BL203"/>
      <c r="BM203"/>
      <c r="BN203"/>
    </row>
    <row r="204" spans="1:66" x14ac:dyDescent="0.2">
      <c r="A204" s="1" t="s">
        <v>1095</v>
      </c>
      <c r="B204" s="2" t="s">
        <v>1112</v>
      </c>
      <c r="C204" s="2" t="s">
        <v>1113</v>
      </c>
      <c r="D204" s="50" t="s">
        <v>1178</v>
      </c>
      <c r="E204" s="2" t="s">
        <v>1181</v>
      </c>
      <c r="F204" s="2" t="s">
        <v>102</v>
      </c>
      <c r="G204" s="1" t="s">
        <v>941</v>
      </c>
      <c r="H204" s="1" t="s">
        <v>1100</v>
      </c>
      <c r="J204" s="1" t="s">
        <v>1101</v>
      </c>
      <c r="L204" s="5" t="s">
        <v>77</v>
      </c>
      <c r="M204" s="2" t="s">
        <v>945</v>
      </c>
      <c r="N204" s="2" t="s">
        <v>126</v>
      </c>
      <c r="O204" s="27" t="s">
        <v>1102</v>
      </c>
      <c r="P204" s="1" t="s">
        <v>183</v>
      </c>
      <c r="Q204" s="1" t="s">
        <v>1103</v>
      </c>
      <c r="R204" s="1" t="s">
        <v>946</v>
      </c>
      <c r="S204" s="27">
        <v>21</v>
      </c>
      <c r="T204" s="1" t="s">
        <v>283</v>
      </c>
      <c r="W204" s="1" t="s">
        <v>217</v>
      </c>
      <c r="X204" s="27">
        <v>50</v>
      </c>
      <c r="Y204" s="27" t="s">
        <v>285</v>
      </c>
      <c r="Z204" s="1" t="s">
        <v>947</v>
      </c>
      <c r="AB204" s="18" t="s">
        <v>1104</v>
      </c>
      <c r="AC204" s="1" t="s">
        <v>288</v>
      </c>
      <c r="AD204" s="27">
        <v>95</v>
      </c>
      <c r="AF204" s="2" t="s">
        <v>90</v>
      </c>
      <c r="AH204" s="1" t="s">
        <v>416</v>
      </c>
      <c r="AI204" s="1" t="s">
        <v>1075</v>
      </c>
      <c r="AK204" s="1" t="s">
        <v>1180</v>
      </c>
      <c r="AL204" s="1" t="s">
        <v>94</v>
      </c>
      <c r="AM204" s="1" t="s">
        <v>95</v>
      </c>
      <c r="AN204" s="2" t="s">
        <v>96</v>
      </c>
      <c r="AO204" s="1" t="s">
        <v>1106</v>
      </c>
      <c r="AP204" s="1" t="s">
        <v>1107</v>
      </c>
      <c r="AQ204" s="1" t="s">
        <v>1108</v>
      </c>
      <c r="AR204" s="1" t="s">
        <v>1109</v>
      </c>
      <c r="AS204" s="1" t="s">
        <v>1110</v>
      </c>
      <c r="AT204" s="1" t="s">
        <v>102</v>
      </c>
      <c r="AV204" s="1">
        <v>223</v>
      </c>
      <c r="AW204" s="1">
        <v>82.219219164377861</v>
      </c>
      <c r="AX204" s="1">
        <v>10</v>
      </c>
      <c r="AY204" s="1">
        <v>26</v>
      </c>
      <c r="BA204" s="1">
        <v>228</v>
      </c>
      <c r="BB204" s="1">
        <v>22.627416997969522</v>
      </c>
      <c r="BC204" s="1">
        <v>8</v>
      </c>
      <c r="BD204" s="1">
        <v>8</v>
      </c>
      <c r="BF204" s="34" t="s">
        <v>1111</v>
      </c>
      <c r="BI204"/>
      <c r="BJ204"/>
      <c r="BK204"/>
      <c r="BL204"/>
      <c r="BM204"/>
      <c r="BN204"/>
    </row>
    <row r="205" spans="1:66" x14ac:dyDescent="0.2">
      <c r="A205" s="1" t="s">
        <v>1095</v>
      </c>
      <c r="B205" s="2" t="s">
        <v>1096</v>
      </c>
      <c r="C205" s="2" t="s">
        <v>1097</v>
      </c>
      <c r="D205" s="50" t="s">
        <v>1182</v>
      </c>
      <c r="E205" s="2" t="s">
        <v>1183</v>
      </c>
      <c r="F205" s="2" t="s">
        <v>102</v>
      </c>
      <c r="G205" s="1" t="s">
        <v>941</v>
      </c>
      <c r="H205" s="1" t="s">
        <v>1100</v>
      </c>
      <c r="J205" s="1" t="s">
        <v>1101</v>
      </c>
      <c r="L205" s="5" t="s">
        <v>77</v>
      </c>
      <c r="M205" s="2" t="s">
        <v>945</v>
      </c>
      <c r="N205" s="2" t="s">
        <v>126</v>
      </c>
      <c r="O205" s="27" t="s">
        <v>1102</v>
      </c>
      <c r="P205" s="1" t="s">
        <v>183</v>
      </c>
      <c r="Q205" s="1" t="s">
        <v>1103</v>
      </c>
      <c r="R205" s="1" t="s">
        <v>946</v>
      </c>
      <c r="S205" s="27">
        <v>21</v>
      </c>
      <c r="T205" s="1" t="s">
        <v>283</v>
      </c>
      <c r="W205" s="1" t="s">
        <v>217</v>
      </c>
      <c r="X205" s="27">
        <v>50</v>
      </c>
      <c r="Y205" s="27" t="s">
        <v>285</v>
      </c>
      <c r="Z205" s="1" t="s">
        <v>947</v>
      </c>
      <c r="AB205" s="18" t="s">
        <v>1104</v>
      </c>
      <c r="AC205" s="1" t="s">
        <v>88</v>
      </c>
      <c r="AD205" s="27">
        <v>95</v>
      </c>
      <c r="AF205" s="2" t="s">
        <v>90</v>
      </c>
      <c r="AH205" s="1" t="s">
        <v>416</v>
      </c>
      <c r="AI205" s="1" t="s">
        <v>1075</v>
      </c>
      <c r="AK205" s="1" t="s">
        <v>1184</v>
      </c>
      <c r="AL205" s="1" t="s">
        <v>94</v>
      </c>
      <c r="AM205" s="1" t="s">
        <v>95</v>
      </c>
      <c r="AN205" s="2" t="s">
        <v>96</v>
      </c>
      <c r="AO205" s="1" t="s">
        <v>1106</v>
      </c>
      <c r="AP205" s="1" t="s">
        <v>1107</v>
      </c>
      <c r="AQ205" s="1" t="s">
        <v>1115</v>
      </c>
      <c r="AR205" s="1" t="s">
        <v>1116</v>
      </c>
      <c r="AS205" s="1" t="s">
        <v>1117</v>
      </c>
      <c r="AT205" s="1" t="s">
        <v>71</v>
      </c>
      <c r="AV205" s="1">
        <v>43</v>
      </c>
      <c r="AW205" s="1">
        <v>21</v>
      </c>
      <c r="AX205" s="1">
        <v>9</v>
      </c>
      <c r="AY205" s="1">
        <v>7</v>
      </c>
      <c r="BA205" s="1">
        <v>22</v>
      </c>
      <c r="BB205" s="1">
        <v>15.811388300841898</v>
      </c>
      <c r="BC205" s="1">
        <v>10</v>
      </c>
      <c r="BD205" s="1">
        <v>5</v>
      </c>
      <c r="BF205" s="34" t="s">
        <v>1111</v>
      </c>
      <c r="BI205"/>
      <c r="BJ205"/>
      <c r="BK205"/>
      <c r="BL205"/>
      <c r="BM205"/>
      <c r="BN205"/>
    </row>
    <row r="206" spans="1:66" x14ac:dyDescent="0.2">
      <c r="A206" s="1" t="s">
        <v>1095</v>
      </c>
      <c r="B206" s="2" t="s">
        <v>1112</v>
      </c>
      <c r="C206" s="2" t="s">
        <v>1113</v>
      </c>
      <c r="D206" s="50" t="s">
        <v>1182</v>
      </c>
      <c r="E206" s="2" t="s">
        <v>1185</v>
      </c>
      <c r="F206" s="2" t="s">
        <v>102</v>
      </c>
      <c r="G206" s="1" t="s">
        <v>941</v>
      </c>
      <c r="H206" s="1" t="s">
        <v>1100</v>
      </c>
      <c r="J206" s="1" t="s">
        <v>1101</v>
      </c>
      <c r="L206" s="5" t="s">
        <v>77</v>
      </c>
      <c r="M206" s="2" t="s">
        <v>945</v>
      </c>
      <c r="N206" s="2" t="s">
        <v>126</v>
      </c>
      <c r="O206" s="27" t="s">
        <v>1102</v>
      </c>
      <c r="P206" s="1" t="s">
        <v>183</v>
      </c>
      <c r="Q206" s="1" t="s">
        <v>1103</v>
      </c>
      <c r="R206" s="1" t="s">
        <v>946</v>
      </c>
      <c r="S206" s="27">
        <v>21</v>
      </c>
      <c r="T206" s="1" t="s">
        <v>283</v>
      </c>
      <c r="W206" s="1" t="s">
        <v>217</v>
      </c>
      <c r="X206" s="27">
        <v>50</v>
      </c>
      <c r="Y206" s="27" t="s">
        <v>285</v>
      </c>
      <c r="Z206" s="1" t="s">
        <v>947</v>
      </c>
      <c r="AB206" s="18" t="s">
        <v>1104</v>
      </c>
      <c r="AC206" s="1" t="s">
        <v>288</v>
      </c>
      <c r="AD206" s="27">
        <v>95</v>
      </c>
      <c r="AF206" s="2" t="s">
        <v>90</v>
      </c>
      <c r="AH206" s="1" t="s">
        <v>416</v>
      </c>
      <c r="AI206" s="1" t="s">
        <v>1075</v>
      </c>
      <c r="AK206" s="1" t="s">
        <v>1184</v>
      </c>
      <c r="AL206" s="1" t="s">
        <v>94</v>
      </c>
      <c r="AM206" s="1" t="s">
        <v>95</v>
      </c>
      <c r="AN206" s="2" t="s">
        <v>96</v>
      </c>
      <c r="AO206" s="1" t="s">
        <v>1106</v>
      </c>
      <c r="AP206" s="1" t="s">
        <v>1107</v>
      </c>
      <c r="AQ206" s="1" t="s">
        <v>1108</v>
      </c>
      <c r="AR206" s="1" t="s">
        <v>1109</v>
      </c>
      <c r="AS206" s="1" t="s">
        <v>1110</v>
      </c>
      <c r="AT206" s="1" t="s">
        <v>71</v>
      </c>
      <c r="AV206" s="1">
        <v>47</v>
      </c>
      <c r="AW206" s="1">
        <v>25.298221281347036</v>
      </c>
      <c r="AX206" s="1">
        <v>10</v>
      </c>
      <c r="AY206" s="1">
        <v>8</v>
      </c>
      <c r="BA206" s="1">
        <v>36</v>
      </c>
      <c r="BB206" s="1">
        <v>19.798989873223331</v>
      </c>
      <c r="BC206" s="1">
        <v>8</v>
      </c>
      <c r="BD206" s="1">
        <v>7</v>
      </c>
      <c r="BF206" s="34" t="s">
        <v>1111</v>
      </c>
      <c r="BI206"/>
      <c r="BJ206"/>
      <c r="BK206"/>
      <c r="BL206"/>
      <c r="BM206"/>
      <c r="BN206"/>
    </row>
    <row r="207" spans="1:66" x14ac:dyDescent="0.2">
      <c r="A207" s="1" t="s">
        <v>1095</v>
      </c>
      <c r="B207" s="2" t="s">
        <v>1096</v>
      </c>
      <c r="C207" s="2" t="s">
        <v>1097</v>
      </c>
      <c r="D207" s="50" t="s">
        <v>1186</v>
      </c>
      <c r="E207" s="2" t="s">
        <v>1187</v>
      </c>
      <c r="F207" s="2" t="s">
        <v>102</v>
      </c>
      <c r="G207" s="1" t="s">
        <v>941</v>
      </c>
      <c r="H207" s="1" t="s">
        <v>1100</v>
      </c>
      <c r="J207" s="1" t="s">
        <v>1101</v>
      </c>
      <c r="L207" s="5" t="s">
        <v>77</v>
      </c>
      <c r="M207" s="2" t="s">
        <v>945</v>
      </c>
      <c r="N207" s="2" t="s">
        <v>126</v>
      </c>
      <c r="O207" s="27" t="s">
        <v>1102</v>
      </c>
      <c r="P207" s="1" t="s">
        <v>183</v>
      </c>
      <c r="Q207" s="1" t="s">
        <v>1103</v>
      </c>
      <c r="R207" s="1" t="s">
        <v>946</v>
      </c>
      <c r="S207" s="27">
        <v>21</v>
      </c>
      <c r="T207" s="1" t="s">
        <v>283</v>
      </c>
      <c r="W207" s="1" t="s">
        <v>217</v>
      </c>
      <c r="X207" s="27">
        <v>50</v>
      </c>
      <c r="Y207" s="27" t="s">
        <v>285</v>
      </c>
      <c r="Z207" s="1" t="s">
        <v>947</v>
      </c>
      <c r="AB207" s="18" t="s">
        <v>1104</v>
      </c>
      <c r="AC207" s="1" t="s">
        <v>88</v>
      </c>
      <c r="AD207" s="27">
        <v>95</v>
      </c>
      <c r="AF207" s="2" t="s">
        <v>90</v>
      </c>
      <c r="AH207" s="1" t="s">
        <v>416</v>
      </c>
      <c r="AI207" s="1" t="s">
        <v>1075</v>
      </c>
      <c r="AK207" s="1" t="s">
        <v>1188</v>
      </c>
      <c r="AL207" s="1" t="s">
        <v>107</v>
      </c>
      <c r="AM207" s="1" t="s">
        <v>107</v>
      </c>
      <c r="AN207" s="2" t="s">
        <v>96</v>
      </c>
      <c r="AO207" s="1" t="s">
        <v>1106</v>
      </c>
      <c r="AP207" s="1" t="s">
        <v>1107</v>
      </c>
      <c r="AQ207" s="1" t="s">
        <v>1115</v>
      </c>
      <c r="AR207" s="1" t="s">
        <v>1116</v>
      </c>
      <c r="AS207" s="1" t="s">
        <v>1117</v>
      </c>
      <c r="AT207" s="1" t="s">
        <v>71</v>
      </c>
      <c r="AV207" s="1">
        <v>1.6666666666666667</v>
      </c>
      <c r="AW207" s="1">
        <v>2.9629629629629628</v>
      </c>
      <c r="AX207" s="1">
        <v>9</v>
      </c>
      <c r="AY207" s="1">
        <v>0.98765432098765427</v>
      </c>
      <c r="BA207" s="1">
        <v>2.9</v>
      </c>
      <c r="BB207" s="1">
        <v>2.7407407407407405</v>
      </c>
      <c r="BC207" s="1">
        <v>10</v>
      </c>
      <c r="BD207" s="1">
        <v>0.86669832167577787</v>
      </c>
      <c r="BF207" s="34" t="s">
        <v>1123</v>
      </c>
      <c r="BI207">
        <v>1</v>
      </c>
      <c r="BJ207">
        <v>0</v>
      </c>
      <c r="BK207">
        <v>4</v>
      </c>
      <c r="BL207">
        <v>3</v>
      </c>
      <c r="BM207">
        <v>1</v>
      </c>
      <c r="BN207">
        <v>4.7</v>
      </c>
    </row>
    <row r="208" spans="1:66" x14ac:dyDescent="0.2">
      <c r="A208" s="1" t="s">
        <v>1095</v>
      </c>
      <c r="B208" s="2" t="s">
        <v>1112</v>
      </c>
      <c r="C208" s="2" t="s">
        <v>1113</v>
      </c>
      <c r="D208" s="50" t="s">
        <v>1186</v>
      </c>
      <c r="E208" s="2" t="s">
        <v>1189</v>
      </c>
      <c r="F208" s="2" t="s">
        <v>102</v>
      </c>
      <c r="G208" s="1" t="s">
        <v>941</v>
      </c>
      <c r="H208" s="1" t="s">
        <v>1100</v>
      </c>
      <c r="J208" s="1" t="s">
        <v>1101</v>
      </c>
      <c r="L208" s="5" t="s">
        <v>77</v>
      </c>
      <c r="M208" s="2" t="s">
        <v>945</v>
      </c>
      <c r="N208" s="2" t="s">
        <v>126</v>
      </c>
      <c r="O208" s="27" t="s">
        <v>1102</v>
      </c>
      <c r="P208" s="1" t="s">
        <v>183</v>
      </c>
      <c r="Q208" s="1" t="s">
        <v>1103</v>
      </c>
      <c r="R208" s="1" t="s">
        <v>946</v>
      </c>
      <c r="S208" s="27">
        <v>21</v>
      </c>
      <c r="T208" s="1" t="s">
        <v>283</v>
      </c>
      <c r="W208" s="1" t="s">
        <v>217</v>
      </c>
      <c r="X208" s="27">
        <v>50</v>
      </c>
      <c r="Y208" s="27" t="s">
        <v>285</v>
      </c>
      <c r="Z208" s="1" t="s">
        <v>947</v>
      </c>
      <c r="AB208" s="18" t="s">
        <v>1104</v>
      </c>
      <c r="AC208" s="1" t="s">
        <v>288</v>
      </c>
      <c r="AD208" s="27">
        <v>95</v>
      </c>
      <c r="AF208" s="2" t="s">
        <v>90</v>
      </c>
      <c r="AH208" s="1" t="s">
        <v>416</v>
      </c>
      <c r="AI208" s="1" t="s">
        <v>1075</v>
      </c>
      <c r="AK208" s="1" t="s">
        <v>1188</v>
      </c>
      <c r="AL208" s="1" t="s">
        <v>107</v>
      </c>
      <c r="AM208" s="1" t="s">
        <v>107</v>
      </c>
      <c r="AN208" s="2" t="s">
        <v>96</v>
      </c>
      <c r="AO208" s="1" t="s">
        <v>1106</v>
      </c>
      <c r="AP208" s="1" t="s">
        <v>1107</v>
      </c>
      <c r="AQ208" s="1" t="s">
        <v>1108</v>
      </c>
      <c r="AR208" s="1" t="s">
        <v>1109</v>
      </c>
      <c r="AS208" s="1" t="s">
        <v>1110</v>
      </c>
      <c r="AT208" s="1" t="s">
        <v>71</v>
      </c>
      <c r="AV208" s="1">
        <v>0.33333333333333331</v>
      </c>
      <c r="AW208" s="1">
        <v>0.7407407407407407</v>
      </c>
      <c r="AX208" s="1">
        <v>10</v>
      </c>
      <c r="AY208" s="1">
        <v>0.23424278964210216</v>
      </c>
      <c r="BA208" s="1">
        <v>1</v>
      </c>
      <c r="BB208" s="1">
        <v>1.4814814814814814</v>
      </c>
      <c r="BC208" s="1">
        <v>8</v>
      </c>
      <c r="BD208" s="1">
        <v>0.52378280087892404</v>
      </c>
      <c r="BF208" s="34" t="s">
        <v>1123</v>
      </c>
      <c r="BI208">
        <v>0</v>
      </c>
      <c r="BJ208">
        <v>0</v>
      </c>
      <c r="BK208">
        <v>1</v>
      </c>
      <c r="BL208">
        <v>1</v>
      </c>
      <c r="BM208">
        <v>0</v>
      </c>
      <c r="BN208">
        <v>2</v>
      </c>
    </row>
    <row r="212" spans="2:40" x14ac:dyDescent="0.2">
      <c r="B212" s="2"/>
      <c r="C212" s="2"/>
      <c r="D212" s="49"/>
      <c r="E212" s="2"/>
      <c r="I212" s="2"/>
      <c r="J212" s="2"/>
      <c r="L212" s="5"/>
      <c r="M212" s="2"/>
      <c r="N212" s="2"/>
      <c r="P212" s="2"/>
      <c r="Q212" s="2"/>
      <c r="R212" s="2"/>
      <c r="S212" s="26"/>
      <c r="T212" s="2"/>
      <c r="V212" s="2"/>
      <c r="W212" s="2"/>
      <c r="Y212" s="26"/>
      <c r="AB212" s="2"/>
      <c r="AC212" s="2"/>
      <c r="AD212" s="26"/>
      <c r="AH212" s="2"/>
      <c r="AK212" s="2"/>
    </row>
    <row r="213" spans="2:40" x14ac:dyDescent="0.2">
      <c r="B213" s="2"/>
      <c r="C213" s="2"/>
      <c r="D213" s="49"/>
      <c r="E213" s="2"/>
      <c r="I213" s="2"/>
      <c r="J213" s="2"/>
      <c r="L213" s="5"/>
      <c r="M213" s="2"/>
      <c r="N213" s="2"/>
      <c r="P213" s="2"/>
      <c r="Q213" s="2"/>
      <c r="R213" s="2"/>
      <c r="S213" s="26"/>
      <c r="T213" s="2"/>
      <c r="V213" s="2"/>
      <c r="W213" s="2"/>
      <c r="Y213" s="26"/>
      <c r="AB213" s="2"/>
      <c r="AC213" s="2"/>
      <c r="AD213" s="26"/>
      <c r="AH213" s="2"/>
      <c r="AK213" s="2"/>
    </row>
    <row r="214" spans="2:40" x14ac:dyDescent="0.2">
      <c r="B214" s="2"/>
      <c r="C214" s="2"/>
      <c r="D214" s="49"/>
      <c r="E214" s="2"/>
      <c r="I214" s="2"/>
      <c r="J214" s="2"/>
      <c r="L214" s="5"/>
      <c r="M214" s="2"/>
      <c r="N214" s="2"/>
      <c r="P214" s="2"/>
      <c r="Q214" s="2"/>
      <c r="R214" s="2"/>
      <c r="S214" s="26"/>
      <c r="T214" s="2"/>
      <c r="V214" s="2"/>
      <c r="W214" s="2"/>
      <c r="Y214" s="26"/>
      <c r="AB214" s="2"/>
      <c r="AC214" s="2"/>
      <c r="AD214" s="26"/>
      <c r="AH214" s="2"/>
      <c r="AK214" s="2"/>
    </row>
    <row r="215" spans="2:40" x14ac:dyDescent="0.2">
      <c r="B215" s="2"/>
      <c r="C215" s="2"/>
      <c r="D215" s="49"/>
      <c r="E215" s="2"/>
      <c r="I215" s="2"/>
      <c r="J215" s="2"/>
      <c r="L215" s="5"/>
      <c r="M215" s="2"/>
      <c r="N215" s="2"/>
      <c r="P215" s="2"/>
      <c r="Q215" s="2"/>
      <c r="R215" s="2"/>
      <c r="S215" s="26"/>
      <c r="T215" s="2"/>
      <c r="V215" s="2"/>
      <c r="W215" s="2"/>
      <c r="Y215" s="26"/>
      <c r="AB215" s="2"/>
      <c r="AC215" s="2"/>
      <c r="AD215" s="26"/>
      <c r="AH215" s="2"/>
      <c r="AK215" s="2"/>
    </row>
    <row r="216" spans="2:40" x14ac:dyDescent="0.2">
      <c r="B216" s="2"/>
      <c r="C216" s="2"/>
      <c r="D216" s="49"/>
      <c r="E216" s="2"/>
      <c r="I216" s="2"/>
      <c r="J216" s="2"/>
      <c r="L216" s="5"/>
      <c r="M216" s="2"/>
      <c r="N216" s="2"/>
      <c r="P216" s="2"/>
      <c r="Q216" s="2"/>
      <c r="R216" s="2"/>
      <c r="S216" s="26"/>
      <c r="T216" s="2"/>
      <c r="V216" s="2"/>
      <c r="W216" s="2"/>
      <c r="Y216" s="26"/>
      <c r="AB216" s="2"/>
      <c r="AC216" s="2"/>
      <c r="AD216" s="26"/>
      <c r="AH216" s="2"/>
      <c r="AK216" s="2"/>
    </row>
    <row r="217" spans="2:40" x14ac:dyDescent="0.2">
      <c r="B217" s="2"/>
      <c r="C217" s="2"/>
      <c r="D217" s="49"/>
      <c r="E217" s="2"/>
      <c r="I217" s="2"/>
      <c r="J217" s="2"/>
      <c r="L217" s="5"/>
      <c r="M217" s="2"/>
      <c r="N217" s="2"/>
      <c r="P217" s="2"/>
      <c r="Q217" s="2"/>
      <c r="R217" s="2"/>
      <c r="S217" s="26"/>
      <c r="T217" s="2"/>
      <c r="V217" s="2"/>
      <c r="W217" s="2"/>
      <c r="Y217" s="26"/>
      <c r="AB217" s="2"/>
      <c r="AC217" s="2"/>
      <c r="AD217" s="26"/>
      <c r="AH217" s="2"/>
      <c r="AK217" s="2"/>
    </row>
    <row r="218" spans="2:40" x14ac:dyDescent="0.2">
      <c r="B218" s="2"/>
      <c r="C218" s="2"/>
      <c r="D218" s="49"/>
      <c r="F218" s="2"/>
      <c r="J218" s="2"/>
      <c r="L218" s="5"/>
      <c r="M218" s="2"/>
      <c r="N218" s="2"/>
      <c r="P218" s="2"/>
      <c r="Q218" s="2"/>
      <c r="S218" s="26"/>
      <c r="T218" s="2"/>
      <c r="V218" s="2"/>
      <c r="W218" s="2"/>
      <c r="Y218" s="26"/>
      <c r="Z218" s="2"/>
      <c r="AB218" s="2"/>
      <c r="AD218" s="26"/>
      <c r="AF218" s="2"/>
      <c r="AH218" s="2"/>
      <c r="AI218" s="2"/>
      <c r="AK218" s="2"/>
      <c r="AN218" s="2"/>
    </row>
    <row r="219" spans="2:40" x14ac:dyDescent="0.2">
      <c r="B219" s="2"/>
      <c r="C219" s="2"/>
      <c r="D219" s="49"/>
      <c r="F219" s="2"/>
      <c r="J219" s="2"/>
      <c r="L219" s="5"/>
      <c r="M219" s="2"/>
      <c r="N219" s="2"/>
      <c r="P219" s="2"/>
      <c r="Q219" s="2"/>
      <c r="S219" s="26"/>
      <c r="T219" s="2"/>
      <c r="V219" s="2"/>
      <c r="W219" s="2"/>
      <c r="Y219" s="26"/>
      <c r="Z219" s="2"/>
      <c r="AB219" s="2"/>
      <c r="AD219" s="26"/>
      <c r="AF219" s="2"/>
      <c r="AH219" s="2"/>
      <c r="AI219" s="2"/>
      <c r="AK219" s="2"/>
      <c r="AN219" s="2"/>
    </row>
    <row r="226" spans="48:48" x14ac:dyDescent="0.2">
      <c r="AV226" s="35"/>
    </row>
    <row r="227" spans="48:48" x14ac:dyDescent="0.2">
      <c r="AV227" s="35"/>
    </row>
    <row r="228" spans="48:48" x14ac:dyDescent="0.2">
      <c r="AV228" s="35"/>
    </row>
    <row r="229" spans="48:48" x14ac:dyDescent="0.2">
      <c r="AV229" s="35"/>
    </row>
    <row r="230" spans="48:48" x14ac:dyDescent="0.2">
      <c r="AV230" s="35"/>
    </row>
  </sheetData>
  <autoFilter ref="A1:BN208" xr:uid="{3374FE9D-B8C0-6B41-BA58-7241A99B346B}"/>
  <phoneticPr fontId="13"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928A-05F1-294E-A2AA-E063D1651A76}">
  <dimension ref="A1:B65"/>
  <sheetViews>
    <sheetView topLeftCell="A42" workbookViewId="0">
      <selection activeCell="B49" sqref="B49"/>
    </sheetView>
  </sheetViews>
  <sheetFormatPr baseColWidth="10" defaultColWidth="60" defaultRowHeight="44" customHeight="1" x14ac:dyDescent="0.2"/>
  <cols>
    <col min="1" max="1" width="24.83203125" customWidth="1"/>
    <col min="2" max="2" width="135.33203125" customWidth="1"/>
  </cols>
  <sheetData>
    <row r="1" spans="1:2" ht="44" customHeight="1" thickTop="1" thickBot="1" x14ac:dyDescent="0.25">
      <c r="A1" s="38" t="s">
        <v>1190</v>
      </c>
      <c r="B1" s="39" t="s">
        <v>1191</v>
      </c>
    </row>
    <row r="2" spans="1:2" ht="44" customHeight="1" thickTop="1" x14ac:dyDescent="0.2">
      <c r="A2" s="54" t="s">
        <v>1192</v>
      </c>
      <c r="B2" s="54"/>
    </row>
    <row r="3" spans="1:2" ht="44" customHeight="1" x14ac:dyDescent="0.2">
      <c r="A3" s="40" t="s">
        <v>0</v>
      </c>
      <c r="B3" s="41" t="s">
        <v>1193</v>
      </c>
    </row>
    <row r="4" spans="1:2" ht="44" customHeight="1" x14ac:dyDescent="0.2">
      <c r="A4" s="40" t="s">
        <v>1</v>
      </c>
      <c r="B4" s="41" t="s">
        <v>1194</v>
      </c>
    </row>
    <row r="5" spans="1:2" ht="44" customHeight="1" x14ac:dyDescent="0.2">
      <c r="A5" s="40" t="s">
        <v>2</v>
      </c>
      <c r="B5" s="41" t="s">
        <v>1195</v>
      </c>
    </row>
    <row r="6" spans="1:2" ht="44" customHeight="1" x14ac:dyDescent="0.2">
      <c r="A6" s="40" t="s">
        <v>3</v>
      </c>
      <c r="B6" s="41" t="s">
        <v>1196</v>
      </c>
    </row>
    <row r="7" spans="1:2" ht="44" customHeight="1" x14ac:dyDescent="0.2">
      <c r="A7" s="40" t="s">
        <v>4</v>
      </c>
      <c r="B7" s="41" t="s">
        <v>1197</v>
      </c>
    </row>
    <row r="8" spans="1:2" ht="44" customHeight="1" x14ac:dyDescent="0.2">
      <c r="A8" s="40" t="s">
        <v>5</v>
      </c>
      <c r="B8" s="41" t="s">
        <v>1198</v>
      </c>
    </row>
    <row r="9" spans="1:2" ht="44" customHeight="1" x14ac:dyDescent="0.2">
      <c r="A9" s="40" t="s">
        <v>6</v>
      </c>
      <c r="B9" s="41" t="s">
        <v>1199</v>
      </c>
    </row>
    <row r="10" spans="1:2" ht="44" customHeight="1" x14ac:dyDescent="0.2">
      <c r="A10" s="40" t="s">
        <v>7</v>
      </c>
      <c r="B10" s="41" t="s">
        <v>1200</v>
      </c>
    </row>
    <row r="11" spans="1:2" ht="44" customHeight="1" x14ac:dyDescent="0.2">
      <c r="A11" s="40" t="s">
        <v>8</v>
      </c>
      <c r="B11" s="41" t="s">
        <v>1201</v>
      </c>
    </row>
    <row r="12" spans="1:2" ht="44" customHeight="1" x14ac:dyDescent="0.2">
      <c r="A12" s="40" t="s">
        <v>1202</v>
      </c>
      <c r="B12" s="41" t="s">
        <v>1203</v>
      </c>
    </row>
    <row r="13" spans="1:2" ht="44" customHeight="1" x14ac:dyDescent="0.2">
      <c r="A13" s="40" t="s">
        <v>1204</v>
      </c>
      <c r="B13" s="41" t="s">
        <v>1205</v>
      </c>
    </row>
    <row r="14" spans="1:2" ht="44" customHeight="1" thickBot="1" x14ac:dyDescent="0.25">
      <c r="A14" s="55" t="s">
        <v>1206</v>
      </c>
      <c r="B14" s="55"/>
    </row>
    <row r="15" spans="1:2" ht="44" customHeight="1" x14ac:dyDescent="0.2">
      <c r="A15" s="42" t="s">
        <v>11</v>
      </c>
      <c r="B15" s="43" t="s">
        <v>1207</v>
      </c>
    </row>
    <row r="16" spans="1:2" ht="44" customHeight="1" x14ac:dyDescent="0.2">
      <c r="A16" s="40" t="s">
        <v>12</v>
      </c>
      <c r="B16" s="41" t="s">
        <v>1208</v>
      </c>
    </row>
    <row r="17" spans="1:2" ht="44" customHeight="1" x14ac:dyDescent="0.2">
      <c r="A17" s="40" t="s">
        <v>13</v>
      </c>
      <c r="B17" s="41" t="s">
        <v>1209</v>
      </c>
    </row>
    <row r="18" spans="1:2" ht="44" customHeight="1" thickBot="1" x14ac:dyDescent="0.25">
      <c r="A18" s="56" t="s">
        <v>1210</v>
      </c>
      <c r="B18" s="56"/>
    </row>
    <row r="19" spans="1:2" ht="44" customHeight="1" x14ac:dyDescent="0.2">
      <c r="A19" s="40" t="s">
        <v>14</v>
      </c>
      <c r="B19" s="41" t="s">
        <v>1211</v>
      </c>
    </row>
    <row r="20" spans="1:2" ht="44" customHeight="1" x14ac:dyDescent="0.2">
      <c r="A20" s="40" t="s">
        <v>15</v>
      </c>
      <c r="B20" s="41" t="s">
        <v>1212</v>
      </c>
    </row>
    <row r="21" spans="1:2" ht="44" customHeight="1" x14ac:dyDescent="0.2">
      <c r="A21" s="40" t="s">
        <v>16</v>
      </c>
      <c r="B21" s="41" t="s">
        <v>1213</v>
      </c>
    </row>
    <row r="22" spans="1:2" ht="44" customHeight="1" x14ac:dyDescent="0.2">
      <c r="A22" s="40" t="s">
        <v>1214</v>
      </c>
      <c r="B22" s="41" t="s">
        <v>1215</v>
      </c>
    </row>
    <row r="23" spans="1:2" ht="44" customHeight="1" x14ac:dyDescent="0.2">
      <c r="A23" s="40" t="s">
        <v>1216</v>
      </c>
      <c r="B23" s="41" t="s">
        <v>1217</v>
      </c>
    </row>
    <row r="24" spans="1:2" ht="44" customHeight="1" x14ac:dyDescent="0.2">
      <c r="A24" s="40" t="s">
        <v>19</v>
      </c>
      <c r="B24" s="41" t="s">
        <v>1218</v>
      </c>
    </row>
    <row r="25" spans="1:2" ht="44" customHeight="1" x14ac:dyDescent="0.2">
      <c r="A25" s="40" t="s">
        <v>1219</v>
      </c>
      <c r="B25" s="41" t="s">
        <v>1220</v>
      </c>
    </row>
    <row r="26" spans="1:2" ht="44" customHeight="1" x14ac:dyDescent="0.2">
      <c r="A26" s="40" t="s">
        <v>1221</v>
      </c>
      <c r="B26" s="41" t="s">
        <v>1222</v>
      </c>
    </row>
    <row r="27" spans="1:2" ht="44" customHeight="1" x14ac:dyDescent="0.2">
      <c r="A27" s="40" t="s">
        <v>22</v>
      </c>
      <c r="B27" s="41" t="s">
        <v>1223</v>
      </c>
    </row>
    <row r="28" spans="1:2" ht="44" customHeight="1" x14ac:dyDescent="0.2">
      <c r="A28" s="40" t="s">
        <v>1224</v>
      </c>
      <c r="B28" s="41" t="s">
        <v>1225</v>
      </c>
    </row>
    <row r="29" spans="1:2" ht="44" customHeight="1" x14ac:dyDescent="0.2">
      <c r="A29" s="40" t="s">
        <v>1226</v>
      </c>
      <c r="B29" s="41" t="s">
        <v>1227</v>
      </c>
    </row>
    <row r="30" spans="1:2" ht="44" customHeight="1" x14ac:dyDescent="0.2">
      <c r="A30" s="40" t="s">
        <v>1228</v>
      </c>
      <c r="B30" s="41" t="s">
        <v>1229</v>
      </c>
    </row>
    <row r="31" spans="1:2" ht="44" customHeight="1" x14ac:dyDescent="0.2">
      <c r="A31" s="40" t="s">
        <v>25</v>
      </c>
      <c r="B31" s="41" t="s">
        <v>1230</v>
      </c>
    </row>
    <row r="32" spans="1:2" ht="44" customHeight="1" x14ac:dyDescent="0.2">
      <c r="A32" s="40" t="s">
        <v>26</v>
      </c>
      <c r="B32" s="41" t="s">
        <v>1231</v>
      </c>
    </row>
    <row r="33" spans="1:2" ht="44" customHeight="1" x14ac:dyDescent="0.2">
      <c r="A33" s="40" t="s">
        <v>27</v>
      </c>
      <c r="B33" s="41" t="s">
        <v>1232</v>
      </c>
    </row>
    <row r="34" spans="1:2" ht="44" customHeight="1" thickBot="1" x14ac:dyDescent="0.25">
      <c r="A34" s="44" t="s">
        <v>1233</v>
      </c>
      <c r="B34" s="37"/>
    </row>
    <row r="35" spans="1:2" ht="44" customHeight="1" x14ac:dyDescent="0.2">
      <c r="A35" s="40" t="s">
        <v>28</v>
      </c>
      <c r="B35" s="41" t="s">
        <v>1234</v>
      </c>
    </row>
    <row r="36" spans="1:2" ht="44" customHeight="1" x14ac:dyDescent="0.2">
      <c r="A36" s="40" t="s">
        <v>1235</v>
      </c>
      <c r="B36" s="41" t="s">
        <v>1236</v>
      </c>
    </row>
    <row r="37" spans="1:2" ht="44" customHeight="1" x14ac:dyDescent="0.2">
      <c r="A37" s="40" t="s">
        <v>30</v>
      </c>
      <c r="B37" s="41" t="s">
        <v>1237</v>
      </c>
    </row>
    <row r="38" spans="1:2" ht="44" customHeight="1" x14ac:dyDescent="0.2">
      <c r="A38" s="40" t="s">
        <v>31</v>
      </c>
      <c r="B38" s="41" t="s">
        <v>1238</v>
      </c>
    </row>
    <row r="39" spans="1:2" ht="44" customHeight="1" x14ac:dyDescent="0.2">
      <c r="A39" s="40" t="s">
        <v>32</v>
      </c>
      <c r="B39" s="41" t="s">
        <v>1239</v>
      </c>
    </row>
    <row r="40" spans="1:2" ht="44" customHeight="1" x14ac:dyDescent="0.2">
      <c r="A40" s="40" t="s">
        <v>33</v>
      </c>
      <c r="B40" s="41" t="s">
        <v>1240</v>
      </c>
    </row>
    <row r="41" spans="1:2" ht="44" customHeight="1" x14ac:dyDescent="0.2">
      <c r="A41" s="40" t="s">
        <v>34</v>
      </c>
      <c r="B41" s="41" t="s">
        <v>1241</v>
      </c>
    </row>
    <row r="42" spans="1:2" ht="44" customHeight="1" x14ac:dyDescent="0.2">
      <c r="A42" s="40" t="s">
        <v>35</v>
      </c>
      <c r="B42" s="41" t="s">
        <v>1242</v>
      </c>
    </row>
    <row r="43" spans="1:2" ht="44" customHeight="1" x14ac:dyDescent="0.2">
      <c r="A43" s="40" t="s">
        <v>39</v>
      </c>
      <c r="B43" s="41" t="s">
        <v>1243</v>
      </c>
    </row>
    <row r="44" spans="1:2" ht="44" customHeight="1" x14ac:dyDescent="0.2">
      <c r="A44" s="40" t="s">
        <v>1244</v>
      </c>
      <c r="B44" s="41" t="s">
        <v>1245</v>
      </c>
    </row>
    <row r="45" spans="1:2" ht="44" customHeight="1" x14ac:dyDescent="0.2">
      <c r="A45" s="40" t="s">
        <v>1246</v>
      </c>
      <c r="B45" s="41" t="s">
        <v>1247</v>
      </c>
    </row>
    <row r="46" spans="1:2" ht="44" customHeight="1" x14ac:dyDescent="0.2">
      <c r="A46" s="40" t="s">
        <v>38</v>
      </c>
      <c r="B46" s="41" t="s">
        <v>1248</v>
      </c>
    </row>
    <row r="47" spans="1:2" ht="44" customHeight="1" x14ac:dyDescent="0.2">
      <c r="A47" s="40" t="s">
        <v>40</v>
      </c>
      <c r="B47" s="41" t="s">
        <v>1249</v>
      </c>
    </row>
    <row r="48" spans="1:2" ht="44" customHeight="1" x14ac:dyDescent="0.2">
      <c r="A48" s="40" t="s">
        <v>41</v>
      </c>
      <c r="B48" s="41" t="s">
        <v>1250</v>
      </c>
    </row>
    <row r="49" spans="1:2" ht="44" customHeight="1" x14ac:dyDescent="0.2">
      <c r="A49" s="40" t="s">
        <v>1251</v>
      </c>
      <c r="B49" s="41" t="s">
        <v>1252</v>
      </c>
    </row>
    <row r="50" spans="1:2" ht="44" customHeight="1" x14ac:dyDescent="0.2">
      <c r="A50" s="40" t="s">
        <v>43</v>
      </c>
      <c r="B50" s="41" t="s">
        <v>1253</v>
      </c>
    </row>
    <row r="51" spans="1:2" ht="44" customHeight="1" x14ac:dyDescent="0.2">
      <c r="A51" s="40" t="s">
        <v>44</v>
      </c>
      <c r="B51" s="41" t="s">
        <v>1254</v>
      </c>
    </row>
    <row r="52" spans="1:2" ht="44" customHeight="1" x14ac:dyDescent="0.2">
      <c r="A52" s="40" t="s">
        <v>45</v>
      </c>
      <c r="B52" s="41" t="s">
        <v>1255</v>
      </c>
    </row>
    <row r="53" spans="1:2" ht="44" customHeight="1" x14ac:dyDescent="0.2">
      <c r="A53" s="40" t="s">
        <v>46</v>
      </c>
      <c r="B53" s="41" t="s">
        <v>1256</v>
      </c>
    </row>
    <row r="54" spans="1:2" ht="44" customHeight="1" x14ac:dyDescent="0.2">
      <c r="A54" s="40" t="s">
        <v>1257</v>
      </c>
      <c r="B54" s="41" t="s">
        <v>1258</v>
      </c>
    </row>
    <row r="55" spans="1:2" ht="44" customHeight="1" x14ac:dyDescent="0.2">
      <c r="A55" s="40" t="s">
        <v>1259</v>
      </c>
      <c r="B55" s="41" t="s">
        <v>1260</v>
      </c>
    </row>
    <row r="56" spans="1:2" ht="44" customHeight="1" x14ac:dyDescent="0.2">
      <c r="A56" s="40" t="s">
        <v>1261</v>
      </c>
      <c r="B56" s="41" t="s">
        <v>1262</v>
      </c>
    </row>
    <row r="57" spans="1:2" ht="44" customHeight="1" x14ac:dyDescent="0.2">
      <c r="A57" s="40" t="s">
        <v>1263</v>
      </c>
      <c r="B57" s="41" t="s">
        <v>1264</v>
      </c>
    </row>
    <row r="58" spans="1:2" ht="44" customHeight="1" x14ac:dyDescent="0.2">
      <c r="A58" s="40" t="s">
        <v>1265</v>
      </c>
      <c r="B58" s="41" t="s">
        <v>1266</v>
      </c>
    </row>
    <row r="59" spans="1:2" ht="44" customHeight="1" x14ac:dyDescent="0.2">
      <c r="A59" s="40" t="s">
        <v>52</v>
      </c>
      <c r="B59" s="41" t="s">
        <v>1267</v>
      </c>
    </row>
    <row r="60" spans="1:2" ht="44" customHeight="1" x14ac:dyDescent="0.2">
      <c r="A60" s="40" t="s">
        <v>53</v>
      </c>
      <c r="B60" s="41" t="s">
        <v>1268</v>
      </c>
    </row>
    <row r="61" spans="1:2" ht="44" customHeight="1" x14ac:dyDescent="0.2">
      <c r="A61" s="40" t="s">
        <v>1269</v>
      </c>
      <c r="B61" s="41" t="s">
        <v>1270</v>
      </c>
    </row>
    <row r="62" spans="1:2" ht="44" customHeight="1" x14ac:dyDescent="0.2">
      <c r="A62" s="40" t="s">
        <v>55</v>
      </c>
      <c r="B62" s="41" t="s">
        <v>1271</v>
      </c>
    </row>
    <row r="63" spans="1:2" ht="44" customHeight="1" x14ac:dyDescent="0.2">
      <c r="A63" s="40" t="s">
        <v>56</v>
      </c>
      <c r="B63" s="41" t="s">
        <v>1272</v>
      </c>
    </row>
    <row r="64" spans="1:2" ht="44" customHeight="1" x14ac:dyDescent="0.2">
      <c r="A64" s="40" t="s">
        <v>57</v>
      </c>
      <c r="B64" s="41" t="s">
        <v>1273</v>
      </c>
    </row>
    <row r="65" spans="1:2" ht="44" customHeight="1" thickBot="1" x14ac:dyDescent="0.25">
      <c r="A65" s="45" t="s">
        <v>58</v>
      </c>
      <c r="B65" s="46" t="s">
        <v>1274</v>
      </c>
    </row>
  </sheetData>
  <mergeCells count="3">
    <mergeCell ref="A2:B2"/>
    <mergeCell ref="A14:B14"/>
    <mergeCell ref="A18: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Data_extraction</vt:lpstr>
      <vt:lpstr>Codebook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 Lenz</dc:creator>
  <cp:keywords/>
  <dc:description/>
  <cp:lastModifiedBy>Anna Lenz</cp:lastModifiedBy>
  <cp:revision/>
  <dcterms:created xsi:type="dcterms:W3CDTF">2025-12-09T23:03:15Z</dcterms:created>
  <dcterms:modified xsi:type="dcterms:W3CDTF">2026-04-21T20:09:27Z</dcterms:modified>
  <cp:category/>
  <cp:contentStatus/>
</cp:coreProperties>
</file>