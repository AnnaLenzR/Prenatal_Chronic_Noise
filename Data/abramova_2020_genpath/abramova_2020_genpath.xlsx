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filterPrivacy="1" defaultThemeVersion="124226"/>
  <xr:revisionPtr revIDLastSave="392" documentId="11_3DC1E299930D9625940DB5244FD57A3523AD369D" xr6:coauthVersionLast="47" xr6:coauthVersionMax="47" xr10:uidLastSave="{4B2A0E5D-781C-8342-8C3D-E909A5DD7828}"/>
  <bookViews>
    <workbookView xWindow="-20" yWindow="600" windowWidth="28800" windowHeight="17400" activeTab="1" xr2:uid="{00000000-000D-0000-FFFF-FFFF00000000}"/>
  </bookViews>
  <sheets>
    <sheet name="OpenField" sheetId="1" r:id="rId1"/>
    <sheet name="EPM" sheetId="2" r:id="rId2"/>
    <sheet name="Porsolt" sheetId="3" r:id="rId3"/>
    <sheet name="sucrose" sheetId="5" r:id="rId4"/>
    <sheet name="morris" sheetId="7" r:id="rId5"/>
    <sheet name="soc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3" i="1" l="1"/>
  <c r="AG22" i="1"/>
  <c r="AG21" i="1"/>
  <c r="AG20" i="1"/>
  <c r="AM20" i="5"/>
  <c r="AM23" i="5" s="1"/>
  <c r="AM21" i="5"/>
  <c r="AM22" i="5"/>
  <c r="AC27" i="5"/>
  <c r="AC26" i="5"/>
  <c r="AC25" i="5"/>
  <c r="AC24" i="5"/>
  <c r="S22" i="5"/>
  <c r="S21" i="5"/>
  <c r="S20" i="5"/>
  <c r="S19" i="5"/>
  <c r="I25" i="5"/>
  <c r="I23" i="5"/>
  <c r="I22" i="5"/>
  <c r="I24" i="5"/>
  <c r="K23" i="3"/>
  <c r="K22" i="3"/>
  <c r="K21" i="3"/>
  <c r="K20" i="3"/>
  <c r="H26" i="3"/>
  <c r="H25" i="3"/>
  <c r="H24" i="3"/>
  <c r="H23" i="3"/>
  <c r="E21" i="3"/>
  <c r="E20" i="3"/>
  <c r="E19" i="3"/>
  <c r="E18" i="3"/>
  <c r="B24" i="3"/>
  <c r="B23" i="3"/>
  <c r="B22" i="3"/>
  <c r="B21" i="3"/>
  <c r="AM20" i="2"/>
  <c r="AM23" i="2" s="1"/>
  <c r="AN20" i="2"/>
  <c r="AO20" i="2"/>
  <c r="AO23" i="2" s="1"/>
  <c r="AP20" i="2"/>
  <c r="AP23" i="2" s="1"/>
  <c r="AQ20" i="2"/>
  <c r="AQ23" i="2" s="1"/>
  <c r="AR20" i="2"/>
  <c r="AR23" i="2" s="1"/>
  <c r="AS20" i="2"/>
  <c r="AT20" i="2"/>
  <c r="AM21" i="2"/>
  <c r="AN21" i="2"/>
  <c r="AO21" i="2"/>
  <c r="AP21" i="2"/>
  <c r="AQ21" i="2"/>
  <c r="AR21" i="2"/>
  <c r="AS21" i="2"/>
  <c r="AT21" i="2"/>
  <c r="AM22" i="2"/>
  <c r="AN22" i="2"/>
  <c r="AO22" i="2"/>
  <c r="AP22" i="2"/>
  <c r="AQ22" i="2"/>
  <c r="AR22" i="2"/>
  <c r="AS22" i="2"/>
  <c r="AT22" i="2"/>
  <c r="AN23" i="2"/>
  <c r="AS23" i="2"/>
  <c r="AT23" i="2"/>
  <c r="AL23" i="2"/>
  <c r="AL22" i="2"/>
  <c r="AL21" i="2"/>
  <c r="AL20" i="2"/>
  <c r="AA22" i="2"/>
  <c r="AB22" i="2"/>
  <c r="AB25" i="2" s="1"/>
  <c r="AC22" i="2"/>
  <c r="AD22" i="2"/>
  <c r="AE22" i="2"/>
  <c r="AE25" i="2" s="1"/>
  <c r="AF22" i="2"/>
  <c r="AG22" i="2"/>
  <c r="AG25" i="2" s="1"/>
  <c r="AH22" i="2"/>
  <c r="AH25" i="2" s="1"/>
  <c r="AA23" i="2"/>
  <c r="AB23" i="2"/>
  <c r="AC23" i="2"/>
  <c r="AD23" i="2"/>
  <c r="AE23" i="2"/>
  <c r="AF23" i="2"/>
  <c r="AG23" i="2"/>
  <c r="AH23" i="2"/>
  <c r="AA24" i="2"/>
  <c r="AB24" i="2"/>
  <c r="AC24" i="2"/>
  <c r="AD24" i="2"/>
  <c r="AE24" i="2"/>
  <c r="AF24" i="2"/>
  <c r="AG24" i="2"/>
  <c r="AH24" i="2"/>
  <c r="AA25" i="2"/>
  <c r="AC25" i="2"/>
  <c r="AD25" i="2"/>
  <c r="AF25" i="2"/>
  <c r="Z25" i="2"/>
  <c r="Z24" i="2"/>
  <c r="Z23" i="2"/>
  <c r="Z22" i="2"/>
  <c r="O18" i="2"/>
  <c r="P18" i="2"/>
  <c r="Q18" i="2"/>
  <c r="R18" i="2"/>
  <c r="S18" i="2"/>
  <c r="T18" i="2"/>
  <c r="U18" i="2"/>
  <c r="V18" i="2"/>
  <c r="O19" i="2"/>
  <c r="P19" i="2"/>
  <c r="Q19" i="2"/>
  <c r="R19" i="2"/>
  <c r="S19" i="2"/>
  <c r="T19" i="2"/>
  <c r="U19" i="2"/>
  <c r="V19" i="2"/>
  <c r="O20" i="2"/>
  <c r="P20" i="2"/>
  <c r="Q20" i="2"/>
  <c r="R20" i="2"/>
  <c r="S20" i="2"/>
  <c r="T20" i="2"/>
  <c r="U20" i="2"/>
  <c r="U21" i="2" s="1"/>
  <c r="V20" i="2"/>
  <c r="V21" i="2" s="1"/>
  <c r="O21" i="2"/>
  <c r="P21" i="2"/>
  <c r="Q21" i="2"/>
  <c r="R21" i="2"/>
  <c r="S21" i="2"/>
  <c r="T21" i="2"/>
  <c r="N21" i="2"/>
  <c r="N20" i="2"/>
  <c r="N19" i="2"/>
  <c r="N18" i="2"/>
  <c r="C21" i="2"/>
  <c r="D21" i="2"/>
  <c r="E21" i="2"/>
  <c r="F21" i="2"/>
  <c r="G21" i="2"/>
  <c r="H21" i="2"/>
  <c r="I21" i="2"/>
  <c r="J21" i="2"/>
  <c r="C22" i="2"/>
  <c r="D22" i="2"/>
  <c r="E22" i="2"/>
  <c r="F22" i="2"/>
  <c r="G22" i="2"/>
  <c r="H22" i="2"/>
  <c r="I22" i="2"/>
  <c r="J22" i="2"/>
  <c r="C23" i="2"/>
  <c r="D23" i="2"/>
  <c r="E23" i="2"/>
  <c r="F23" i="2"/>
  <c r="G23" i="2"/>
  <c r="H23" i="2"/>
  <c r="I23" i="2"/>
  <c r="J23" i="2"/>
  <c r="C24" i="2"/>
  <c r="D24" i="2"/>
  <c r="E24" i="2"/>
  <c r="F24" i="2"/>
  <c r="G24" i="2"/>
  <c r="H24" i="2"/>
  <c r="I24" i="2"/>
  <c r="J24" i="2"/>
  <c r="B24" i="2"/>
  <c r="B23" i="2"/>
  <c r="B22" i="2"/>
  <c r="B21" i="2"/>
  <c r="P22" i="1"/>
  <c r="AD24" i="1"/>
  <c r="AE24" i="1"/>
  <c r="AF24" i="1"/>
  <c r="AH24" i="1"/>
  <c r="AC24" i="1"/>
  <c r="AD23" i="1"/>
  <c r="AE23" i="1"/>
  <c r="AF23" i="1"/>
  <c r="AH23" i="1"/>
  <c r="AC23" i="1"/>
  <c r="U27" i="1"/>
  <c r="V27" i="1"/>
  <c r="W27" i="1"/>
  <c r="X27" i="1"/>
  <c r="Y27" i="1"/>
  <c r="T27" i="1"/>
  <c r="K22" i="1"/>
  <c r="U26" i="1"/>
  <c r="V26" i="1"/>
  <c r="W26" i="1"/>
  <c r="X26" i="1"/>
  <c r="Y26" i="1"/>
  <c r="T26" i="1"/>
  <c r="L22" i="1"/>
  <c r="M22" i="1"/>
  <c r="N22" i="1"/>
  <c r="O22" i="1"/>
  <c r="L21" i="1"/>
  <c r="M21" i="1"/>
  <c r="N21" i="1"/>
  <c r="O21" i="1"/>
  <c r="P21" i="1"/>
  <c r="K21" i="1"/>
  <c r="C25" i="1"/>
  <c r="D25" i="1"/>
  <c r="E25" i="1"/>
  <c r="F25" i="1"/>
  <c r="G25" i="1"/>
  <c r="B25" i="1"/>
  <c r="C24" i="1"/>
  <c r="D24" i="1"/>
  <c r="E24" i="1"/>
  <c r="F24" i="1"/>
  <c r="G24" i="1"/>
  <c r="B24" i="1"/>
  <c r="AD22" i="1"/>
  <c r="AE22" i="1"/>
  <c r="AF22" i="1"/>
  <c r="AH22" i="1"/>
  <c r="AC22" i="1"/>
  <c r="U25" i="1"/>
  <c r="V25" i="1"/>
  <c r="W25" i="1"/>
  <c r="X25" i="1"/>
  <c r="Y25" i="1"/>
  <c r="T25" i="1"/>
  <c r="L20" i="1"/>
  <c r="M20" i="1"/>
  <c r="N20" i="1"/>
  <c r="O20" i="1"/>
  <c r="P20" i="1"/>
  <c r="K20" i="1"/>
  <c r="C23" i="1"/>
  <c r="D23" i="1"/>
  <c r="E23" i="1"/>
  <c r="F23" i="1"/>
  <c r="G23" i="1"/>
  <c r="B23" i="1"/>
  <c r="U24" i="1"/>
  <c r="V24" i="1"/>
  <c r="W24" i="1"/>
  <c r="X24" i="1"/>
  <c r="Y24" i="1"/>
  <c r="T24" i="1"/>
  <c r="AD21" i="1"/>
  <c r="AE21" i="1"/>
  <c r="AF21" i="1"/>
  <c r="AH21" i="1"/>
  <c r="AC21" i="1"/>
  <c r="B22" i="1"/>
  <c r="C22" i="1"/>
  <c r="D22" i="1"/>
  <c r="E22" i="1"/>
  <c r="F22" i="1"/>
  <c r="G22" i="1"/>
  <c r="L19" i="1"/>
  <c r="M19" i="1"/>
  <c r="N19" i="1"/>
  <c r="O19" i="1"/>
  <c r="P19" i="1"/>
  <c r="K19" i="1"/>
  <c r="L18" i="1"/>
  <c r="M18" i="1"/>
  <c r="N18" i="1"/>
  <c r="O18" i="1"/>
  <c r="P18" i="1"/>
  <c r="K18" i="1"/>
  <c r="C21" i="1"/>
  <c r="D21" i="1"/>
  <c r="E21" i="1"/>
  <c r="F21" i="1"/>
  <c r="G21" i="1"/>
  <c r="B21" i="1"/>
  <c r="U23" i="1"/>
  <c r="V23" i="1"/>
  <c r="W23" i="1"/>
  <c r="X23" i="1"/>
  <c r="Y23" i="1"/>
  <c r="T23" i="1"/>
  <c r="AD20" i="1"/>
  <c r="AE20" i="1"/>
  <c r="AF20" i="1"/>
  <c r="AH20" i="1"/>
  <c r="AC20" i="1"/>
  <c r="Z9" i="5"/>
  <c r="AA9" i="5"/>
  <c r="AB9" i="5" s="1"/>
  <c r="AC9" i="5" s="1"/>
  <c r="Z10" i="5"/>
  <c r="AB10" i="5" s="1"/>
  <c r="AC10" i="5" s="1"/>
  <c r="AA10" i="5"/>
  <c r="AJ11" i="5"/>
  <c r="AK11" i="5"/>
  <c r="AJ12" i="5"/>
  <c r="AL12" i="5" s="1"/>
  <c r="AM12" i="5" s="1"/>
  <c r="AK12" i="5"/>
  <c r="AJ13" i="5"/>
  <c r="AK13" i="5"/>
  <c r="AJ14" i="5"/>
  <c r="AK14" i="5"/>
  <c r="AJ15" i="5"/>
  <c r="AK15" i="5"/>
  <c r="AJ16" i="5"/>
  <c r="AL16" i="5" s="1"/>
  <c r="AM16" i="5" s="1"/>
  <c r="AK16" i="5"/>
  <c r="AJ17" i="5"/>
  <c r="AK17" i="5"/>
  <c r="AL17" i="5" s="1"/>
  <c r="AM17" i="5" s="1"/>
  <c r="AJ18" i="5"/>
  <c r="AK18" i="5"/>
  <c r="AJ19" i="5"/>
  <c r="AK19" i="5"/>
  <c r="AL19" i="5" s="1"/>
  <c r="AM19" i="5" s="1"/>
  <c r="AG24" i="1" l="1"/>
  <c r="AL13" i="5"/>
  <c r="AM13" i="5" s="1"/>
  <c r="AL18" i="5"/>
  <c r="AM18" i="5" s="1"/>
  <c r="AL14" i="5"/>
  <c r="AM14" i="5" s="1"/>
  <c r="AL11" i="5"/>
  <c r="AM11" i="5" s="1"/>
  <c r="AL15" i="5"/>
  <c r="AM15" i="5" s="1"/>
  <c r="Q18" i="5" l="1"/>
  <c r="P18" i="5"/>
  <c r="Q17" i="5"/>
  <c r="P17" i="5"/>
  <c r="G21" i="5"/>
  <c r="F21" i="5"/>
  <c r="Q16" i="5"/>
  <c r="Q15" i="5"/>
  <c r="Q14" i="5"/>
  <c r="Q13" i="5"/>
  <c r="Q12" i="5"/>
  <c r="P16" i="5"/>
  <c r="P15" i="5"/>
  <c r="P14" i="5"/>
  <c r="P13" i="5"/>
  <c r="P12" i="5"/>
  <c r="G20" i="5"/>
  <c r="G19" i="5"/>
  <c r="G18" i="5"/>
  <c r="G17" i="5"/>
  <c r="G16" i="5"/>
  <c r="G15" i="5"/>
  <c r="F20" i="5"/>
  <c r="F19" i="5"/>
  <c r="F18" i="5"/>
  <c r="F17" i="5"/>
  <c r="F16" i="5"/>
  <c r="F15" i="5"/>
  <c r="AK4" i="5"/>
  <c r="AK5" i="5"/>
  <c r="AK6" i="5"/>
  <c r="AK7" i="5"/>
  <c r="AK8" i="5"/>
  <c r="AK9" i="5"/>
  <c r="AK10" i="5"/>
  <c r="AK3" i="5"/>
  <c r="AJ4" i="5"/>
  <c r="AL4" i="5" s="1"/>
  <c r="AJ5" i="5"/>
  <c r="AL5" i="5" s="1"/>
  <c r="AJ6" i="5"/>
  <c r="AL6" i="5" s="1"/>
  <c r="AJ7" i="5"/>
  <c r="AL7" i="5" s="1"/>
  <c r="AJ8" i="5"/>
  <c r="AL8" i="5" s="1"/>
  <c r="AJ9" i="5"/>
  <c r="AL9" i="5" s="1"/>
  <c r="AJ10" i="5"/>
  <c r="AL10" i="5" s="1"/>
  <c r="AJ3" i="5"/>
  <c r="AL3" i="5" s="1"/>
  <c r="AA6" i="5"/>
  <c r="AA7" i="5"/>
  <c r="AA8" i="5"/>
  <c r="Z6" i="5"/>
  <c r="Z7" i="5"/>
  <c r="Z8" i="5"/>
  <c r="AA4" i="5"/>
  <c r="AA5" i="5"/>
  <c r="AA3" i="5"/>
  <c r="Z5" i="5"/>
  <c r="AB5" i="5" s="1"/>
  <c r="Z4" i="5"/>
  <c r="AB4" i="5" s="1"/>
  <c r="Z3" i="5"/>
  <c r="Q4" i="5"/>
  <c r="Q5" i="5"/>
  <c r="Q6" i="5"/>
  <c r="Q7" i="5"/>
  <c r="Q8" i="5"/>
  <c r="Q9" i="5"/>
  <c r="Q10" i="5"/>
  <c r="Q11" i="5"/>
  <c r="Q3" i="5"/>
  <c r="P4" i="5"/>
  <c r="P5" i="5"/>
  <c r="P6" i="5"/>
  <c r="R6" i="5" s="1"/>
  <c r="P7" i="5"/>
  <c r="R7" i="5" s="1"/>
  <c r="P8" i="5"/>
  <c r="R8" i="5" s="1"/>
  <c r="P9" i="5"/>
  <c r="R9" i="5" s="1"/>
  <c r="P10" i="5"/>
  <c r="P11" i="5"/>
  <c r="P3" i="5"/>
  <c r="G4" i="5"/>
  <c r="G5" i="5"/>
  <c r="G6" i="5"/>
  <c r="G7" i="5"/>
  <c r="G8" i="5"/>
  <c r="G9" i="5"/>
  <c r="G10" i="5"/>
  <c r="G11" i="5"/>
  <c r="G12" i="5"/>
  <c r="G13" i="5"/>
  <c r="G14" i="5"/>
  <c r="G3" i="5"/>
  <c r="F4" i="5"/>
  <c r="H4" i="5" s="1"/>
  <c r="F5" i="5"/>
  <c r="F6" i="5"/>
  <c r="F7" i="5"/>
  <c r="F8" i="5"/>
  <c r="F9" i="5"/>
  <c r="F10" i="5"/>
  <c r="F11" i="5"/>
  <c r="F12" i="5"/>
  <c r="H12" i="5" s="1"/>
  <c r="F13" i="5"/>
  <c r="F14" i="5"/>
  <c r="F3" i="5"/>
  <c r="R3" i="5" l="1"/>
  <c r="R4" i="5"/>
  <c r="AB8" i="5"/>
  <c r="H3" i="5"/>
  <c r="I3" i="5" s="1"/>
  <c r="H6" i="5"/>
  <c r="I6" i="5" s="1"/>
  <c r="H7" i="5"/>
  <c r="I7" i="5" s="1"/>
  <c r="H14" i="5"/>
  <c r="I14" i="5" s="1"/>
  <c r="H13" i="5"/>
  <c r="I13" i="5" s="1"/>
  <c r="H5" i="5"/>
  <c r="I5" i="5" s="1"/>
  <c r="R10" i="5"/>
  <c r="S10" i="5" s="1"/>
  <c r="AB3" i="5"/>
  <c r="AC3" i="5" s="1"/>
  <c r="AB6" i="5"/>
  <c r="AC6" i="5" s="1"/>
  <c r="R11" i="5"/>
  <c r="AB7" i="5"/>
  <c r="AC7" i="5" s="1"/>
  <c r="H11" i="5"/>
  <c r="I11" i="5" s="1"/>
  <c r="H10" i="5"/>
  <c r="I10" i="5" s="1"/>
  <c r="H9" i="5"/>
  <c r="I9" i="5" s="1"/>
  <c r="H8" i="5"/>
  <c r="R5" i="5"/>
  <c r="S5" i="5" s="1"/>
  <c r="AC5" i="5"/>
  <c r="R13" i="5"/>
  <c r="S13" i="5" s="1"/>
  <c r="R15" i="5"/>
  <c r="S15" i="5" s="1"/>
  <c r="I12" i="5"/>
  <c r="I8" i="5"/>
  <c r="I4" i="5"/>
  <c r="S3" i="5"/>
  <c r="S8" i="5"/>
  <c r="S6" i="5"/>
  <c r="S4" i="5"/>
  <c r="AC4" i="5"/>
  <c r="AM3" i="5"/>
  <c r="AM9" i="5"/>
  <c r="AM7" i="5"/>
  <c r="AM5" i="5"/>
  <c r="S11" i="5"/>
  <c r="S9" i="5"/>
  <c r="S7" i="5"/>
  <c r="AC8" i="5"/>
  <c r="AM10" i="5"/>
  <c r="AM8" i="5"/>
  <c r="AM6" i="5"/>
  <c r="AM4" i="5"/>
  <c r="H15" i="5"/>
  <c r="I15" i="5" s="1"/>
  <c r="H17" i="5"/>
  <c r="I17" i="5" s="1"/>
  <c r="H19" i="5"/>
  <c r="I19" i="5" s="1"/>
  <c r="H21" i="5"/>
  <c r="I21" i="5" s="1"/>
  <c r="H16" i="5"/>
  <c r="I16" i="5" s="1"/>
  <c r="H18" i="5"/>
  <c r="I18" i="5" s="1"/>
  <c r="H20" i="5"/>
  <c r="I20" i="5" s="1"/>
  <c r="R12" i="5"/>
  <c r="S12" i="5" s="1"/>
  <c r="R14" i="5"/>
  <c r="S14" i="5" s="1"/>
  <c r="R16" i="5"/>
  <c r="S16" i="5" s="1"/>
  <c r="R17" i="5"/>
  <c r="S17" i="5" s="1"/>
  <c r="R18" i="5"/>
  <c r="S18" i="5" s="1"/>
  <c r="AN10" i="5" l="1"/>
  <c r="AD1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tc={064E4B62-1247-DD45-B78D-E8872FFF6FB3}</author>
    <author>tc={18F754DB-79CB-B347-8906-0AF0DBBF7541}</author>
  </authors>
  <commentList>
    <comment ref="A13" authorId="0" shapeId="0" xr:uid="{064E4B62-1247-DD45-B78D-E8872FFF6FB3}">
      <text>
        <t>[Threaded comment]
Your version of Excel allows you to read this threaded comment; however, any edits to it will get removed if the file is opened in a newer version of Excel. Learn more: https://go.microsoft.com/fwlink/?linkid=870924
Comment:
    Why are some mice highlighted with red?</t>
      </text>
    </comment>
    <comment ref="J13" authorId="1" shapeId="0" xr:uid="{18F754DB-79CB-B347-8906-0AF0DBBF754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12 is missing. Is this a typo?
</t>
      </text>
    </comment>
  </commentList>
</comments>
</file>

<file path=xl/sharedStrings.xml><?xml version="1.0" encoding="utf-8"?>
<sst xmlns="http://schemas.openxmlformats.org/spreadsheetml/2006/main" count="615" uniqueCount="124">
  <si>
    <t>US-m-g1-1</t>
  </si>
  <si>
    <t>US-m-g1-2</t>
  </si>
  <si>
    <t>US-m-g1-3</t>
  </si>
  <si>
    <t>US-m-g1-4</t>
  </si>
  <si>
    <t>US-m-g1-5</t>
  </si>
  <si>
    <t>US-m-g1-6</t>
  </si>
  <si>
    <t>US-m-g1-7</t>
  </si>
  <si>
    <t>US-m-g1-8</t>
  </si>
  <si>
    <t>US-m-g1-9</t>
  </si>
  <si>
    <t>US-m-g1-10</t>
  </si>
  <si>
    <t>US-m-g1-11</t>
  </si>
  <si>
    <t>US-m-g1-12</t>
  </si>
  <si>
    <t>KO-m-1</t>
  </si>
  <si>
    <t>KO-m-2</t>
  </si>
  <si>
    <t>KO-m-3</t>
  </si>
  <si>
    <t>US-f-g1-1</t>
  </si>
  <si>
    <t>US-f-g1-2</t>
  </si>
  <si>
    <t>US-f-g1-3</t>
  </si>
  <si>
    <t>US-f-g1-4</t>
  </si>
  <si>
    <t>US-f-g1-5</t>
  </si>
  <si>
    <t>US-f-g1-6</t>
  </si>
  <si>
    <t>US-f-g1-7</t>
  </si>
  <si>
    <t>US-f-g1-8</t>
  </si>
  <si>
    <t>US-f-g1-9</t>
  </si>
  <si>
    <t>CO-f-1</t>
  </si>
  <si>
    <t>Вода</t>
  </si>
  <si>
    <t>Сл.Вода</t>
  </si>
  <si>
    <t>KO-m-4</t>
  </si>
  <si>
    <t>KO-m-5</t>
  </si>
  <si>
    <t>KO-f-1</t>
  </si>
  <si>
    <t>KO-f-2</t>
  </si>
  <si>
    <t>KO-f-3</t>
  </si>
  <si>
    <t>KO-f-4</t>
  </si>
  <si>
    <t>KO-f-5</t>
  </si>
  <si>
    <t>KO-f-6</t>
  </si>
  <si>
    <t>KO-f-7</t>
  </si>
  <si>
    <t>KO-f-8</t>
  </si>
  <si>
    <t>KO-m-6</t>
  </si>
  <si>
    <t>KO-m-7</t>
  </si>
  <si>
    <t>KO-m-8</t>
  </si>
  <si>
    <t>CO-f-2</t>
  </si>
  <si>
    <t>CO-f-3</t>
  </si>
  <si>
    <t>CO-f-4</t>
  </si>
  <si>
    <t>CO-f-5</t>
  </si>
  <si>
    <t>CO-f-6</t>
  </si>
  <si>
    <t>CO-f-7</t>
  </si>
  <si>
    <t>CO-f-8</t>
  </si>
  <si>
    <t>Соц (с)</t>
  </si>
  <si>
    <t>Агр-латент</t>
  </si>
  <si>
    <t>Агр (кол-во)</t>
  </si>
  <si>
    <t>US-m-g1-13</t>
  </si>
  <si>
    <t>US-m-g1-15</t>
  </si>
  <si>
    <t>US-m-g1-16</t>
  </si>
  <si>
    <t>US-m-g1-18</t>
  </si>
  <si>
    <t>US-m-g1-19</t>
  </si>
  <si>
    <t>US-f-g1-10</t>
  </si>
  <si>
    <t>US-f-g1-11</t>
  </si>
  <si>
    <t>US-f-g1-13</t>
  </si>
  <si>
    <t>US-f-g1-14</t>
  </si>
  <si>
    <t>US-f-g1-15</t>
  </si>
  <si>
    <t>тест</t>
  </si>
  <si>
    <t>US-m-g1-12Г</t>
  </si>
  <si>
    <t>KO-m-9</t>
  </si>
  <si>
    <t>KO-m-10</t>
  </si>
  <si>
    <t>KO-m-11</t>
  </si>
  <si>
    <t>KO-m-12</t>
  </si>
  <si>
    <t>KO-m-13</t>
  </si>
  <si>
    <t>KO-m-14</t>
  </si>
  <si>
    <t>KO-m-15</t>
  </si>
  <si>
    <t>KO-m-16</t>
  </si>
  <si>
    <t>KO-m-17</t>
  </si>
  <si>
    <t>KO-m-18</t>
  </si>
  <si>
    <t>KO-m-19</t>
  </si>
  <si>
    <t>KO-m-20</t>
  </si>
  <si>
    <t>KO-f-9</t>
  </si>
  <si>
    <t>KO-f-10</t>
  </si>
  <si>
    <t>KO-f-11</t>
  </si>
  <si>
    <t>KO-f-12</t>
  </si>
  <si>
    <t>KO-f-13</t>
  </si>
  <si>
    <t>KO-f-14</t>
  </si>
  <si>
    <t>KO-f-15</t>
  </si>
  <si>
    <t>KO-f-16</t>
  </si>
  <si>
    <t>KO-f-17</t>
  </si>
  <si>
    <t>KO-m-21</t>
  </si>
  <si>
    <t>US-m-g1-24</t>
  </si>
  <si>
    <t>US-f-g1-16</t>
  </si>
  <si>
    <t>US-f-g1-17</t>
  </si>
  <si>
    <t>ненорм расп</t>
  </si>
  <si>
    <t>Квадраты/Squares</t>
  </si>
  <si>
    <t>Центр/Center</t>
  </si>
  <si>
    <t>Стойки/Rearig</t>
  </si>
  <si>
    <t>Стойки/ Rearing</t>
  </si>
  <si>
    <t>Квадраты/ Squares</t>
  </si>
  <si>
    <t>Mean</t>
  </si>
  <si>
    <t>n</t>
  </si>
  <si>
    <t>SD</t>
  </si>
  <si>
    <t>Вода / Water</t>
  </si>
  <si>
    <t>Сл.Вода / SI. Water</t>
  </si>
  <si>
    <t>До / Up to</t>
  </si>
  <si>
    <t>После / After</t>
  </si>
  <si>
    <t>Сумма / Ammount</t>
  </si>
  <si>
    <t>Индекс / Index</t>
  </si>
  <si>
    <t>Иммоб.(с) / Immob (s)</t>
  </si>
  <si>
    <t>Тёмные (с) / Dark (s)</t>
  </si>
  <si>
    <t>Переходы / Transitions</t>
  </si>
  <si>
    <t>SE</t>
  </si>
  <si>
    <t>95% CI</t>
  </si>
  <si>
    <t>Выглядывания / peeking out</t>
  </si>
  <si>
    <t>Свешивания / Overhangs</t>
  </si>
  <si>
    <t>Замирания/Freezing (s)</t>
  </si>
  <si>
    <t>Грумминг(с)/Total grooming time (s)</t>
  </si>
  <si>
    <t>Число умываний/grooming frequency (count)</t>
  </si>
  <si>
    <t>Сред длит умываний/ Average grooming duration</t>
  </si>
  <si>
    <t>Грумминг(с) /Total Grooming time (s)</t>
  </si>
  <si>
    <t>Число умываний/Grooming frequency (count)</t>
  </si>
  <si>
    <t>Сред длит умываний/Grooming duration (%)</t>
  </si>
  <si>
    <t>Светлые (с) / Light</t>
  </si>
  <si>
    <t>Грумминг (с) / grooming (s)</t>
  </si>
  <si>
    <t>Реаринги / rearing (count)</t>
  </si>
  <si>
    <t>Замирания (с) / total freezing (s)</t>
  </si>
  <si>
    <t>Число умываний / grooming count</t>
  </si>
  <si>
    <t>Сред длит умываний / average grooming time (%)</t>
  </si>
  <si>
    <t>Сумма / Total Ammount of drink Water + SI</t>
  </si>
  <si>
    <t>Выглядывания / head-out inspections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</si>
</sst>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8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sz val="11"/>
      <color rgb="FF00000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165" fontId="0" fillId="0" borderId="0" xfId="0" applyNumberFormat="1"/>
    <xf numFmtId="0" fontId="0" fillId="0" borderId="1" xfId="0" applyBorder="1"/>
    <xf numFmtId="0" fontId="0" fillId="0" borderId="1" xfId="0" applyBorder="1" applyAlignment="1">
      <alignment wrapText="1"/>
    </xf>
    <xf numFmtId="0" fontId="0" fillId="4" borderId="1" xfId="0" applyFill="1" applyBorder="1"/>
    <xf numFmtId="0" fontId="0" fillId="3" borderId="1" xfId="0" applyFill="1" applyBorder="1"/>
    <xf numFmtId="0" fontId="0" fillId="2" borderId="1" xfId="0" applyFill="1" applyBorder="1" applyAlignment="1">
      <alignment wrapText="1"/>
    </xf>
    <xf numFmtId="0" fontId="1" fillId="0" borderId="1" xfId="0" applyFont="1" applyBorder="1"/>
    <xf numFmtId="0" fontId="0" fillId="5" borderId="1" xfId="0" applyFill="1" applyBorder="1"/>
    <xf numFmtId="0" fontId="0" fillId="0" borderId="0" xfId="0" applyAlignment="1">
      <alignment horizontal="left"/>
    </xf>
    <xf numFmtId="1" fontId="2" fillId="0" borderId="0" xfId="0" applyNumberFormat="1" applyFont="1" applyAlignment="1">
      <alignment horizontal="right" vertical="center"/>
    </xf>
    <xf numFmtId="165" fontId="0" fillId="5" borderId="1" xfId="0" applyNumberFormat="1" applyFill="1" applyBorder="1"/>
    <xf numFmtId="0" fontId="0" fillId="0" borderId="1" xfId="0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horizontal="center"/>
    </xf>
    <xf numFmtId="0" fontId="4" fillId="0" borderId="2" xfId="0" applyFont="1" applyFill="1" applyBorder="1"/>
    <xf numFmtId="0" fontId="4" fillId="0" borderId="0" xfId="0" applyFont="1"/>
    <xf numFmtId="0" fontId="4" fillId="0" borderId="1" xfId="0" applyFont="1" applyBorder="1"/>
    <xf numFmtId="0" fontId="0" fillId="0" borderId="1" xfId="0" applyFont="1" applyBorder="1"/>
    <xf numFmtId="0" fontId="5" fillId="0" borderId="1" xfId="0" applyFont="1" applyBorder="1"/>
    <xf numFmtId="0" fontId="7" fillId="0" borderId="1" xfId="0" applyFont="1" applyBorder="1"/>
    <xf numFmtId="0" fontId="0" fillId="0" borderId="0" xfId="0" applyBorder="1"/>
    <xf numFmtId="1" fontId="2" fillId="0" borderId="0" xfId="0" applyNumberFormat="1" applyFont="1" applyBorder="1" applyAlignment="1">
      <alignment horizontal="right" vertical="center"/>
    </xf>
    <xf numFmtId="0" fontId="3" fillId="0" borderId="0" xfId="0" applyFont="1" applyBorder="1"/>
    <xf numFmtId="164" fontId="2" fillId="0" borderId="0" xfId="0" applyNumberFormat="1" applyFont="1" applyBorder="1" applyAlignment="1">
      <alignment horizontal="right" vertical="center"/>
    </xf>
    <xf numFmtId="0" fontId="0" fillId="6" borderId="0" xfId="0" applyFill="1"/>
    <xf numFmtId="0" fontId="0" fillId="6" borderId="1" xfId="0" applyFill="1" applyBorder="1" applyAlignment="1">
      <alignment vertical="top" wrapText="1"/>
    </xf>
    <xf numFmtId="0" fontId="0" fillId="6" borderId="1" xfId="0" applyFill="1" applyBorder="1"/>
    <xf numFmtId="0" fontId="5" fillId="6" borderId="1" xfId="0" applyFont="1" applyFill="1" applyBorder="1"/>
    <xf numFmtId="0" fontId="0" fillId="6" borderId="1" xfId="0" applyFont="1" applyFill="1" applyBorder="1"/>
    <xf numFmtId="0" fontId="0" fillId="6" borderId="1" xfId="0" applyFill="1" applyBorder="1" applyAlignment="1">
      <alignment wrapText="1"/>
    </xf>
    <xf numFmtId="0" fontId="0" fillId="7" borderId="1" xfId="0" applyFill="1" applyBorder="1"/>
    <xf numFmtId="165" fontId="0" fillId="7" borderId="1" xfId="0" applyNumberFormat="1" applyFill="1" applyBorder="1"/>
    <xf numFmtId="0" fontId="0" fillId="0" borderId="0" xfId="0" applyFill="1"/>
    <xf numFmtId="0" fontId="7" fillId="0" borderId="0" xfId="0" applyFont="1"/>
    <xf numFmtId="0" fontId="0" fillId="0" borderId="0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A52525"/>
      <color rgb="FFBE0C0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3" dT="2026-01-06T18:32:33.22" personId="{00000000-0000-0000-0000-000000000000}" id="{064E4B62-1247-DD45-B78D-E8872FFF6FB3}">
    <text>Why are some mice highlighted with red?</text>
  </threadedComment>
  <threadedComment ref="J13" dT="2026-01-06T18:31:43.74" personId="{00000000-0000-0000-0000-000000000000}" id="{18F754DB-79CB-B347-8906-0AF0DBBF7541}">
    <text xml:space="preserve">The 12 is missing. Is this a typo?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7"/>
  <sheetViews>
    <sheetView topLeftCell="H1" workbookViewId="0">
      <selection activeCell="J18" sqref="J18:P22"/>
    </sheetView>
  </sheetViews>
  <sheetFormatPr baseColWidth="10" defaultColWidth="8.83203125" defaultRowHeight="15" x14ac:dyDescent="0.2"/>
  <cols>
    <col min="1" max="1" width="12.1640625" customWidth="1"/>
    <col min="2" max="2" width="11.33203125" customWidth="1"/>
    <col min="3" max="3" width="9.5" bestFit="1" customWidth="1"/>
    <col min="4" max="4" width="9.33203125" bestFit="1" customWidth="1"/>
    <col min="5" max="5" width="10.6640625" customWidth="1"/>
    <col min="6" max="6" width="12.5" customWidth="1"/>
    <col min="7" max="7" width="26.83203125" customWidth="1"/>
    <col min="8" max="8" width="20.33203125" customWidth="1"/>
    <col min="10" max="11" width="11.5" customWidth="1"/>
    <col min="12" max="12" width="13.33203125" customWidth="1"/>
    <col min="14" max="14" width="10" customWidth="1"/>
    <col min="15" max="15" width="11.33203125" customWidth="1"/>
    <col min="16" max="16" width="15.83203125" customWidth="1"/>
    <col min="17" max="17" width="17.5" customWidth="1"/>
    <col min="18" max="18" width="12.1640625" customWidth="1"/>
    <col min="20" max="20" width="10.5" customWidth="1"/>
    <col min="21" max="21" width="10.83203125" bestFit="1" customWidth="1"/>
    <col min="22" max="22" width="9.83203125" bestFit="1" customWidth="1"/>
    <col min="23" max="23" width="14.1640625" customWidth="1"/>
    <col min="24" max="24" width="11.5" customWidth="1"/>
    <col min="25" max="25" width="16.1640625" customWidth="1"/>
    <col min="26" max="26" width="12" customWidth="1"/>
    <col min="29" max="29" width="10.6640625" customWidth="1"/>
    <col min="32" max="32" width="10.1640625" customWidth="1"/>
    <col min="33" max="33" width="10.83203125" customWidth="1"/>
    <col min="34" max="34" width="14.6640625" customWidth="1"/>
    <col min="35" max="35" width="11.5" customWidth="1"/>
  </cols>
  <sheetData>
    <row r="1" spans="1:35" s="15" customFormat="1" ht="66" customHeight="1" x14ac:dyDescent="0.2">
      <c r="A1" s="12"/>
      <c r="B1" s="13" t="s">
        <v>92</v>
      </c>
      <c r="C1" s="13" t="s">
        <v>91</v>
      </c>
      <c r="D1" s="14" t="s">
        <v>89</v>
      </c>
      <c r="E1" s="14" t="s">
        <v>110</v>
      </c>
      <c r="F1" s="14" t="s">
        <v>109</v>
      </c>
      <c r="G1" s="13" t="s">
        <v>111</v>
      </c>
      <c r="H1" s="28" t="s">
        <v>112</v>
      </c>
      <c r="J1" s="12"/>
      <c r="K1" s="13" t="s">
        <v>88</v>
      </c>
      <c r="L1" s="13" t="s">
        <v>90</v>
      </c>
      <c r="M1" s="14" t="s">
        <v>89</v>
      </c>
      <c r="N1" s="13" t="s">
        <v>113</v>
      </c>
      <c r="O1" s="13" t="s">
        <v>109</v>
      </c>
      <c r="P1" s="13" t="s">
        <v>114</v>
      </c>
      <c r="Q1" s="28" t="s">
        <v>115</v>
      </c>
      <c r="S1" s="12"/>
      <c r="T1" s="13" t="s">
        <v>88</v>
      </c>
      <c r="U1" s="13" t="s">
        <v>90</v>
      </c>
      <c r="V1" s="14" t="s">
        <v>89</v>
      </c>
      <c r="W1" s="13" t="s">
        <v>113</v>
      </c>
      <c r="X1" s="13" t="s">
        <v>109</v>
      </c>
      <c r="Y1" s="13" t="s">
        <v>114</v>
      </c>
      <c r="Z1" s="28" t="s">
        <v>115</v>
      </c>
      <c r="AB1" s="12"/>
      <c r="AC1" s="13" t="s">
        <v>88</v>
      </c>
      <c r="AD1" s="13" t="s">
        <v>90</v>
      </c>
      <c r="AE1" s="14" t="s">
        <v>89</v>
      </c>
      <c r="AF1" s="13" t="s">
        <v>113</v>
      </c>
      <c r="AG1" s="13" t="s">
        <v>109</v>
      </c>
      <c r="AH1" s="13" t="s">
        <v>114</v>
      </c>
      <c r="AI1" s="28" t="s">
        <v>115</v>
      </c>
    </row>
    <row r="2" spans="1:35" x14ac:dyDescent="0.2">
      <c r="A2" s="2" t="s">
        <v>0</v>
      </c>
      <c r="B2" s="2">
        <v>40</v>
      </c>
      <c r="C2" s="2">
        <v>19</v>
      </c>
      <c r="D2" s="2">
        <v>1</v>
      </c>
      <c r="E2" s="2">
        <v>21.46</v>
      </c>
      <c r="F2" s="2">
        <v>32.049999999999997</v>
      </c>
      <c r="G2" s="2">
        <v>8</v>
      </c>
      <c r="H2" s="29">
        <v>2.68</v>
      </c>
      <c r="J2" s="2" t="s">
        <v>15</v>
      </c>
      <c r="K2" s="2">
        <v>63</v>
      </c>
      <c r="L2" s="2">
        <v>28</v>
      </c>
      <c r="M2" s="2">
        <v>2</v>
      </c>
      <c r="N2" s="2">
        <v>43.59</v>
      </c>
      <c r="O2" s="2">
        <v>17.72</v>
      </c>
      <c r="P2" s="2">
        <v>5</v>
      </c>
      <c r="Q2" s="29">
        <v>8.7200000000000006</v>
      </c>
      <c r="S2" s="2" t="s">
        <v>12</v>
      </c>
      <c r="T2" s="2">
        <v>63</v>
      </c>
      <c r="U2" s="2">
        <v>32</v>
      </c>
      <c r="V2" s="2">
        <v>9</v>
      </c>
      <c r="W2" s="2">
        <v>16.88</v>
      </c>
      <c r="X2" s="2">
        <v>0</v>
      </c>
      <c r="Y2" s="2">
        <v>3</v>
      </c>
      <c r="Z2" s="29">
        <v>5.63</v>
      </c>
      <c r="AB2" s="5" t="s">
        <v>24</v>
      </c>
      <c r="AC2" s="5"/>
      <c r="AD2" s="5"/>
      <c r="AE2" s="5"/>
      <c r="AF2" s="5"/>
      <c r="AG2" s="5"/>
      <c r="AH2" s="5"/>
      <c r="AI2" s="29"/>
    </row>
    <row r="3" spans="1:35" x14ac:dyDescent="0.2">
      <c r="A3" s="2" t="s">
        <v>1</v>
      </c>
      <c r="B3" s="2">
        <v>41</v>
      </c>
      <c r="C3" s="2">
        <v>22</v>
      </c>
      <c r="D3" s="2">
        <v>1</v>
      </c>
      <c r="E3" s="2">
        <v>21.63</v>
      </c>
      <c r="F3" s="2">
        <v>36.74</v>
      </c>
      <c r="G3" s="2">
        <v>5</v>
      </c>
      <c r="H3" s="29">
        <v>4.33</v>
      </c>
      <c r="J3" s="2" t="s">
        <v>16</v>
      </c>
      <c r="K3" s="2">
        <v>71</v>
      </c>
      <c r="L3" s="2">
        <v>30</v>
      </c>
      <c r="M3" s="2">
        <v>1</v>
      </c>
      <c r="N3" s="2">
        <v>25.21</v>
      </c>
      <c r="O3" s="2">
        <v>20.149999999999999</v>
      </c>
      <c r="P3" s="2">
        <v>4</v>
      </c>
      <c r="Q3" s="29">
        <v>6.3</v>
      </c>
      <c r="S3" s="4" t="s">
        <v>13</v>
      </c>
      <c r="T3" s="4">
        <v>55</v>
      </c>
      <c r="U3" s="4">
        <v>32</v>
      </c>
      <c r="V3" s="4">
        <v>0</v>
      </c>
      <c r="W3" s="4">
        <v>16.68</v>
      </c>
      <c r="X3" s="4">
        <v>0</v>
      </c>
      <c r="Y3" s="4">
        <v>1</v>
      </c>
      <c r="Z3" s="29">
        <v>16.68</v>
      </c>
      <c r="AB3" s="2" t="s">
        <v>24</v>
      </c>
      <c r="AC3" s="2">
        <v>31</v>
      </c>
      <c r="AD3" s="2">
        <v>16</v>
      </c>
      <c r="AE3" s="2">
        <v>1</v>
      </c>
      <c r="AF3" s="2">
        <v>15.62</v>
      </c>
      <c r="AG3" s="2">
        <v>61.3</v>
      </c>
      <c r="AH3" s="2">
        <v>1</v>
      </c>
      <c r="AI3" s="29">
        <v>15.62</v>
      </c>
    </row>
    <row r="4" spans="1:35" x14ac:dyDescent="0.2">
      <c r="A4" s="2" t="s">
        <v>2</v>
      </c>
      <c r="B4" s="2">
        <v>77</v>
      </c>
      <c r="C4" s="2">
        <v>29</v>
      </c>
      <c r="D4" s="2">
        <v>2</v>
      </c>
      <c r="E4" s="2">
        <v>34.19</v>
      </c>
      <c r="F4" s="2">
        <v>3.53</v>
      </c>
      <c r="G4" s="2">
        <v>6</v>
      </c>
      <c r="H4" s="29">
        <v>5.7</v>
      </c>
      <c r="J4" s="2" t="s">
        <v>17</v>
      </c>
      <c r="K4" s="2">
        <v>64</v>
      </c>
      <c r="L4" s="2">
        <v>32</v>
      </c>
      <c r="M4" s="2">
        <v>1</v>
      </c>
      <c r="N4" s="2">
        <v>19.489999999999998</v>
      </c>
      <c r="O4" s="2">
        <v>11.02</v>
      </c>
      <c r="P4" s="2">
        <v>3</v>
      </c>
      <c r="Q4" s="29">
        <v>6.5</v>
      </c>
      <c r="S4" s="2" t="s">
        <v>14</v>
      </c>
      <c r="T4" s="2">
        <v>62</v>
      </c>
      <c r="U4" s="2">
        <v>18</v>
      </c>
      <c r="V4" s="2">
        <v>0</v>
      </c>
      <c r="W4" s="2">
        <v>34.56</v>
      </c>
      <c r="X4" s="2">
        <v>20.38</v>
      </c>
      <c r="Y4" s="2">
        <v>10</v>
      </c>
      <c r="Z4" s="29">
        <v>3.46</v>
      </c>
      <c r="AB4" s="2" t="s">
        <v>40</v>
      </c>
      <c r="AC4" s="2">
        <v>75</v>
      </c>
      <c r="AD4" s="2">
        <v>34</v>
      </c>
      <c r="AE4" s="2">
        <v>6</v>
      </c>
      <c r="AF4" s="2">
        <v>3.88</v>
      </c>
      <c r="AG4" s="2">
        <v>0</v>
      </c>
      <c r="AH4" s="2">
        <v>3</v>
      </c>
      <c r="AI4" s="29">
        <v>1.29</v>
      </c>
    </row>
    <row r="5" spans="1:35" x14ac:dyDescent="0.2">
      <c r="A5" s="2" t="s">
        <v>3</v>
      </c>
      <c r="B5" s="2">
        <v>76</v>
      </c>
      <c r="C5" s="2">
        <v>43</v>
      </c>
      <c r="D5" s="2">
        <v>1</v>
      </c>
      <c r="E5" s="2">
        <v>24.71</v>
      </c>
      <c r="F5" s="2">
        <v>11.97</v>
      </c>
      <c r="G5" s="2">
        <v>6</v>
      </c>
      <c r="H5" s="29">
        <v>4.12</v>
      </c>
      <c r="J5" s="2" t="s">
        <v>18</v>
      </c>
      <c r="K5" s="2">
        <v>81</v>
      </c>
      <c r="L5" s="2">
        <v>50</v>
      </c>
      <c r="M5" s="2">
        <v>1</v>
      </c>
      <c r="N5" s="2">
        <v>9.16</v>
      </c>
      <c r="O5" s="2">
        <v>31.15</v>
      </c>
      <c r="P5" s="2">
        <v>2</v>
      </c>
      <c r="Q5" s="29">
        <v>4.58</v>
      </c>
      <c r="S5" s="2" t="s">
        <v>27</v>
      </c>
      <c r="T5" s="2">
        <v>19</v>
      </c>
      <c r="U5" s="2">
        <v>16</v>
      </c>
      <c r="V5" s="2">
        <v>0</v>
      </c>
      <c r="W5" s="2">
        <v>7.0000000000000007E-2</v>
      </c>
      <c r="X5" s="2">
        <v>42.88</v>
      </c>
      <c r="Y5" s="2">
        <v>2</v>
      </c>
      <c r="Z5" s="29">
        <v>0.03</v>
      </c>
      <c r="AB5" s="2" t="s">
        <v>41</v>
      </c>
      <c r="AC5" s="2">
        <v>67</v>
      </c>
      <c r="AD5" s="2">
        <v>31</v>
      </c>
      <c r="AE5" s="2">
        <v>1</v>
      </c>
      <c r="AF5" s="2">
        <v>7.14</v>
      </c>
      <c r="AG5" s="2">
        <v>0</v>
      </c>
      <c r="AH5" s="2">
        <v>2</v>
      </c>
      <c r="AI5" s="29">
        <v>3.57</v>
      </c>
    </row>
    <row r="6" spans="1:35" x14ac:dyDescent="0.2">
      <c r="A6" s="2" t="s">
        <v>4</v>
      </c>
      <c r="B6" s="2">
        <v>94</v>
      </c>
      <c r="C6" s="2">
        <v>28</v>
      </c>
      <c r="D6" s="2">
        <v>2</v>
      </c>
      <c r="E6" s="2">
        <v>36.56</v>
      </c>
      <c r="F6" s="2">
        <v>0.83</v>
      </c>
      <c r="G6" s="2">
        <v>4</v>
      </c>
      <c r="H6" s="29">
        <v>9.14</v>
      </c>
      <c r="J6" s="2" t="s">
        <v>19</v>
      </c>
      <c r="K6" s="2">
        <v>43</v>
      </c>
      <c r="L6" s="2">
        <v>27</v>
      </c>
      <c r="M6" s="2">
        <v>0</v>
      </c>
      <c r="N6" s="2">
        <v>5.63</v>
      </c>
      <c r="O6" s="2">
        <v>92.26</v>
      </c>
      <c r="P6" s="2">
        <v>2</v>
      </c>
      <c r="Q6" s="29">
        <v>2.81</v>
      </c>
      <c r="S6" s="2" t="s">
        <v>28</v>
      </c>
      <c r="T6" s="2">
        <v>33</v>
      </c>
      <c r="U6" s="2">
        <v>16</v>
      </c>
      <c r="V6" s="2">
        <v>1</v>
      </c>
      <c r="W6" s="2">
        <v>12.25</v>
      </c>
      <c r="X6" s="2">
        <v>0</v>
      </c>
      <c r="Y6" s="2">
        <v>2</v>
      </c>
      <c r="Z6" s="29">
        <v>6.12</v>
      </c>
      <c r="AB6" s="2" t="s">
        <v>42</v>
      </c>
      <c r="AC6" s="2">
        <v>71</v>
      </c>
      <c r="AD6" s="2">
        <v>22</v>
      </c>
      <c r="AE6" s="2">
        <v>4</v>
      </c>
      <c r="AF6" s="2">
        <v>6.54</v>
      </c>
      <c r="AG6" s="2">
        <v>0.67</v>
      </c>
      <c r="AH6" s="2">
        <v>3</v>
      </c>
      <c r="AI6" s="29">
        <v>2.1800000000000002</v>
      </c>
    </row>
    <row r="7" spans="1:35" x14ac:dyDescent="0.2">
      <c r="A7" s="2" t="s">
        <v>5</v>
      </c>
      <c r="B7" s="2">
        <v>111</v>
      </c>
      <c r="C7" s="2">
        <v>46</v>
      </c>
      <c r="D7" s="2">
        <v>2</v>
      </c>
      <c r="E7" s="2">
        <v>13.71</v>
      </c>
      <c r="F7" s="2">
        <v>0</v>
      </c>
      <c r="G7" s="2">
        <v>3</v>
      </c>
      <c r="H7" s="29">
        <v>4.57</v>
      </c>
      <c r="J7" s="2" t="s">
        <v>20</v>
      </c>
      <c r="K7" s="2">
        <v>47</v>
      </c>
      <c r="L7" s="2">
        <v>36</v>
      </c>
      <c r="M7" s="2">
        <v>1</v>
      </c>
      <c r="N7" s="2">
        <v>4.75</v>
      </c>
      <c r="O7" s="2">
        <v>29.79</v>
      </c>
      <c r="P7" s="2">
        <v>3</v>
      </c>
      <c r="Q7" s="29">
        <v>1.58</v>
      </c>
      <c r="S7" s="4" t="s">
        <v>37</v>
      </c>
      <c r="T7" s="4">
        <v>68</v>
      </c>
      <c r="U7" s="4">
        <v>29</v>
      </c>
      <c r="V7" s="4">
        <v>2</v>
      </c>
      <c r="W7" s="4">
        <v>11.53</v>
      </c>
      <c r="X7" s="4">
        <v>0</v>
      </c>
      <c r="Y7" s="4">
        <v>8</v>
      </c>
      <c r="Z7" s="29">
        <v>1.44</v>
      </c>
      <c r="AB7" s="2" t="s">
        <v>43</v>
      </c>
      <c r="AC7" s="2">
        <v>73</v>
      </c>
      <c r="AD7" s="2">
        <v>30</v>
      </c>
      <c r="AE7" s="2">
        <v>1</v>
      </c>
      <c r="AF7" s="2">
        <v>0</v>
      </c>
      <c r="AG7" s="2">
        <v>1.95</v>
      </c>
      <c r="AH7" s="2">
        <v>0</v>
      </c>
      <c r="AI7" s="29">
        <v>0</v>
      </c>
    </row>
    <row r="8" spans="1:35" x14ac:dyDescent="0.2">
      <c r="A8" s="2" t="s">
        <v>6</v>
      </c>
      <c r="B8" s="2">
        <v>94</v>
      </c>
      <c r="C8" s="2">
        <v>37</v>
      </c>
      <c r="D8" s="2">
        <v>3</v>
      </c>
      <c r="E8" s="2">
        <v>14.33</v>
      </c>
      <c r="F8" s="2">
        <v>0</v>
      </c>
      <c r="G8" s="2">
        <v>1</v>
      </c>
      <c r="H8" s="29">
        <v>14.33</v>
      </c>
      <c r="J8" s="2" t="s">
        <v>21</v>
      </c>
      <c r="K8" s="2">
        <v>106</v>
      </c>
      <c r="L8" s="2">
        <v>35</v>
      </c>
      <c r="M8" s="2">
        <v>3</v>
      </c>
      <c r="N8" s="2">
        <v>15.53</v>
      </c>
      <c r="O8" s="2">
        <v>0</v>
      </c>
      <c r="P8" s="2">
        <v>3</v>
      </c>
      <c r="Q8" s="29">
        <v>5.18</v>
      </c>
      <c r="S8" s="2" t="s">
        <v>38</v>
      </c>
      <c r="T8" s="2">
        <v>59</v>
      </c>
      <c r="U8" s="2">
        <v>23</v>
      </c>
      <c r="V8" s="2">
        <v>2</v>
      </c>
      <c r="W8" s="2">
        <v>7.82</v>
      </c>
      <c r="X8" s="2">
        <v>12.56</v>
      </c>
      <c r="Y8" s="2">
        <v>9</v>
      </c>
      <c r="Z8" s="29">
        <v>0.87</v>
      </c>
      <c r="AB8" s="2" t="s">
        <v>44</v>
      </c>
      <c r="AC8" s="2">
        <v>62</v>
      </c>
      <c r="AD8" s="2">
        <v>28</v>
      </c>
      <c r="AE8" s="2">
        <v>4</v>
      </c>
      <c r="AF8" s="2">
        <v>26.12</v>
      </c>
      <c r="AG8" s="2">
        <v>0</v>
      </c>
      <c r="AH8" s="2">
        <v>5</v>
      </c>
      <c r="AI8" s="29">
        <v>5.22</v>
      </c>
    </row>
    <row r="9" spans="1:35" x14ac:dyDescent="0.2">
      <c r="A9" s="2" t="s">
        <v>7</v>
      </c>
      <c r="B9" s="2">
        <v>47</v>
      </c>
      <c r="C9" s="2">
        <v>17</v>
      </c>
      <c r="D9" s="2">
        <v>0</v>
      </c>
      <c r="E9" s="2">
        <v>39.65</v>
      </c>
      <c r="F9" s="2">
        <v>27.5</v>
      </c>
      <c r="G9" s="2">
        <v>5</v>
      </c>
      <c r="H9" s="29">
        <v>7.93</v>
      </c>
      <c r="J9" s="2" t="s">
        <v>22</v>
      </c>
      <c r="K9" s="2">
        <v>49</v>
      </c>
      <c r="L9" s="2">
        <v>34</v>
      </c>
      <c r="M9" s="2">
        <v>2</v>
      </c>
      <c r="N9" s="2">
        <v>9.2100000000000009</v>
      </c>
      <c r="O9" s="2">
        <v>36.15</v>
      </c>
      <c r="P9" s="2">
        <v>1</v>
      </c>
      <c r="Q9" s="29">
        <v>9.2100000000000009</v>
      </c>
      <c r="S9" s="2" t="s">
        <v>39</v>
      </c>
      <c r="T9" s="2">
        <v>52</v>
      </c>
      <c r="U9" s="2">
        <v>23</v>
      </c>
      <c r="V9" s="2">
        <v>1</v>
      </c>
      <c r="W9" s="2">
        <v>0.24</v>
      </c>
      <c r="X9" s="2">
        <v>0</v>
      </c>
      <c r="Y9" s="2">
        <v>2</v>
      </c>
      <c r="Z9" s="29">
        <v>0.12</v>
      </c>
      <c r="AB9" s="2" t="s">
        <v>45</v>
      </c>
      <c r="AC9" s="2">
        <v>56</v>
      </c>
      <c r="AD9" s="2">
        <v>28</v>
      </c>
      <c r="AE9" s="2">
        <v>3</v>
      </c>
      <c r="AF9" s="2">
        <v>40.770000000000003</v>
      </c>
      <c r="AG9" s="2">
        <v>2.13</v>
      </c>
      <c r="AH9" s="2">
        <v>4</v>
      </c>
      <c r="AI9" s="29">
        <v>10.19</v>
      </c>
    </row>
    <row r="10" spans="1:35" x14ac:dyDescent="0.2">
      <c r="A10" s="2" t="s">
        <v>8</v>
      </c>
      <c r="B10" s="2">
        <v>46</v>
      </c>
      <c r="C10" s="2">
        <v>25</v>
      </c>
      <c r="D10" s="2">
        <v>5</v>
      </c>
      <c r="E10" s="2">
        <v>77.27</v>
      </c>
      <c r="F10" s="2">
        <v>7.62</v>
      </c>
      <c r="G10" s="2">
        <v>7</v>
      </c>
      <c r="H10" s="29">
        <v>11.04</v>
      </c>
      <c r="J10" s="2" t="s">
        <v>23</v>
      </c>
      <c r="K10" s="2">
        <v>80</v>
      </c>
      <c r="L10" s="2">
        <v>34</v>
      </c>
      <c r="M10" s="2">
        <v>0</v>
      </c>
      <c r="N10" s="2">
        <v>16.79</v>
      </c>
      <c r="O10" s="2">
        <v>32.46</v>
      </c>
      <c r="P10" s="2">
        <v>4</v>
      </c>
      <c r="Q10" s="29">
        <v>4.2</v>
      </c>
      <c r="S10" s="8"/>
      <c r="T10" s="8"/>
      <c r="U10" s="8"/>
      <c r="V10" s="8"/>
      <c r="W10" s="8"/>
      <c r="X10" s="8"/>
      <c r="Y10" s="8"/>
      <c r="Z10" s="29"/>
      <c r="AB10" s="2" t="s">
        <v>46</v>
      </c>
      <c r="AC10" s="2">
        <v>89</v>
      </c>
      <c r="AD10" s="2">
        <v>36</v>
      </c>
      <c r="AE10" s="2">
        <v>2</v>
      </c>
      <c r="AF10" s="2">
        <v>10.9</v>
      </c>
      <c r="AG10" s="2">
        <v>0</v>
      </c>
      <c r="AH10" s="2">
        <v>5</v>
      </c>
      <c r="AI10" s="29">
        <v>2.1800000000000002</v>
      </c>
    </row>
    <row r="11" spans="1:35" x14ac:dyDescent="0.2">
      <c r="A11" s="2" t="s">
        <v>9</v>
      </c>
      <c r="B11" s="2">
        <v>69</v>
      </c>
      <c r="C11" s="2">
        <v>32</v>
      </c>
      <c r="D11" s="2">
        <v>3</v>
      </c>
      <c r="E11" s="2">
        <v>23.38</v>
      </c>
      <c r="F11" s="2">
        <v>24.24</v>
      </c>
      <c r="G11" s="2">
        <v>2</v>
      </c>
      <c r="H11" s="29">
        <v>11.69</v>
      </c>
      <c r="J11" s="2" t="s">
        <v>55</v>
      </c>
      <c r="K11" s="2">
        <v>29</v>
      </c>
      <c r="L11" s="2">
        <v>12</v>
      </c>
      <c r="M11" s="2">
        <v>0</v>
      </c>
      <c r="N11" s="2">
        <v>26.8</v>
      </c>
      <c r="O11" s="2">
        <v>71.709999999999994</v>
      </c>
      <c r="P11" s="2">
        <v>3</v>
      </c>
      <c r="Q11" s="29">
        <v>8.93</v>
      </c>
      <c r="S11" s="8"/>
      <c r="T11" s="8"/>
      <c r="U11" s="8"/>
      <c r="V11" s="8"/>
      <c r="W11" s="8"/>
      <c r="X11" s="8"/>
      <c r="Y11" s="8"/>
      <c r="Z11" s="29"/>
      <c r="AB11" s="8"/>
      <c r="AC11" s="8"/>
      <c r="AD11" s="8"/>
      <c r="AE11" s="8"/>
      <c r="AF11" s="8"/>
      <c r="AG11" s="8"/>
      <c r="AH11" s="8"/>
      <c r="AI11" s="29"/>
    </row>
    <row r="12" spans="1:35" x14ac:dyDescent="0.2">
      <c r="A12" s="2" t="s">
        <v>10</v>
      </c>
      <c r="B12" s="2">
        <v>79</v>
      </c>
      <c r="C12" s="2">
        <v>32</v>
      </c>
      <c r="D12" s="2">
        <v>5</v>
      </c>
      <c r="E12" s="2">
        <v>32.57</v>
      </c>
      <c r="F12" s="2">
        <v>0.31</v>
      </c>
      <c r="G12" s="2">
        <v>5</v>
      </c>
      <c r="H12" s="29">
        <v>6.51</v>
      </c>
      <c r="J12" s="2" t="s">
        <v>56</v>
      </c>
      <c r="K12" s="2">
        <v>56</v>
      </c>
      <c r="L12" s="2">
        <v>23</v>
      </c>
      <c r="M12" s="2">
        <v>1</v>
      </c>
      <c r="N12" s="2">
        <v>7.95</v>
      </c>
      <c r="O12" s="2">
        <v>64.58</v>
      </c>
      <c r="P12" s="2">
        <v>2</v>
      </c>
      <c r="Q12" s="29">
        <v>3.98</v>
      </c>
      <c r="S12" s="8"/>
      <c r="T12" s="8"/>
      <c r="U12" s="8"/>
      <c r="V12" s="8"/>
      <c r="W12" s="8"/>
      <c r="X12" s="8"/>
      <c r="Y12" s="8"/>
      <c r="Z12" s="29"/>
      <c r="AB12" s="8"/>
      <c r="AC12" s="8"/>
      <c r="AD12" s="8"/>
      <c r="AE12" s="8"/>
      <c r="AF12" s="8"/>
      <c r="AG12" s="8"/>
      <c r="AH12" s="8"/>
      <c r="AI12" s="29"/>
    </row>
    <row r="13" spans="1:35" x14ac:dyDescent="0.2">
      <c r="A13" s="4" t="s">
        <v>11</v>
      </c>
      <c r="B13" s="4">
        <v>64</v>
      </c>
      <c r="C13" s="4">
        <v>22</v>
      </c>
      <c r="D13" s="4">
        <v>3</v>
      </c>
      <c r="E13" s="4">
        <v>30.09</v>
      </c>
      <c r="F13" s="4">
        <v>26.84</v>
      </c>
      <c r="G13" s="4">
        <v>2</v>
      </c>
      <c r="H13" s="29">
        <v>15.04</v>
      </c>
      <c r="J13" s="20" t="s">
        <v>57</v>
      </c>
      <c r="K13" s="20">
        <v>58</v>
      </c>
      <c r="L13" s="20">
        <v>25</v>
      </c>
      <c r="M13" s="20">
        <v>2</v>
      </c>
      <c r="N13" s="20">
        <v>25.53</v>
      </c>
      <c r="O13" s="20">
        <v>11.62</v>
      </c>
      <c r="P13" s="20">
        <v>5</v>
      </c>
      <c r="Q13" s="31">
        <v>5.1100000000000003</v>
      </c>
      <c r="S13" s="8"/>
      <c r="T13" s="8"/>
      <c r="U13" s="8"/>
      <c r="V13" s="8"/>
      <c r="W13" s="8"/>
      <c r="X13" s="8"/>
      <c r="Y13" s="8"/>
      <c r="Z13" s="29"/>
      <c r="AB13" s="8"/>
      <c r="AC13" s="8"/>
      <c r="AD13" s="8"/>
      <c r="AE13" s="8"/>
      <c r="AF13" s="8"/>
      <c r="AG13" s="8"/>
      <c r="AH13" s="8"/>
      <c r="AI13" s="29"/>
    </row>
    <row r="14" spans="1:35" x14ac:dyDescent="0.2">
      <c r="A14" s="2" t="s">
        <v>50</v>
      </c>
      <c r="B14" s="2">
        <v>23</v>
      </c>
      <c r="C14" s="2">
        <v>9</v>
      </c>
      <c r="D14" s="2">
        <v>1</v>
      </c>
      <c r="E14" s="2">
        <v>51.29</v>
      </c>
      <c r="F14" s="2">
        <v>103.93</v>
      </c>
      <c r="G14" s="2">
        <v>4</v>
      </c>
      <c r="H14" s="29">
        <v>12.82</v>
      </c>
      <c r="J14" s="2" t="s">
        <v>58</v>
      </c>
      <c r="K14" s="2">
        <v>34</v>
      </c>
      <c r="L14" s="2">
        <v>21</v>
      </c>
      <c r="M14" s="2">
        <v>0</v>
      </c>
      <c r="N14" s="2">
        <v>0</v>
      </c>
      <c r="O14" s="2">
        <v>76.11</v>
      </c>
      <c r="P14" s="2">
        <v>0</v>
      </c>
      <c r="Q14" s="29">
        <v>0</v>
      </c>
      <c r="S14" s="8"/>
      <c r="T14" s="8"/>
      <c r="U14" s="8"/>
      <c r="V14" s="8"/>
      <c r="W14" s="8"/>
      <c r="X14" s="8"/>
      <c r="Y14" s="8"/>
      <c r="Z14" s="29"/>
      <c r="AB14" s="8"/>
      <c r="AC14" s="8"/>
      <c r="AD14" s="8"/>
      <c r="AE14" s="8"/>
      <c r="AF14" s="8"/>
      <c r="AG14" s="8"/>
      <c r="AH14" s="8"/>
      <c r="AI14" s="29"/>
    </row>
    <row r="15" spans="1:35" x14ac:dyDescent="0.2">
      <c r="A15" s="2" t="s">
        <v>51</v>
      </c>
      <c r="B15" s="2">
        <v>38</v>
      </c>
      <c r="C15" s="2">
        <v>22</v>
      </c>
      <c r="D15" s="2">
        <v>1</v>
      </c>
      <c r="E15" s="2">
        <v>65.739999999999995</v>
      </c>
      <c r="F15" s="2">
        <v>0</v>
      </c>
      <c r="G15" s="2">
        <v>8</v>
      </c>
      <c r="H15" s="29">
        <v>8.2200000000000006</v>
      </c>
      <c r="J15" s="2" t="s">
        <v>59</v>
      </c>
      <c r="K15" s="2">
        <v>56</v>
      </c>
      <c r="L15" s="2">
        <v>17</v>
      </c>
      <c r="M15" s="2">
        <v>2</v>
      </c>
      <c r="N15" s="2">
        <v>7.1</v>
      </c>
      <c r="O15" s="2">
        <v>26.31</v>
      </c>
      <c r="P15" s="2">
        <v>3</v>
      </c>
      <c r="Q15" s="29">
        <v>2.37</v>
      </c>
      <c r="S15" s="8"/>
      <c r="T15" s="8"/>
      <c r="U15" s="8"/>
      <c r="V15" s="8"/>
      <c r="W15" s="8"/>
      <c r="X15" s="8"/>
      <c r="Y15" s="8"/>
      <c r="Z15" s="29"/>
      <c r="AB15" s="8"/>
      <c r="AC15" s="8"/>
      <c r="AD15" s="8"/>
      <c r="AE15" s="8"/>
      <c r="AF15" s="8"/>
      <c r="AG15" s="8"/>
      <c r="AH15" s="8"/>
      <c r="AI15" s="29"/>
    </row>
    <row r="16" spans="1:35" x14ac:dyDescent="0.2">
      <c r="A16" s="2" t="s">
        <v>52</v>
      </c>
      <c r="B16" s="2">
        <v>40</v>
      </c>
      <c r="C16" s="2">
        <v>16</v>
      </c>
      <c r="D16" s="2">
        <v>2</v>
      </c>
      <c r="E16" s="2">
        <v>67.53</v>
      </c>
      <c r="F16" s="2">
        <v>42.48</v>
      </c>
      <c r="G16" s="2">
        <v>5</v>
      </c>
      <c r="H16" s="29">
        <v>13.51</v>
      </c>
      <c r="J16" s="2" t="s">
        <v>85</v>
      </c>
      <c r="K16" s="2">
        <v>46</v>
      </c>
      <c r="L16" s="2">
        <v>23</v>
      </c>
      <c r="M16" s="2">
        <v>2</v>
      </c>
      <c r="N16" s="2">
        <v>38</v>
      </c>
      <c r="O16" s="2">
        <v>3.65</v>
      </c>
      <c r="P16" s="2">
        <v>4</v>
      </c>
      <c r="Q16" s="29">
        <v>9.5</v>
      </c>
      <c r="S16" s="8"/>
      <c r="T16" s="8"/>
      <c r="U16" s="8"/>
      <c r="V16" s="8"/>
      <c r="W16" s="8"/>
      <c r="X16" s="8"/>
      <c r="Y16" s="8"/>
      <c r="Z16" s="29"/>
      <c r="AB16" s="8"/>
      <c r="AC16" s="8"/>
      <c r="AD16" s="8"/>
      <c r="AE16" s="8"/>
      <c r="AF16" s="8"/>
      <c r="AG16" s="8"/>
      <c r="AH16" s="8"/>
      <c r="AI16" s="29"/>
    </row>
    <row r="17" spans="1:35" x14ac:dyDescent="0.2">
      <c r="A17" s="2" t="s">
        <v>53</v>
      </c>
      <c r="B17" s="2">
        <v>25</v>
      </c>
      <c r="C17" s="2">
        <v>7</v>
      </c>
      <c r="D17" s="2">
        <v>1</v>
      </c>
      <c r="E17" s="2">
        <v>12.54</v>
      </c>
      <c r="F17" s="2">
        <v>144.97999999999999</v>
      </c>
      <c r="G17" s="2">
        <v>3</v>
      </c>
      <c r="H17" s="29">
        <v>4.18</v>
      </c>
      <c r="J17" s="2" t="s">
        <v>86</v>
      </c>
      <c r="K17" s="2">
        <v>71</v>
      </c>
      <c r="L17" s="2">
        <v>24</v>
      </c>
      <c r="M17" s="2">
        <v>2</v>
      </c>
      <c r="N17" s="2">
        <v>19.260000000000002</v>
      </c>
      <c r="O17" s="2">
        <v>0</v>
      </c>
      <c r="P17" s="2">
        <v>4</v>
      </c>
      <c r="Q17" s="29">
        <v>4.8099999999999996</v>
      </c>
      <c r="S17" s="8"/>
      <c r="T17" s="8"/>
      <c r="U17" s="8"/>
      <c r="V17" s="8"/>
      <c r="W17" s="8"/>
      <c r="X17" s="8"/>
      <c r="Y17" s="8"/>
      <c r="Z17" s="29"/>
      <c r="AB17" s="8"/>
      <c r="AC17" s="8"/>
      <c r="AD17" s="8"/>
      <c r="AE17" s="8"/>
      <c r="AF17" s="8"/>
      <c r="AG17" s="8"/>
      <c r="AH17" s="8"/>
      <c r="AI17" s="29"/>
    </row>
    <row r="18" spans="1:35" x14ac:dyDescent="0.2">
      <c r="A18" s="2" t="s">
        <v>54</v>
      </c>
      <c r="B18" s="2">
        <v>52</v>
      </c>
      <c r="C18" s="2">
        <v>20</v>
      </c>
      <c r="D18" s="2">
        <v>1</v>
      </c>
      <c r="E18" s="2">
        <v>12.43</v>
      </c>
      <c r="F18" s="2">
        <v>0</v>
      </c>
      <c r="G18" s="2">
        <v>3</v>
      </c>
      <c r="H18" s="29">
        <v>4.1399999999999997</v>
      </c>
      <c r="J18" s="17" t="s">
        <v>93</v>
      </c>
      <c r="K18">
        <f>AVERAGE(K2:K17)</f>
        <v>59.625</v>
      </c>
      <c r="L18">
        <f t="shared" ref="L18:Q18" si="0">AVERAGE(L2:L17)</f>
        <v>28.1875</v>
      </c>
      <c r="M18">
        <f t="shared" si="0"/>
        <v>1.25</v>
      </c>
      <c r="N18">
        <f t="shared" si="0"/>
        <v>17.125</v>
      </c>
      <c r="O18">
        <f t="shared" si="0"/>
        <v>32.792499999999997</v>
      </c>
      <c r="P18">
        <f t="shared" si="0"/>
        <v>3</v>
      </c>
      <c r="S18" s="8"/>
      <c r="T18" s="8"/>
      <c r="U18" s="8"/>
      <c r="V18" s="8"/>
      <c r="W18" s="8"/>
      <c r="X18" s="8"/>
      <c r="Y18" s="8"/>
      <c r="Z18" s="29"/>
      <c r="AB18" s="8"/>
      <c r="AC18" s="8"/>
      <c r="AD18" s="8"/>
      <c r="AE18" s="8"/>
      <c r="AF18" s="8"/>
      <c r="AG18" s="8"/>
      <c r="AH18" s="8"/>
      <c r="AI18" s="29"/>
    </row>
    <row r="19" spans="1:35" x14ac:dyDescent="0.2">
      <c r="A19" s="2" t="s">
        <v>61</v>
      </c>
      <c r="B19" s="2">
        <v>22</v>
      </c>
      <c r="C19" s="2">
        <v>10</v>
      </c>
      <c r="D19" s="2">
        <v>1</v>
      </c>
      <c r="E19" s="2">
        <v>10.78</v>
      </c>
      <c r="F19" s="2">
        <v>123.1</v>
      </c>
      <c r="G19" s="2">
        <v>1</v>
      </c>
      <c r="H19" s="29">
        <v>10.78</v>
      </c>
      <c r="J19" s="17" t="s">
        <v>94</v>
      </c>
      <c r="K19">
        <f>COUNT(K2:K17)</f>
        <v>16</v>
      </c>
      <c r="L19">
        <f t="shared" ref="L19:Q19" si="1">COUNT(L2:L17)</f>
        <v>16</v>
      </c>
      <c r="M19">
        <f t="shared" si="1"/>
        <v>16</v>
      </c>
      <c r="N19">
        <f t="shared" si="1"/>
        <v>16</v>
      </c>
      <c r="O19">
        <f t="shared" si="1"/>
        <v>16</v>
      </c>
      <c r="P19">
        <f t="shared" si="1"/>
        <v>16</v>
      </c>
      <c r="S19" s="8"/>
      <c r="T19" s="8"/>
      <c r="U19" s="8"/>
      <c r="V19" s="8"/>
      <c r="W19" s="8"/>
      <c r="X19" s="8"/>
      <c r="Y19" s="8"/>
      <c r="Z19" s="29"/>
      <c r="AB19" s="8"/>
      <c r="AC19" s="8"/>
      <c r="AD19" s="8"/>
      <c r="AE19" s="8"/>
      <c r="AF19" s="8"/>
      <c r="AG19" s="8"/>
      <c r="AH19" s="8"/>
      <c r="AI19" s="29"/>
    </row>
    <row r="20" spans="1:35" x14ac:dyDescent="0.2">
      <c r="A20" s="19" t="s">
        <v>84</v>
      </c>
      <c r="B20" s="2">
        <v>31</v>
      </c>
      <c r="C20" s="2">
        <v>12</v>
      </c>
      <c r="D20" s="2">
        <v>0</v>
      </c>
      <c r="E20" s="2">
        <v>41.71</v>
      </c>
      <c r="F20" s="21">
        <v>45.28</v>
      </c>
      <c r="G20" s="21">
        <v>2</v>
      </c>
      <c r="H20" s="30">
        <v>20.86</v>
      </c>
      <c r="I20" s="18"/>
      <c r="J20" s="18" t="s">
        <v>95</v>
      </c>
      <c r="K20">
        <f>STDEV(K2:K17)</f>
        <v>19.441793470082263</v>
      </c>
      <c r="L20">
        <f t="shared" ref="L20:Q20" si="2">STDEV(L2:L17)</f>
        <v>8.9085632960651964</v>
      </c>
      <c r="M20">
        <f t="shared" si="2"/>
        <v>0.93094933625126275</v>
      </c>
      <c r="N20">
        <f t="shared" si="2"/>
        <v>12.296062784485121</v>
      </c>
      <c r="O20">
        <f t="shared" si="2"/>
        <v>28.649882256884293</v>
      </c>
      <c r="P20">
        <f t="shared" si="2"/>
        <v>1.3662601021279464</v>
      </c>
      <c r="S20" s="8"/>
      <c r="T20" s="8"/>
      <c r="U20" s="8"/>
      <c r="V20" s="8"/>
      <c r="W20" s="8"/>
      <c r="X20" s="8"/>
      <c r="Y20" s="8"/>
      <c r="Z20" s="29"/>
      <c r="AB20" s="18" t="s">
        <v>93</v>
      </c>
      <c r="AC20">
        <f>AVERAGE(AC3:AC10)</f>
        <v>65.5</v>
      </c>
      <c r="AD20">
        <f>AVERAGE(AD3:AD10)</f>
        <v>28.125</v>
      </c>
      <c r="AE20">
        <f>AVERAGE(AE3:AE10)</f>
        <v>2.75</v>
      </c>
      <c r="AF20">
        <f>AVERAGE(AF3:AF10)</f>
        <v>13.87125</v>
      </c>
      <c r="AG20">
        <f>AVERAGE(AG3:AG10)</f>
        <v>8.2562499999999996</v>
      </c>
      <c r="AH20">
        <f>AVERAGE(AH3:AH10)</f>
        <v>2.875</v>
      </c>
      <c r="AI20" s="27"/>
    </row>
    <row r="21" spans="1:35" x14ac:dyDescent="0.2">
      <c r="A21" s="17" t="s">
        <v>93</v>
      </c>
      <c r="B21">
        <f>AVERAGE(B2:B20)</f>
        <v>56.263157894736842</v>
      </c>
      <c r="C21">
        <f t="shared" ref="C21:H21" si="3">AVERAGE(C2:C20)</f>
        <v>23.578947368421051</v>
      </c>
      <c r="D21">
        <f t="shared" si="3"/>
        <v>1.8421052631578947</v>
      </c>
      <c r="E21">
        <f t="shared" si="3"/>
        <v>33.240526315789474</v>
      </c>
      <c r="F21">
        <f t="shared" si="3"/>
        <v>33.231578947368419</v>
      </c>
      <c r="G21">
        <f t="shared" si="3"/>
        <v>4.2105263157894735</v>
      </c>
      <c r="H21" s="35"/>
      <c r="J21" s="17" t="s">
        <v>105</v>
      </c>
      <c r="K21">
        <f>K18/SQRT(K19)</f>
        <v>14.90625</v>
      </c>
      <c r="L21">
        <f t="shared" ref="L21:Q21" si="4">L18/SQRT(L19)</f>
        <v>7.046875</v>
      </c>
      <c r="M21">
        <f t="shared" si="4"/>
        <v>0.3125</v>
      </c>
      <c r="N21">
        <f t="shared" si="4"/>
        <v>4.28125</v>
      </c>
      <c r="O21">
        <f t="shared" si="4"/>
        <v>8.1981249999999992</v>
      </c>
      <c r="P21">
        <f t="shared" si="4"/>
        <v>0.75</v>
      </c>
      <c r="S21" s="8"/>
      <c r="T21" s="8"/>
      <c r="U21" s="8"/>
      <c r="V21" s="8"/>
      <c r="W21" s="8"/>
      <c r="X21" s="8"/>
      <c r="Y21" s="8"/>
      <c r="Z21" s="29"/>
      <c r="AA21" s="18"/>
      <c r="AB21" s="18" t="s">
        <v>94</v>
      </c>
      <c r="AC21">
        <f>COUNT(AC3:AC10)</f>
        <v>8</v>
      </c>
      <c r="AD21">
        <f t="shared" ref="AD21:AI21" si="5">COUNT(AD3:AD10)</f>
        <v>8</v>
      </c>
      <c r="AE21">
        <f t="shared" si="5"/>
        <v>8</v>
      </c>
      <c r="AF21">
        <f t="shared" si="5"/>
        <v>8</v>
      </c>
      <c r="AG21">
        <f>COUNT(AG3:AG10)</f>
        <v>8</v>
      </c>
      <c r="AH21">
        <f t="shared" si="5"/>
        <v>8</v>
      </c>
      <c r="AI21" s="27"/>
    </row>
    <row r="22" spans="1:35" x14ac:dyDescent="0.2">
      <c r="A22" s="17" t="s">
        <v>94</v>
      </c>
      <c r="B22">
        <f>COUNT(B2:B20)</f>
        <v>19</v>
      </c>
      <c r="C22">
        <f t="shared" ref="C22:H22" si="6">COUNT(C2:C20)</f>
        <v>19</v>
      </c>
      <c r="D22">
        <f t="shared" si="6"/>
        <v>19</v>
      </c>
      <c r="E22">
        <f t="shared" si="6"/>
        <v>19</v>
      </c>
      <c r="F22">
        <f t="shared" si="6"/>
        <v>19</v>
      </c>
      <c r="G22">
        <f t="shared" si="6"/>
        <v>19</v>
      </c>
      <c r="H22" s="35"/>
      <c r="J22" s="17" t="s">
        <v>106</v>
      </c>
      <c r="K22" t="str">
        <f>TEXT(K18 - _xlfn.T.INV.2T(0.05, K19-1)*K21,"0.00") &amp; " - " &amp; TEXT(K18 + _xlfn.T.INV.2T(0.05, K19-1)*B21,"0.00")</f>
        <v>27.85 - 179.55</v>
      </c>
      <c r="L22" t="str">
        <f t="shared" ref="L22:Q22" si="7">TEXT(L18 - _xlfn.T.INV.2T(0.05, L19-1)*L21,"0.00") &amp; " - " &amp; TEXT(L18 + _xlfn.T.INV.2T(0.05, L19-1)*C21,"0.00")</f>
        <v>13.17 - 78.44</v>
      </c>
      <c r="M22" t="str">
        <f t="shared" si="7"/>
        <v>0.58 - 5.18</v>
      </c>
      <c r="N22" t="str">
        <f t="shared" si="7"/>
        <v>8.00 - 87.98</v>
      </c>
      <c r="O22" t="str">
        <f t="shared" si="7"/>
        <v>15.32 - 103.62</v>
      </c>
      <c r="P22" t="str">
        <f>TEXT(P18 - _xlfn.T.INV.2T(0.05, P19-1)*P21,"0.00") &amp; " - " &amp; TEXT(P18 + _xlfn.T.INV.2T(0.05, P19-1)*G21,"0.00")</f>
        <v>1.40 - 11.97</v>
      </c>
      <c r="S22" s="8"/>
      <c r="T22" s="8"/>
      <c r="U22" s="8"/>
      <c r="V22" s="8"/>
      <c r="W22" s="8"/>
      <c r="X22" s="8"/>
      <c r="Y22" s="8"/>
      <c r="Z22" s="29"/>
      <c r="AB22" s="18" t="s">
        <v>95</v>
      </c>
      <c r="AC22">
        <f>STDEV(AC3:AC10)</f>
        <v>17.004201161561728</v>
      </c>
      <c r="AD22">
        <f t="shared" ref="AD22:AI22" si="8">STDEV(AD3:AD10)</f>
        <v>6.4683294376744387</v>
      </c>
      <c r="AE22">
        <f t="shared" si="8"/>
        <v>1.8322507626258087</v>
      </c>
      <c r="AF22">
        <f t="shared" si="8"/>
        <v>13.505314760704925</v>
      </c>
      <c r="AG22">
        <f>STDEV(AG3:AG10)</f>
        <v>21.451450125807344</v>
      </c>
      <c r="AH22">
        <f t="shared" si="8"/>
        <v>1.807721533549109</v>
      </c>
      <c r="AI22" s="27"/>
    </row>
    <row r="23" spans="1:35" x14ac:dyDescent="0.2">
      <c r="A23" s="17" t="s">
        <v>95</v>
      </c>
      <c r="B23">
        <f>STDEV(B2:B20)</f>
        <v>26.461380885406811</v>
      </c>
      <c r="C23">
        <f t="shared" ref="C23:H23" si="9">STDEV(C2:C20)</f>
        <v>11.057002755788771</v>
      </c>
      <c r="D23">
        <f t="shared" si="9"/>
        <v>1.4245138700910818</v>
      </c>
      <c r="E23">
        <f t="shared" si="9"/>
        <v>19.972440031671475</v>
      </c>
      <c r="F23">
        <f t="shared" si="9"/>
        <v>43.781337762308155</v>
      </c>
      <c r="G23">
        <f t="shared" si="9"/>
        <v>2.1750848608840028</v>
      </c>
      <c r="H23" s="35"/>
      <c r="S23" s="18" t="s">
        <v>93</v>
      </c>
      <c r="T23">
        <f>AVERAGE(T2:T9)</f>
        <v>51.375</v>
      </c>
      <c r="U23">
        <f t="shared" ref="U23:Z23" si="10">AVERAGE(U2:U9)</f>
        <v>23.625</v>
      </c>
      <c r="V23">
        <f t="shared" si="10"/>
        <v>1.875</v>
      </c>
      <c r="W23">
        <f t="shared" si="10"/>
        <v>12.503749999999998</v>
      </c>
      <c r="X23">
        <f t="shared" si="10"/>
        <v>9.4775000000000009</v>
      </c>
      <c r="Y23">
        <f t="shared" si="10"/>
        <v>4.625</v>
      </c>
      <c r="AB23" s="17" t="s">
        <v>105</v>
      </c>
      <c r="AC23">
        <f>AC20/SQRT(AC21)</f>
        <v>23.15774708385943</v>
      </c>
      <c r="AD23">
        <f t="shared" ref="AD23:AI23" si="11">AD20/SQRT(AD21)</f>
        <v>9.9436891104358232</v>
      </c>
      <c r="AE23">
        <f t="shared" si="11"/>
        <v>0.97227182413150282</v>
      </c>
      <c r="AF23">
        <f t="shared" si="11"/>
        <v>4.9042274692669485</v>
      </c>
      <c r="AG23">
        <f>AG20/SQRT(AG21)</f>
        <v>2.9190251810857162</v>
      </c>
      <c r="AH23">
        <f t="shared" si="11"/>
        <v>1.0164659979556621</v>
      </c>
      <c r="AI23" s="27"/>
    </row>
    <row r="24" spans="1:35" x14ac:dyDescent="0.2">
      <c r="A24" s="17" t="s">
        <v>105</v>
      </c>
      <c r="B24">
        <f>B23/SQRT(B22)</f>
        <v>6.0706571150540585</v>
      </c>
      <c r="C24">
        <f t="shared" ref="C24:H24" si="12">C23/SQRT(C22)</f>
        <v>2.5366504016281044</v>
      </c>
      <c r="D24">
        <f t="shared" si="12"/>
        <v>0.32680589491573958</v>
      </c>
      <c r="E24">
        <f t="shared" si="12"/>
        <v>4.5819919870516967</v>
      </c>
      <c r="F24">
        <f t="shared" si="12"/>
        <v>10.044127732574863</v>
      </c>
      <c r="G24">
        <f t="shared" si="12"/>
        <v>0.49899868959045218</v>
      </c>
      <c r="H24" s="35"/>
      <c r="S24" s="18" t="s">
        <v>94</v>
      </c>
      <c r="T24">
        <f>COUNT(T2:T9)</f>
        <v>8</v>
      </c>
      <c r="U24">
        <f t="shared" ref="U24:Z24" si="13">COUNT(U2:U9)</f>
        <v>8</v>
      </c>
      <c r="V24">
        <f t="shared" si="13"/>
        <v>8</v>
      </c>
      <c r="W24">
        <f t="shared" si="13"/>
        <v>8</v>
      </c>
      <c r="X24">
        <f t="shared" si="13"/>
        <v>8</v>
      </c>
      <c r="Y24">
        <f t="shared" si="13"/>
        <v>8</v>
      </c>
      <c r="AB24" s="17" t="s">
        <v>106</v>
      </c>
      <c r="AC24" t="str">
        <f>TEXT(AC20 - _xlfn.T.INV.2T(0.05, AC21-1)*AC23,"0.00") &amp; " - " &amp; TEXT(AC20 + _xlfn.T.INV.2T(0.05, AC21-1)*AC23,"0.00")</f>
        <v>10.74 - 120.26</v>
      </c>
      <c r="AD24" t="str">
        <f t="shared" ref="AD24:AI24" si="14">TEXT(AD20 - _xlfn.T.INV.2T(0.05, AD21-1)*AD23,"0.00") &amp; " - " &amp; TEXT(AD20 + _xlfn.T.INV.2T(0.05, AD21-1)*AD23,"0.00")</f>
        <v>4.61 - 51.64</v>
      </c>
      <c r="AE24" t="str">
        <f t="shared" si="14"/>
        <v>0.45 - 5.05</v>
      </c>
      <c r="AF24" t="str">
        <f t="shared" si="14"/>
        <v>2.27 - 25.47</v>
      </c>
      <c r="AG24" t="str">
        <f t="shared" si="14"/>
        <v>1.35 - 15.16</v>
      </c>
      <c r="AH24" t="str">
        <f t="shared" si="14"/>
        <v>0.47 - 5.28</v>
      </c>
      <c r="AI24" s="27"/>
    </row>
    <row r="25" spans="1:35" x14ac:dyDescent="0.2">
      <c r="A25" s="17" t="s">
        <v>106</v>
      </c>
      <c r="B25" t="str">
        <f>TEXT(B21 - _xlfn.T.INV.2T(0.05, B22-1)*B24,"0.00") &amp; " - " &amp; TEXT(B21 + _xlfn.T.INV.2T(0.05, B22-1)*B24,"0.00")</f>
        <v>43.51 - 69.02</v>
      </c>
      <c r="C25" t="str">
        <f t="shared" ref="C25:H25" si="15">TEXT(C21 - _xlfn.T.INV.2T(0.05, C22-1)*C24,"0.00") &amp; " - " &amp; TEXT(C21 + _xlfn.T.INV.2T(0.05, C22-1)*C24,"0.00")</f>
        <v>18.25 - 28.91</v>
      </c>
      <c r="D25" t="str">
        <f t="shared" si="15"/>
        <v>1.16 - 2.53</v>
      </c>
      <c r="E25" t="str">
        <f t="shared" si="15"/>
        <v>23.61 - 42.87</v>
      </c>
      <c r="F25" t="str">
        <f t="shared" si="15"/>
        <v>12.13 - 54.33</v>
      </c>
      <c r="G25" t="str">
        <f t="shared" si="15"/>
        <v>3.16 - 5.26</v>
      </c>
      <c r="H25" s="35"/>
      <c r="S25" s="18" t="s">
        <v>95</v>
      </c>
      <c r="T25">
        <f>STDEV(T2:T9)</f>
        <v>16.826318670463841</v>
      </c>
      <c r="U25">
        <f t="shared" ref="U25:Z25" si="16">STDEV(U2:U9)</f>
        <v>6.7387472341462908</v>
      </c>
      <c r="V25">
        <f t="shared" si="16"/>
        <v>2.997022331772464</v>
      </c>
      <c r="W25">
        <f t="shared" si="16"/>
        <v>11.02606384566004</v>
      </c>
      <c r="X25">
        <f t="shared" si="16"/>
        <v>15.552713819229657</v>
      </c>
      <c r="Y25">
        <f t="shared" si="16"/>
        <v>3.7008686239082538</v>
      </c>
    </row>
    <row r="26" spans="1:35" x14ac:dyDescent="0.2">
      <c r="H26" s="35"/>
      <c r="S26" s="17" t="s">
        <v>105</v>
      </c>
      <c r="T26">
        <f>T23/SQRT(T24)</f>
        <v>18.163805441729437</v>
      </c>
      <c r="U26">
        <f t="shared" ref="U26:Z26" si="17">U23/SQRT(U24)</f>
        <v>8.3526988527660926</v>
      </c>
      <c r="V26">
        <f t="shared" si="17"/>
        <v>0.66291260736238822</v>
      </c>
      <c r="W26">
        <f t="shared" si="17"/>
        <v>4.4207432076306459</v>
      </c>
      <c r="X26">
        <f t="shared" si="17"/>
        <v>3.350802259347752</v>
      </c>
      <c r="Y26">
        <f t="shared" si="17"/>
        <v>1.635184431493891</v>
      </c>
    </row>
    <row r="27" spans="1:35" x14ac:dyDescent="0.2">
      <c r="S27" s="17" t="s">
        <v>106</v>
      </c>
      <c r="T27" t="str">
        <f>TEXT(T23 - _xlfn.T.INV.2T(0.05, T24-1)*T26,"0.00") &amp; " - " &amp; TEXT(T23 + _xlfn.T.INV.2T(0.05, T24-1)*T26,"0.00")</f>
        <v>8.42 - 94.33</v>
      </c>
      <c r="U27" t="str">
        <f t="shared" ref="U27:Z27" si="18">TEXT(U23 - _xlfn.T.INV.2T(0.05, U24-1)*U26,"0.00") &amp; " - " &amp; TEXT(U23 + _xlfn.T.INV.2T(0.05, U24-1)*U26,"0.00")</f>
        <v>3.87 - 43.38</v>
      </c>
      <c r="V27" t="str">
        <f t="shared" si="18"/>
        <v>0.31 - 3.44</v>
      </c>
      <c r="W27" t="str">
        <f t="shared" si="18"/>
        <v>2.05 - 22.96</v>
      </c>
      <c r="X27" t="str">
        <f t="shared" si="18"/>
        <v>1.55 - 17.40</v>
      </c>
      <c r="Y27" t="str">
        <f t="shared" si="18"/>
        <v>0.76 - 8.49</v>
      </c>
    </row>
  </sheetData>
  <pageMargins left="0.7" right="0.7" top="0.75" bottom="0.75" header="0.3" footer="0.3"/>
  <pageSetup paperSize="9" orientation="portrait" horizontalDpi="180" verticalDpi="18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26"/>
  <sheetViews>
    <sheetView tabSelected="1" workbookViewId="0">
      <selection activeCell="I1" sqref="I1"/>
    </sheetView>
  </sheetViews>
  <sheetFormatPr baseColWidth="10" defaultColWidth="8.83203125" defaultRowHeight="15" x14ac:dyDescent="0.2"/>
  <cols>
    <col min="1" max="1" width="12.83203125" customWidth="1"/>
    <col min="2" max="2" width="18.1640625" customWidth="1"/>
    <col min="3" max="3" width="16.1640625" customWidth="1"/>
    <col min="4" max="4" width="23.6640625" customWidth="1"/>
    <col min="5" max="5" width="21.33203125" customWidth="1"/>
    <col min="6" max="6" width="20.6640625" customWidth="1"/>
    <col min="7" max="7" width="14.33203125" customWidth="1"/>
    <col min="8" max="8" width="25.1640625" customWidth="1"/>
    <col min="9" max="9" width="28.6640625" customWidth="1"/>
    <col min="10" max="10" width="21.33203125" customWidth="1"/>
    <col min="11" max="11" width="21.5" customWidth="1"/>
    <col min="13" max="13" width="13" customWidth="1"/>
    <col min="14" max="14" width="8.6640625" customWidth="1"/>
    <col min="15" max="15" width="9.6640625" customWidth="1"/>
    <col min="16" max="16" width="12.33203125" customWidth="1"/>
    <col min="17" max="17" width="15" customWidth="1"/>
    <col min="18" max="18" width="13" customWidth="1"/>
    <col min="19" max="19" width="9.6640625" customWidth="1"/>
    <col min="20" max="20" width="10.5" customWidth="1"/>
    <col min="21" max="21" width="12" customWidth="1"/>
    <col min="22" max="22" width="11.83203125" customWidth="1"/>
    <col min="23" max="23" width="10.33203125" customWidth="1"/>
    <col min="28" max="28" width="11.33203125" customWidth="1"/>
    <col min="29" max="29" width="14.33203125" customWidth="1"/>
    <col min="30" max="30" width="12.6640625" customWidth="1"/>
    <col min="31" max="32" width="10.1640625" customWidth="1"/>
    <col min="33" max="33" width="10.6640625" customWidth="1"/>
    <col min="34" max="35" width="10.33203125" customWidth="1"/>
    <col min="39" max="39" width="15.5" customWidth="1"/>
    <col min="42" max="42" width="12" customWidth="1"/>
    <col min="43" max="43" width="10.6640625" customWidth="1"/>
    <col min="49" max="49" width="12.33203125" customWidth="1"/>
  </cols>
  <sheetData>
    <row r="1" spans="1:47" ht="40.5" customHeight="1" x14ac:dyDescent="0.2">
      <c r="A1" s="2"/>
      <c r="B1" s="3" t="s">
        <v>103</v>
      </c>
      <c r="C1" s="3" t="s">
        <v>116</v>
      </c>
      <c r="D1" s="6" t="s">
        <v>104</v>
      </c>
      <c r="E1" s="6" t="s">
        <v>123</v>
      </c>
      <c r="F1" s="6" t="s">
        <v>108</v>
      </c>
      <c r="G1" s="3" t="s">
        <v>117</v>
      </c>
      <c r="H1" s="6" t="s">
        <v>118</v>
      </c>
      <c r="I1" s="3" t="s">
        <v>119</v>
      </c>
      <c r="J1" s="6" t="s">
        <v>120</v>
      </c>
      <c r="K1" s="32" t="s">
        <v>121</v>
      </c>
      <c r="M1" s="2"/>
      <c r="N1" s="3" t="s">
        <v>103</v>
      </c>
      <c r="O1" s="3" t="s">
        <v>116</v>
      </c>
      <c r="P1" s="6" t="s">
        <v>104</v>
      </c>
      <c r="Q1" s="6" t="s">
        <v>107</v>
      </c>
      <c r="R1" s="6" t="s">
        <v>108</v>
      </c>
      <c r="S1" s="3" t="s">
        <v>117</v>
      </c>
      <c r="T1" s="6" t="s">
        <v>118</v>
      </c>
      <c r="U1" s="3" t="s">
        <v>119</v>
      </c>
      <c r="V1" s="6" t="s">
        <v>120</v>
      </c>
      <c r="W1" s="32" t="s">
        <v>121</v>
      </c>
      <c r="Y1" s="2"/>
      <c r="Z1" s="3" t="s">
        <v>103</v>
      </c>
      <c r="AA1" s="3" t="s">
        <v>116</v>
      </c>
      <c r="AB1" s="6" t="s">
        <v>104</v>
      </c>
      <c r="AC1" s="6" t="s">
        <v>107</v>
      </c>
      <c r="AD1" s="6" t="s">
        <v>108</v>
      </c>
      <c r="AE1" s="3" t="s">
        <v>117</v>
      </c>
      <c r="AF1" s="6" t="s">
        <v>118</v>
      </c>
      <c r="AG1" s="3" t="s">
        <v>119</v>
      </c>
      <c r="AH1" s="6" t="s">
        <v>120</v>
      </c>
      <c r="AI1" s="32" t="s">
        <v>121</v>
      </c>
      <c r="AK1" s="2"/>
      <c r="AL1" s="3" t="s">
        <v>103</v>
      </c>
      <c r="AM1" s="3" t="s">
        <v>116</v>
      </c>
      <c r="AN1" s="6" t="s">
        <v>104</v>
      </c>
      <c r="AO1" s="6" t="s">
        <v>107</v>
      </c>
      <c r="AP1" s="6" t="s">
        <v>108</v>
      </c>
      <c r="AQ1" s="3" t="s">
        <v>117</v>
      </c>
      <c r="AR1" s="6" t="s">
        <v>118</v>
      </c>
      <c r="AS1" s="3" t="s">
        <v>119</v>
      </c>
      <c r="AT1" s="6" t="s">
        <v>120</v>
      </c>
      <c r="AU1" s="32" t="s">
        <v>121</v>
      </c>
    </row>
    <row r="2" spans="1:47" x14ac:dyDescent="0.2">
      <c r="A2" s="2" t="s">
        <v>0</v>
      </c>
      <c r="B2" s="2">
        <v>266.66000000000003</v>
      </c>
      <c r="C2" s="2">
        <v>28.63</v>
      </c>
      <c r="D2" s="2">
        <v>6</v>
      </c>
      <c r="E2" s="2">
        <v>0</v>
      </c>
      <c r="F2" s="2">
        <v>5</v>
      </c>
      <c r="G2" s="2">
        <v>0</v>
      </c>
      <c r="H2" s="2">
        <v>14</v>
      </c>
      <c r="I2" s="2">
        <v>0</v>
      </c>
      <c r="J2" s="2">
        <v>0</v>
      </c>
      <c r="K2" s="29">
        <v>0</v>
      </c>
      <c r="M2" s="2" t="s">
        <v>15</v>
      </c>
      <c r="N2" s="2">
        <v>259.44</v>
      </c>
      <c r="O2" s="2">
        <v>38.92</v>
      </c>
      <c r="P2" s="2">
        <v>0</v>
      </c>
      <c r="Q2" s="2">
        <v>5</v>
      </c>
      <c r="R2" s="2">
        <v>9</v>
      </c>
      <c r="S2" s="2">
        <v>85.56</v>
      </c>
      <c r="T2" s="2">
        <v>8</v>
      </c>
      <c r="U2" s="2">
        <v>6.2</v>
      </c>
      <c r="V2" s="2">
        <v>5</v>
      </c>
      <c r="W2" s="29">
        <v>17.11</v>
      </c>
      <c r="Y2" s="2" t="s">
        <v>12</v>
      </c>
      <c r="Z2" s="2">
        <v>239.32</v>
      </c>
      <c r="AA2" s="2">
        <v>56.94</v>
      </c>
      <c r="AB2" s="2">
        <v>4</v>
      </c>
      <c r="AC2" s="2">
        <v>2</v>
      </c>
      <c r="AD2" s="2">
        <v>11</v>
      </c>
      <c r="AE2" s="2">
        <v>12.72</v>
      </c>
      <c r="AF2" s="2">
        <v>12</v>
      </c>
      <c r="AG2" s="2">
        <v>0</v>
      </c>
      <c r="AH2" s="2">
        <v>2</v>
      </c>
      <c r="AI2" s="29">
        <v>6.36</v>
      </c>
      <c r="AK2" s="5" t="s">
        <v>24</v>
      </c>
      <c r="AL2" s="5">
        <v>237.49</v>
      </c>
      <c r="AM2" s="5">
        <v>58.38</v>
      </c>
      <c r="AN2" s="5">
        <v>5</v>
      </c>
      <c r="AO2" s="5">
        <v>4</v>
      </c>
      <c r="AP2" s="5">
        <v>4</v>
      </c>
      <c r="AQ2" s="5">
        <v>48.66</v>
      </c>
      <c r="AR2" s="5">
        <v>12</v>
      </c>
      <c r="AS2" s="5">
        <v>0</v>
      </c>
      <c r="AT2" s="5">
        <v>3</v>
      </c>
      <c r="AU2" s="29">
        <v>16.22</v>
      </c>
    </row>
    <row r="3" spans="1:47" x14ac:dyDescent="0.2">
      <c r="A3" s="2" t="s">
        <v>1</v>
      </c>
      <c r="B3" s="2">
        <v>212.86</v>
      </c>
      <c r="C3" s="2">
        <v>80.430000000000007</v>
      </c>
      <c r="D3" s="2">
        <v>1</v>
      </c>
      <c r="E3" s="2">
        <v>2</v>
      </c>
      <c r="F3" s="2">
        <v>14</v>
      </c>
      <c r="G3" s="2">
        <v>13.91</v>
      </c>
      <c r="H3" s="2">
        <v>13</v>
      </c>
      <c r="I3" s="2">
        <v>20.13</v>
      </c>
      <c r="J3" s="2">
        <v>6</v>
      </c>
      <c r="K3" s="29">
        <v>2.3199999999999998</v>
      </c>
      <c r="M3" s="2" t="s">
        <v>16</v>
      </c>
      <c r="N3" s="2">
        <v>264.64999999999998</v>
      </c>
      <c r="O3" s="2">
        <v>33.049999999999997</v>
      </c>
      <c r="P3" s="2">
        <v>7</v>
      </c>
      <c r="Q3" s="2">
        <v>3</v>
      </c>
      <c r="R3" s="2">
        <v>10</v>
      </c>
      <c r="S3" s="2">
        <v>42.62</v>
      </c>
      <c r="T3" s="2">
        <v>14</v>
      </c>
      <c r="U3" s="2">
        <v>0</v>
      </c>
      <c r="V3" s="2">
        <v>7</v>
      </c>
      <c r="W3" s="29">
        <v>6.09</v>
      </c>
      <c r="Y3" s="4" t="s">
        <v>13</v>
      </c>
      <c r="Z3" s="4">
        <v>298.69</v>
      </c>
      <c r="AA3" s="4">
        <v>0</v>
      </c>
      <c r="AB3" s="4">
        <v>2</v>
      </c>
      <c r="AC3" s="4">
        <v>4</v>
      </c>
      <c r="AD3" s="4">
        <v>0</v>
      </c>
      <c r="AE3" s="4">
        <v>30.66</v>
      </c>
      <c r="AF3" s="4">
        <v>18</v>
      </c>
      <c r="AG3" s="4">
        <v>0</v>
      </c>
      <c r="AH3" s="4">
        <v>7</v>
      </c>
      <c r="AI3" s="29">
        <v>4.38</v>
      </c>
      <c r="AK3" s="2" t="s">
        <v>24</v>
      </c>
      <c r="AL3" s="2">
        <v>290.27999999999997</v>
      </c>
      <c r="AM3" s="2">
        <v>6.16</v>
      </c>
      <c r="AN3" s="2">
        <v>0</v>
      </c>
      <c r="AO3" s="2">
        <v>2</v>
      </c>
      <c r="AP3" s="2">
        <v>1</v>
      </c>
      <c r="AQ3" s="2">
        <v>79.77</v>
      </c>
      <c r="AR3" s="2">
        <v>6</v>
      </c>
      <c r="AS3" s="2">
        <v>83.05</v>
      </c>
      <c r="AT3" s="2">
        <v>5</v>
      </c>
      <c r="AU3" s="29">
        <v>15.95</v>
      </c>
    </row>
    <row r="4" spans="1:47" x14ac:dyDescent="0.2">
      <c r="A4" s="2" t="s">
        <v>2</v>
      </c>
      <c r="B4" s="2">
        <v>284.25</v>
      </c>
      <c r="C4" s="2">
        <v>13.03</v>
      </c>
      <c r="D4" s="2">
        <v>1</v>
      </c>
      <c r="E4" s="2">
        <v>9</v>
      </c>
      <c r="F4" s="2">
        <v>1</v>
      </c>
      <c r="G4" s="2">
        <v>21.22</v>
      </c>
      <c r="H4" s="2">
        <v>14</v>
      </c>
      <c r="I4" s="2">
        <v>6.18</v>
      </c>
      <c r="J4" s="2">
        <v>5</v>
      </c>
      <c r="K4" s="29">
        <v>4.24</v>
      </c>
      <c r="M4" s="2" t="s">
        <v>17</v>
      </c>
      <c r="N4" s="2">
        <v>265.66000000000003</v>
      </c>
      <c r="O4" s="2">
        <v>17.61</v>
      </c>
      <c r="P4" s="2">
        <v>5</v>
      </c>
      <c r="Q4" s="2">
        <v>4</v>
      </c>
      <c r="R4" s="2">
        <v>3</v>
      </c>
      <c r="S4" s="2">
        <v>28.38</v>
      </c>
      <c r="T4" s="2">
        <v>18</v>
      </c>
      <c r="U4" s="2">
        <v>0</v>
      </c>
      <c r="V4" s="2">
        <v>2</v>
      </c>
      <c r="W4" s="29">
        <v>14.19</v>
      </c>
      <c r="Y4" s="2" t="s">
        <v>14</v>
      </c>
      <c r="Z4" s="2">
        <v>273.20999999999998</v>
      </c>
      <c r="AA4" s="2">
        <v>22.7</v>
      </c>
      <c r="AB4" s="2">
        <v>2</v>
      </c>
      <c r="AC4" s="2">
        <v>3</v>
      </c>
      <c r="AD4" s="2">
        <v>4</v>
      </c>
      <c r="AE4" s="2">
        <v>86.67</v>
      </c>
      <c r="AF4" s="2">
        <v>10</v>
      </c>
      <c r="AG4" s="2">
        <v>10.93</v>
      </c>
      <c r="AH4" s="2">
        <v>9</v>
      </c>
      <c r="AI4" s="29">
        <v>9.6300000000000008</v>
      </c>
      <c r="AK4" s="2" t="s">
        <v>40</v>
      </c>
      <c r="AL4" s="2">
        <v>290.64</v>
      </c>
      <c r="AM4" s="2">
        <v>8.1999999999999993</v>
      </c>
      <c r="AN4" s="2">
        <v>0</v>
      </c>
      <c r="AO4" s="2">
        <v>3</v>
      </c>
      <c r="AP4" s="2">
        <v>0</v>
      </c>
      <c r="AQ4" s="2">
        <v>189.88</v>
      </c>
      <c r="AR4" s="2">
        <v>3</v>
      </c>
      <c r="AS4" s="2">
        <v>0</v>
      </c>
      <c r="AT4" s="2">
        <v>5</v>
      </c>
      <c r="AU4" s="29">
        <v>37.979999999999997</v>
      </c>
    </row>
    <row r="5" spans="1:47" x14ac:dyDescent="0.2">
      <c r="A5" s="2" t="s">
        <v>3</v>
      </c>
      <c r="B5" s="2">
        <v>233.47</v>
      </c>
      <c r="C5" s="2">
        <v>59.97</v>
      </c>
      <c r="D5" s="2">
        <v>8</v>
      </c>
      <c r="E5" s="2">
        <v>2</v>
      </c>
      <c r="F5" s="2">
        <v>13</v>
      </c>
      <c r="G5" s="2">
        <v>0.06</v>
      </c>
      <c r="H5" s="2">
        <v>23</v>
      </c>
      <c r="I5" s="2">
        <v>0</v>
      </c>
      <c r="J5" s="2">
        <v>1</v>
      </c>
      <c r="K5" s="29">
        <v>0.06</v>
      </c>
      <c r="M5" s="2" t="s">
        <v>18</v>
      </c>
      <c r="N5" s="2">
        <v>140.96</v>
      </c>
      <c r="O5" s="2">
        <v>155.09</v>
      </c>
      <c r="P5" s="2">
        <v>6</v>
      </c>
      <c r="Q5" s="2">
        <v>2</v>
      </c>
      <c r="R5" s="2">
        <v>23</v>
      </c>
      <c r="S5" s="2">
        <v>0</v>
      </c>
      <c r="T5" s="2">
        <v>34</v>
      </c>
      <c r="U5" s="2">
        <v>0</v>
      </c>
      <c r="V5" s="2">
        <v>0</v>
      </c>
      <c r="W5" s="29">
        <v>0</v>
      </c>
      <c r="Y5" s="2" t="s">
        <v>27</v>
      </c>
      <c r="Z5" s="2">
        <v>298.56</v>
      </c>
      <c r="AA5" s="2">
        <v>0</v>
      </c>
      <c r="AB5" s="2">
        <v>0</v>
      </c>
      <c r="AC5" s="2">
        <v>1</v>
      </c>
      <c r="AD5" s="2">
        <v>0</v>
      </c>
      <c r="AE5" s="2">
        <v>7.45</v>
      </c>
      <c r="AF5" s="2">
        <v>4</v>
      </c>
      <c r="AG5" s="2">
        <v>116.17</v>
      </c>
      <c r="AH5" s="2">
        <v>2</v>
      </c>
      <c r="AI5" s="29">
        <v>3.73</v>
      </c>
      <c r="AK5" s="2" t="s">
        <v>41</v>
      </c>
      <c r="AL5" s="2">
        <v>281.35000000000002</v>
      </c>
      <c r="AM5" s="2">
        <v>17.13</v>
      </c>
      <c r="AN5" s="2">
        <v>3</v>
      </c>
      <c r="AO5" s="2">
        <v>3</v>
      </c>
      <c r="AP5" s="2">
        <v>2</v>
      </c>
      <c r="AQ5" s="2">
        <v>8.8800000000000008</v>
      </c>
      <c r="AR5" s="2">
        <v>9</v>
      </c>
      <c r="AS5" s="2">
        <v>11.51</v>
      </c>
      <c r="AT5" s="2">
        <v>3</v>
      </c>
      <c r="AU5" s="29">
        <v>2.96</v>
      </c>
    </row>
    <row r="6" spans="1:47" x14ac:dyDescent="0.2">
      <c r="A6" s="2" t="s">
        <v>4</v>
      </c>
      <c r="B6" s="2">
        <v>228.37</v>
      </c>
      <c r="C6" s="2">
        <v>67.3</v>
      </c>
      <c r="D6" s="2">
        <v>6</v>
      </c>
      <c r="E6" s="2">
        <v>4</v>
      </c>
      <c r="F6" s="2">
        <v>14</v>
      </c>
      <c r="G6" s="2">
        <v>6.5</v>
      </c>
      <c r="H6" s="2">
        <v>16</v>
      </c>
      <c r="I6" s="2">
        <v>0</v>
      </c>
      <c r="J6" s="2">
        <v>2</v>
      </c>
      <c r="K6" s="29">
        <v>3.25</v>
      </c>
      <c r="M6" s="2" t="s">
        <v>19</v>
      </c>
      <c r="N6" s="2">
        <v>282.25</v>
      </c>
      <c r="O6" s="2">
        <v>16.39</v>
      </c>
      <c r="P6" s="2">
        <v>5</v>
      </c>
      <c r="Q6" s="2">
        <v>3</v>
      </c>
      <c r="R6" s="2">
        <v>2</v>
      </c>
      <c r="S6" s="2">
        <v>13.95</v>
      </c>
      <c r="T6" s="2">
        <v>17</v>
      </c>
      <c r="U6" s="2">
        <v>53.41</v>
      </c>
      <c r="V6" s="2">
        <v>2</v>
      </c>
      <c r="W6" s="29">
        <v>6.97</v>
      </c>
      <c r="Y6" s="2" t="s">
        <v>28</v>
      </c>
      <c r="Z6" s="2">
        <v>267.47000000000003</v>
      </c>
      <c r="AA6" s="2">
        <v>30.09</v>
      </c>
      <c r="AB6" s="2">
        <v>2</v>
      </c>
      <c r="AC6" s="2">
        <v>2</v>
      </c>
      <c r="AD6" s="2">
        <v>1</v>
      </c>
      <c r="AE6" s="2">
        <v>10.31</v>
      </c>
      <c r="AF6" s="2">
        <v>14</v>
      </c>
      <c r="AG6" s="2">
        <v>0</v>
      </c>
      <c r="AH6" s="2">
        <v>2</v>
      </c>
      <c r="AI6" s="29">
        <v>5.15</v>
      </c>
      <c r="AK6" s="2" t="s">
        <v>42</v>
      </c>
      <c r="AL6" s="2">
        <v>268.06</v>
      </c>
      <c r="AM6" s="2">
        <v>29.48</v>
      </c>
      <c r="AN6" s="2">
        <v>8</v>
      </c>
      <c r="AO6" s="2">
        <v>4</v>
      </c>
      <c r="AP6" s="2">
        <v>8</v>
      </c>
      <c r="AQ6" s="2">
        <v>14.97</v>
      </c>
      <c r="AR6" s="2">
        <v>16</v>
      </c>
      <c r="AS6" s="2">
        <v>0</v>
      </c>
      <c r="AT6" s="2">
        <v>5</v>
      </c>
      <c r="AU6" s="29">
        <v>2.99</v>
      </c>
    </row>
    <row r="7" spans="1:47" x14ac:dyDescent="0.2">
      <c r="A7" s="2" t="s">
        <v>5</v>
      </c>
      <c r="B7" s="2">
        <v>256.70999999999998</v>
      </c>
      <c r="C7" s="2">
        <v>38.35</v>
      </c>
      <c r="D7" s="2">
        <v>10</v>
      </c>
      <c r="E7" s="2">
        <v>1</v>
      </c>
      <c r="F7" s="2">
        <v>8</v>
      </c>
      <c r="G7" s="2">
        <v>9.9600000000000009</v>
      </c>
      <c r="H7" s="2">
        <v>22</v>
      </c>
      <c r="I7" s="2">
        <v>0</v>
      </c>
      <c r="J7" s="2">
        <v>3</v>
      </c>
      <c r="K7" s="29">
        <v>3.32</v>
      </c>
      <c r="M7" s="2" t="s">
        <v>20</v>
      </c>
      <c r="N7" s="2">
        <v>298.69</v>
      </c>
      <c r="O7" s="2">
        <v>0</v>
      </c>
      <c r="P7" s="2">
        <v>0</v>
      </c>
      <c r="Q7" s="2">
        <v>7</v>
      </c>
      <c r="R7" s="2">
        <v>0</v>
      </c>
      <c r="S7" s="2">
        <v>45.03</v>
      </c>
      <c r="T7" s="2">
        <v>19</v>
      </c>
      <c r="U7" s="2">
        <v>0</v>
      </c>
      <c r="V7" s="2">
        <v>5</v>
      </c>
      <c r="W7" s="29">
        <v>9.01</v>
      </c>
      <c r="Y7" s="4" t="s">
        <v>37</v>
      </c>
      <c r="Z7" s="4">
        <v>280.76</v>
      </c>
      <c r="AA7" s="4">
        <v>17.579999999999998</v>
      </c>
      <c r="AB7" s="4">
        <v>3</v>
      </c>
      <c r="AC7" s="4">
        <v>3</v>
      </c>
      <c r="AD7" s="4">
        <v>4</v>
      </c>
      <c r="AE7" s="4">
        <v>59.22</v>
      </c>
      <c r="AF7" s="4">
        <v>12</v>
      </c>
      <c r="AG7" s="4">
        <v>0</v>
      </c>
      <c r="AH7" s="4">
        <v>6</v>
      </c>
      <c r="AI7" s="29">
        <v>9.8699999999999992</v>
      </c>
      <c r="AK7" s="2" t="s">
        <v>43</v>
      </c>
      <c r="AL7" s="2">
        <v>259.38</v>
      </c>
      <c r="AM7" s="2">
        <v>38.47</v>
      </c>
      <c r="AN7" s="2">
        <v>5</v>
      </c>
      <c r="AO7" s="2">
        <v>4</v>
      </c>
      <c r="AP7" s="2">
        <v>5</v>
      </c>
      <c r="AQ7" s="2">
        <v>31.3</v>
      </c>
      <c r="AR7" s="2">
        <v>18</v>
      </c>
      <c r="AS7" s="2">
        <v>0</v>
      </c>
      <c r="AT7" s="2">
        <v>6</v>
      </c>
      <c r="AU7" s="29">
        <v>5.22</v>
      </c>
    </row>
    <row r="8" spans="1:47" x14ac:dyDescent="0.2">
      <c r="A8" s="2" t="s">
        <v>6</v>
      </c>
      <c r="B8" s="2">
        <v>267.89</v>
      </c>
      <c r="C8" s="2">
        <v>30.64</v>
      </c>
      <c r="D8" s="2">
        <v>7</v>
      </c>
      <c r="E8" s="2">
        <v>5</v>
      </c>
      <c r="F8" s="2">
        <v>6</v>
      </c>
      <c r="G8" s="2">
        <v>13.26</v>
      </c>
      <c r="H8" s="2">
        <v>14</v>
      </c>
      <c r="I8" s="2">
        <v>0</v>
      </c>
      <c r="J8" s="2">
        <v>3</v>
      </c>
      <c r="K8" s="29">
        <v>4.42</v>
      </c>
      <c r="M8" s="2" t="s">
        <v>21</v>
      </c>
      <c r="N8" s="2">
        <v>216.44</v>
      </c>
      <c r="O8" s="2">
        <v>78.55</v>
      </c>
      <c r="P8" s="2">
        <v>7</v>
      </c>
      <c r="Q8" s="2">
        <v>0</v>
      </c>
      <c r="R8" s="2">
        <v>15</v>
      </c>
      <c r="S8" s="2">
        <v>9.7200000000000006</v>
      </c>
      <c r="T8" s="2">
        <v>22</v>
      </c>
      <c r="U8" s="2">
        <v>0</v>
      </c>
      <c r="V8" s="2">
        <v>1</v>
      </c>
      <c r="W8" s="29">
        <v>9.7200000000000006</v>
      </c>
      <c r="Y8" s="2" t="s">
        <v>38</v>
      </c>
      <c r="Z8" s="2">
        <v>283.02</v>
      </c>
      <c r="AA8" s="2">
        <v>14.64</v>
      </c>
      <c r="AB8" s="2">
        <v>1</v>
      </c>
      <c r="AC8" s="2">
        <v>3</v>
      </c>
      <c r="AD8" s="2">
        <v>6</v>
      </c>
      <c r="AE8" s="2">
        <v>18.010000000000002</v>
      </c>
      <c r="AF8" s="2">
        <v>5</v>
      </c>
      <c r="AG8" s="2">
        <v>82.13</v>
      </c>
      <c r="AH8" s="2">
        <v>6</v>
      </c>
      <c r="AI8" s="29">
        <v>3</v>
      </c>
      <c r="AK8" s="2" t="s">
        <v>44</v>
      </c>
      <c r="AL8" s="2">
        <v>282.60000000000002</v>
      </c>
      <c r="AM8" s="2">
        <v>15.62</v>
      </c>
      <c r="AN8" s="2">
        <v>3</v>
      </c>
      <c r="AO8" s="2">
        <v>7</v>
      </c>
      <c r="AP8" s="2">
        <v>3</v>
      </c>
      <c r="AQ8" s="2">
        <v>37.29</v>
      </c>
      <c r="AR8" s="2">
        <v>15</v>
      </c>
      <c r="AS8" s="2">
        <v>0</v>
      </c>
      <c r="AT8" s="2">
        <v>4</v>
      </c>
      <c r="AU8" s="29">
        <v>9.32</v>
      </c>
    </row>
    <row r="9" spans="1:47" x14ac:dyDescent="0.2">
      <c r="A9" s="2" t="s">
        <v>7</v>
      </c>
      <c r="B9" s="2">
        <v>296.31</v>
      </c>
      <c r="C9" s="2">
        <v>0</v>
      </c>
      <c r="D9" s="2">
        <v>1</v>
      </c>
      <c r="E9" s="2">
        <v>4</v>
      </c>
      <c r="F9" s="2">
        <v>1</v>
      </c>
      <c r="G9" s="2">
        <v>71.41</v>
      </c>
      <c r="H9" s="2">
        <v>9</v>
      </c>
      <c r="I9" s="2">
        <v>7.78</v>
      </c>
      <c r="J9" s="2">
        <v>5</v>
      </c>
      <c r="K9" s="29">
        <v>14.28</v>
      </c>
      <c r="M9" s="2" t="s">
        <v>22</v>
      </c>
      <c r="N9" s="2">
        <v>264.45</v>
      </c>
      <c r="O9" s="2">
        <v>33.69</v>
      </c>
      <c r="P9" s="2">
        <v>3</v>
      </c>
      <c r="Q9" s="2">
        <v>3</v>
      </c>
      <c r="R9" s="2">
        <v>5</v>
      </c>
      <c r="S9" s="2">
        <v>43.34</v>
      </c>
      <c r="T9" s="2">
        <v>23</v>
      </c>
      <c r="U9" s="2">
        <v>8.2799999999999994</v>
      </c>
      <c r="V9" s="2">
        <v>4</v>
      </c>
      <c r="W9" s="29">
        <v>10.84</v>
      </c>
      <c r="Y9" s="2" t="s">
        <v>39</v>
      </c>
      <c r="Z9" s="2">
        <v>270.57</v>
      </c>
      <c r="AA9" s="2">
        <v>27.58</v>
      </c>
      <c r="AB9" s="2">
        <v>5</v>
      </c>
      <c r="AC9" s="2">
        <v>2</v>
      </c>
      <c r="AD9" s="2">
        <v>5</v>
      </c>
      <c r="AE9" s="2">
        <v>0</v>
      </c>
      <c r="AF9" s="2">
        <v>9</v>
      </c>
      <c r="AG9" s="2">
        <v>88.12</v>
      </c>
      <c r="AH9" s="2">
        <v>0</v>
      </c>
      <c r="AI9" s="29">
        <v>0</v>
      </c>
      <c r="AK9" s="2" t="s">
        <v>45</v>
      </c>
      <c r="AL9" s="2">
        <v>295.75</v>
      </c>
      <c r="AM9" s="2">
        <v>2.66</v>
      </c>
      <c r="AN9" s="2">
        <v>4</v>
      </c>
      <c r="AO9" s="2">
        <v>5</v>
      </c>
      <c r="AP9" s="2">
        <v>3</v>
      </c>
      <c r="AQ9" s="2">
        <v>44.26</v>
      </c>
      <c r="AR9" s="2">
        <v>10</v>
      </c>
      <c r="AS9" s="2">
        <v>0</v>
      </c>
      <c r="AT9" s="2">
        <v>5</v>
      </c>
      <c r="AU9" s="29">
        <v>8.85</v>
      </c>
    </row>
    <row r="10" spans="1:47" x14ac:dyDescent="0.2">
      <c r="A10" s="2" t="s">
        <v>8</v>
      </c>
      <c r="B10" s="2">
        <v>120.43</v>
      </c>
      <c r="C10" s="2">
        <v>175.68</v>
      </c>
      <c r="D10" s="2">
        <v>0</v>
      </c>
      <c r="E10" s="2">
        <v>1</v>
      </c>
      <c r="F10" s="2">
        <v>20</v>
      </c>
      <c r="G10" s="2">
        <v>1.67</v>
      </c>
      <c r="H10" s="2">
        <v>8</v>
      </c>
      <c r="I10" s="2">
        <v>0</v>
      </c>
      <c r="J10" s="2">
        <v>1</v>
      </c>
      <c r="K10" s="29">
        <v>1.67</v>
      </c>
      <c r="M10" s="2" t="s">
        <v>23</v>
      </c>
      <c r="N10" s="2">
        <v>253.5</v>
      </c>
      <c r="O10" s="2">
        <v>40</v>
      </c>
      <c r="P10" s="2">
        <v>9</v>
      </c>
      <c r="Q10" s="2">
        <v>0</v>
      </c>
      <c r="R10" s="2">
        <v>6</v>
      </c>
      <c r="S10" s="2">
        <v>46.75</v>
      </c>
      <c r="T10" s="2">
        <v>15</v>
      </c>
      <c r="U10" s="2">
        <v>10.44</v>
      </c>
      <c r="V10" s="2">
        <v>4</v>
      </c>
      <c r="W10" s="29">
        <v>11.69</v>
      </c>
      <c r="Y10" s="8" t="s">
        <v>62</v>
      </c>
      <c r="Z10" s="8">
        <v>281.58999999999997</v>
      </c>
      <c r="AA10" s="8">
        <v>16.11</v>
      </c>
      <c r="AB10" s="8">
        <v>1</v>
      </c>
      <c r="AC10" s="8">
        <v>2</v>
      </c>
      <c r="AD10" s="8">
        <v>2</v>
      </c>
      <c r="AE10" s="8">
        <v>37.06</v>
      </c>
      <c r="AF10" s="8">
        <v>6</v>
      </c>
      <c r="AG10" s="8">
        <v>45.41</v>
      </c>
      <c r="AH10" s="8">
        <v>5</v>
      </c>
      <c r="AI10" s="29">
        <v>7.41</v>
      </c>
      <c r="AK10" s="2" t="s">
        <v>46</v>
      </c>
      <c r="AL10" s="2">
        <v>239.4</v>
      </c>
      <c r="AM10" s="2">
        <v>57.55</v>
      </c>
      <c r="AN10" s="2">
        <v>8</v>
      </c>
      <c r="AO10" s="2">
        <v>6</v>
      </c>
      <c r="AP10" s="2">
        <v>17</v>
      </c>
      <c r="AQ10" s="2">
        <v>70.760000000000005</v>
      </c>
      <c r="AR10" s="2">
        <v>6</v>
      </c>
      <c r="AS10" s="2">
        <v>0</v>
      </c>
      <c r="AT10" s="2">
        <v>12</v>
      </c>
      <c r="AU10" s="29">
        <v>5.9</v>
      </c>
    </row>
    <row r="11" spans="1:47" x14ac:dyDescent="0.2">
      <c r="A11" s="2" t="s">
        <v>9</v>
      </c>
      <c r="B11" s="2">
        <v>293.27</v>
      </c>
      <c r="C11" s="2">
        <v>4.8099999999999996</v>
      </c>
      <c r="D11" s="2">
        <v>8</v>
      </c>
      <c r="E11" s="2">
        <v>4</v>
      </c>
      <c r="F11" s="2">
        <v>6</v>
      </c>
      <c r="G11" s="2">
        <v>14.77</v>
      </c>
      <c r="H11" s="2">
        <v>16</v>
      </c>
      <c r="I11" s="2">
        <v>0</v>
      </c>
      <c r="J11" s="2">
        <v>3</v>
      </c>
      <c r="K11" s="29">
        <v>4.92</v>
      </c>
      <c r="M11" s="2" t="s">
        <v>55</v>
      </c>
      <c r="N11" s="2">
        <v>284.83</v>
      </c>
      <c r="O11" s="2">
        <v>12.96</v>
      </c>
      <c r="P11" s="2">
        <v>0</v>
      </c>
      <c r="Q11" s="2">
        <v>4</v>
      </c>
      <c r="R11" s="2">
        <v>4</v>
      </c>
      <c r="S11" s="2">
        <v>51.02</v>
      </c>
      <c r="T11" s="2">
        <v>9</v>
      </c>
      <c r="U11" s="2">
        <v>27.04</v>
      </c>
      <c r="V11" s="2">
        <v>6</v>
      </c>
      <c r="W11" s="29">
        <v>8.5</v>
      </c>
      <c r="Y11" s="8" t="s">
        <v>63</v>
      </c>
      <c r="Z11" s="8">
        <v>298.68</v>
      </c>
      <c r="AA11" s="8">
        <v>0</v>
      </c>
      <c r="AB11" s="8">
        <v>5</v>
      </c>
      <c r="AC11" s="8">
        <v>3</v>
      </c>
      <c r="AD11" s="8">
        <v>0</v>
      </c>
      <c r="AE11" s="8">
        <v>24.41</v>
      </c>
      <c r="AF11" s="8">
        <v>10</v>
      </c>
      <c r="AG11" s="8">
        <v>0</v>
      </c>
      <c r="AH11" s="8">
        <v>1</v>
      </c>
      <c r="AI11" s="29">
        <v>24.41</v>
      </c>
      <c r="AK11" s="8" t="s">
        <v>74</v>
      </c>
      <c r="AL11" s="8">
        <v>244.34</v>
      </c>
      <c r="AM11" s="8">
        <v>50.76</v>
      </c>
      <c r="AN11" s="8">
        <v>6</v>
      </c>
      <c r="AO11" s="8">
        <v>4</v>
      </c>
      <c r="AP11" s="8">
        <v>10</v>
      </c>
      <c r="AQ11" s="8">
        <v>16.809999999999999</v>
      </c>
      <c r="AR11" s="8">
        <v>17</v>
      </c>
      <c r="AS11" s="8">
        <v>0</v>
      </c>
      <c r="AT11" s="8">
        <v>2</v>
      </c>
      <c r="AU11" s="29">
        <v>8.41</v>
      </c>
    </row>
    <row r="12" spans="1:47" x14ac:dyDescent="0.2">
      <c r="A12" s="2" t="s">
        <v>10</v>
      </c>
      <c r="B12" s="2">
        <v>255.83</v>
      </c>
      <c r="C12" s="2">
        <v>41.82</v>
      </c>
      <c r="D12" s="2">
        <v>3</v>
      </c>
      <c r="E12" s="2">
        <v>3</v>
      </c>
      <c r="F12" s="2">
        <v>12</v>
      </c>
      <c r="G12" s="2">
        <v>22.88</v>
      </c>
      <c r="H12" s="2">
        <v>9</v>
      </c>
      <c r="I12" s="2">
        <v>0</v>
      </c>
      <c r="J12" s="2">
        <v>2</v>
      </c>
      <c r="K12" s="29">
        <v>11.44</v>
      </c>
      <c r="M12" s="2" t="s">
        <v>56</v>
      </c>
      <c r="N12" s="2">
        <v>258.08</v>
      </c>
      <c r="O12" s="2">
        <v>40.04</v>
      </c>
      <c r="P12" s="2">
        <v>2</v>
      </c>
      <c r="Q12" s="2">
        <v>4</v>
      </c>
      <c r="R12" s="2">
        <v>4</v>
      </c>
      <c r="S12" s="2">
        <v>18</v>
      </c>
      <c r="T12" s="2">
        <v>8</v>
      </c>
      <c r="U12" s="2">
        <v>41.79</v>
      </c>
      <c r="V12" s="2">
        <v>3</v>
      </c>
      <c r="W12" s="29">
        <v>6</v>
      </c>
      <c r="Y12" s="8" t="s">
        <v>64</v>
      </c>
      <c r="Z12" s="8">
        <v>299.24</v>
      </c>
      <c r="AA12" s="8">
        <v>0</v>
      </c>
      <c r="AB12" s="8">
        <v>0</v>
      </c>
      <c r="AC12" s="8">
        <v>4</v>
      </c>
      <c r="AD12" s="8">
        <v>0</v>
      </c>
      <c r="AE12" s="8">
        <v>91.2</v>
      </c>
      <c r="AF12" s="8">
        <v>4</v>
      </c>
      <c r="AG12" s="8">
        <v>26.02</v>
      </c>
      <c r="AH12" s="8">
        <v>4</v>
      </c>
      <c r="AI12" s="29">
        <v>22.8</v>
      </c>
      <c r="AK12" s="8" t="s">
        <v>75</v>
      </c>
      <c r="AL12" s="8">
        <v>249.61</v>
      </c>
      <c r="AM12" s="8">
        <v>42.01</v>
      </c>
      <c r="AN12" s="8">
        <v>8</v>
      </c>
      <c r="AO12" s="8">
        <v>2</v>
      </c>
      <c r="AP12" s="8">
        <v>14</v>
      </c>
      <c r="AQ12" s="8">
        <v>25.06</v>
      </c>
      <c r="AR12" s="8">
        <v>15</v>
      </c>
      <c r="AS12" s="8">
        <v>0</v>
      </c>
      <c r="AT12" s="8">
        <v>4</v>
      </c>
      <c r="AU12" s="29">
        <v>6.26</v>
      </c>
    </row>
    <row r="13" spans="1:47" x14ac:dyDescent="0.2">
      <c r="A13" s="4" t="s">
        <v>11</v>
      </c>
      <c r="B13" s="4">
        <v>251.62</v>
      </c>
      <c r="C13" s="4">
        <v>45.98</v>
      </c>
      <c r="D13" s="4">
        <v>4</v>
      </c>
      <c r="E13" s="4">
        <v>1</v>
      </c>
      <c r="F13" s="4">
        <v>6</v>
      </c>
      <c r="G13" s="4">
        <v>2.2799999999999998</v>
      </c>
      <c r="H13" s="4">
        <v>14</v>
      </c>
      <c r="I13" s="4">
        <v>0</v>
      </c>
      <c r="J13" s="4">
        <v>2</v>
      </c>
      <c r="K13" s="29">
        <v>1.1399999999999999</v>
      </c>
      <c r="M13" s="2" t="s">
        <v>57</v>
      </c>
      <c r="N13" s="2">
        <v>168.11</v>
      </c>
      <c r="O13" s="2">
        <v>127.42</v>
      </c>
      <c r="P13" s="2">
        <v>10</v>
      </c>
      <c r="Q13" s="2">
        <v>1</v>
      </c>
      <c r="R13" s="2">
        <v>21</v>
      </c>
      <c r="S13" s="2">
        <v>1.35</v>
      </c>
      <c r="T13" s="2">
        <v>23</v>
      </c>
      <c r="U13" s="2">
        <v>0</v>
      </c>
      <c r="V13" s="2">
        <v>4</v>
      </c>
      <c r="W13" s="29">
        <v>0.34</v>
      </c>
      <c r="Y13" s="8" t="s">
        <v>65</v>
      </c>
      <c r="Z13" s="8">
        <v>295.20999999999998</v>
      </c>
      <c r="AA13" s="8">
        <v>2.96</v>
      </c>
      <c r="AB13" s="8">
        <v>0</v>
      </c>
      <c r="AC13" s="8">
        <v>4</v>
      </c>
      <c r="AD13" s="8">
        <v>0</v>
      </c>
      <c r="AE13" s="8">
        <v>118.63</v>
      </c>
      <c r="AF13" s="8">
        <v>4</v>
      </c>
      <c r="AG13" s="8">
        <v>0</v>
      </c>
      <c r="AH13" s="8">
        <v>6</v>
      </c>
      <c r="AI13" s="29">
        <v>19.77</v>
      </c>
      <c r="AK13" s="8" t="s">
        <v>76</v>
      </c>
      <c r="AL13" s="8">
        <v>299.36</v>
      </c>
      <c r="AM13" s="8">
        <v>0</v>
      </c>
      <c r="AN13" s="8">
        <v>0</v>
      </c>
      <c r="AO13" s="8">
        <v>3</v>
      </c>
      <c r="AP13" s="8">
        <v>3</v>
      </c>
      <c r="AQ13" s="8">
        <v>30.52</v>
      </c>
      <c r="AR13" s="8">
        <v>4</v>
      </c>
      <c r="AS13" s="8">
        <v>106.65</v>
      </c>
      <c r="AT13" s="8">
        <v>4</v>
      </c>
      <c r="AU13" s="29">
        <v>7.63</v>
      </c>
    </row>
    <row r="14" spans="1:47" x14ac:dyDescent="0.2">
      <c r="A14" s="2" t="s">
        <v>50</v>
      </c>
      <c r="B14" s="2">
        <v>296.56</v>
      </c>
      <c r="C14" s="2">
        <v>0</v>
      </c>
      <c r="D14" s="2">
        <v>0</v>
      </c>
      <c r="E14" s="2">
        <v>6</v>
      </c>
      <c r="F14" s="2">
        <v>0</v>
      </c>
      <c r="G14" s="2">
        <v>43.32</v>
      </c>
      <c r="H14" s="2">
        <v>2</v>
      </c>
      <c r="I14" s="2">
        <v>38.4</v>
      </c>
      <c r="J14" s="2">
        <v>9</v>
      </c>
      <c r="K14" s="29">
        <v>4.8099999999999996</v>
      </c>
      <c r="M14" s="2" t="s">
        <v>58</v>
      </c>
      <c r="N14" s="2">
        <v>266.32</v>
      </c>
      <c r="O14" s="2">
        <v>31.97</v>
      </c>
      <c r="P14" s="2">
        <v>3</v>
      </c>
      <c r="Q14" s="2">
        <v>3</v>
      </c>
      <c r="R14" s="2">
        <v>6</v>
      </c>
      <c r="S14" s="2">
        <v>24.57</v>
      </c>
      <c r="T14" s="2">
        <v>16</v>
      </c>
      <c r="U14" s="2">
        <v>42.18</v>
      </c>
      <c r="V14" s="2">
        <v>4</v>
      </c>
      <c r="W14" s="29">
        <v>6.14</v>
      </c>
      <c r="Y14" s="8" t="s">
        <v>66</v>
      </c>
      <c r="Z14" s="8">
        <v>283.61</v>
      </c>
      <c r="AA14" s="8">
        <v>13.67</v>
      </c>
      <c r="AB14" s="8">
        <v>6</v>
      </c>
      <c r="AC14" s="8">
        <v>1</v>
      </c>
      <c r="AD14" s="8">
        <v>5</v>
      </c>
      <c r="AE14" s="8">
        <v>34.130000000000003</v>
      </c>
      <c r="AF14" s="8">
        <v>4</v>
      </c>
      <c r="AG14" s="8">
        <v>28.85</v>
      </c>
      <c r="AH14" s="8">
        <v>4</v>
      </c>
      <c r="AI14" s="29">
        <v>8.5299999999999994</v>
      </c>
      <c r="AK14" s="8" t="s">
        <v>77</v>
      </c>
      <c r="AL14" s="8">
        <v>286.2</v>
      </c>
      <c r="AM14" s="8">
        <v>12.47</v>
      </c>
      <c r="AN14" s="8">
        <v>3</v>
      </c>
      <c r="AO14" s="8">
        <v>3</v>
      </c>
      <c r="AP14" s="8">
        <v>3</v>
      </c>
      <c r="AQ14" s="8">
        <v>108.31</v>
      </c>
      <c r="AR14" s="8">
        <v>3</v>
      </c>
      <c r="AS14" s="8">
        <v>0</v>
      </c>
      <c r="AT14" s="8">
        <v>3</v>
      </c>
      <c r="AU14" s="29">
        <v>36.1</v>
      </c>
    </row>
    <row r="15" spans="1:47" x14ac:dyDescent="0.2">
      <c r="A15" s="2" t="s">
        <v>51</v>
      </c>
      <c r="B15" s="2">
        <v>253.59</v>
      </c>
      <c r="C15" s="2">
        <v>43.84</v>
      </c>
      <c r="D15" s="2">
        <v>4</v>
      </c>
      <c r="E15" s="2">
        <v>4</v>
      </c>
      <c r="F15" s="2">
        <v>4</v>
      </c>
      <c r="G15" s="2">
        <v>64.849999999999994</v>
      </c>
      <c r="H15" s="2">
        <v>12</v>
      </c>
      <c r="I15" s="2">
        <v>0</v>
      </c>
      <c r="J15" s="2">
        <v>9</v>
      </c>
      <c r="K15" s="29">
        <v>7.21</v>
      </c>
      <c r="M15" s="2" t="s">
        <v>59</v>
      </c>
      <c r="N15" s="2">
        <v>214.94</v>
      </c>
      <c r="O15" s="2">
        <v>82.45</v>
      </c>
      <c r="P15" s="2">
        <v>5</v>
      </c>
      <c r="Q15" s="2">
        <v>4</v>
      </c>
      <c r="R15" s="2">
        <v>17</v>
      </c>
      <c r="S15" s="2">
        <v>20.18</v>
      </c>
      <c r="T15" s="2">
        <v>18</v>
      </c>
      <c r="U15" s="2">
        <v>0</v>
      </c>
      <c r="V15" s="2">
        <v>5</v>
      </c>
      <c r="W15" s="29">
        <v>4.04</v>
      </c>
      <c r="Y15" s="8" t="s">
        <v>67</v>
      </c>
      <c r="Z15" s="8">
        <v>253.27</v>
      </c>
      <c r="AA15" s="8">
        <v>43.52</v>
      </c>
      <c r="AB15" s="8">
        <v>5</v>
      </c>
      <c r="AC15" s="8">
        <v>5</v>
      </c>
      <c r="AD15" s="8">
        <v>8</v>
      </c>
      <c r="AE15" s="8">
        <v>37.29</v>
      </c>
      <c r="AF15" s="8">
        <v>6</v>
      </c>
      <c r="AG15" s="8">
        <v>0</v>
      </c>
      <c r="AH15" s="8">
        <v>3</v>
      </c>
      <c r="AI15" s="29">
        <v>12.43</v>
      </c>
      <c r="AK15" s="8" t="s">
        <v>78</v>
      </c>
      <c r="AL15" s="8">
        <v>224.46</v>
      </c>
      <c r="AM15" s="8">
        <v>67.61</v>
      </c>
      <c r="AN15" s="8">
        <v>4</v>
      </c>
      <c r="AO15" s="8">
        <v>2</v>
      </c>
      <c r="AP15" s="8">
        <v>13</v>
      </c>
      <c r="AQ15" s="8">
        <v>11.79</v>
      </c>
      <c r="AR15" s="8">
        <v>12</v>
      </c>
      <c r="AS15" s="8">
        <v>0</v>
      </c>
      <c r="AT15" s="8">
        <v>2</v>
      </c>
      <c r="AU15" s="29">
        <v>5.89</v>
      </c>
    </row>
    <row r="16" spans="1:47" x14ac:dyDescent="0.2">
      <c r="A16" s="2" t="s">
        <v>52</v>
      </c>
      <c r="B16" s="2">
        <v>261.39</v>
      </c>
      <c r="C16" s="2">
        <v>35.590000000000003</v>
      </c>
      <c r="D16" s="2">
        <v>4</v>
      </c>
      <c r="E16" s="2">
        <v>3</v>
      </c>
      <c r="F16" s="2">
        <v>3</v>
      </c>
      <c r="G16" s="2">
        <v>34.69</v>
      </c>
      <c r="H16" s="2">
        <v>12</v>
      </c>
      <c r="I16" s="2">
        <v>0</v>
      </c>
      <c r="J16" s="2">
        <v>4</v>
      </c>
      <c r="K16" s="29">
        <v>8.67</v>
      </c>
      <c r="M16" s="2" t="s">
        <v>85</v>
      </c>
      <c r="N16" s="2">
        <v>194.34</v>
      </c>
      <c r="O16" s="2">
        <v>39.9</v>
      </c>
      <c r="P16" s="2">
        <v>4</v>
      </c>
      <c r="Q16" s="2">
        <v>6</v>
      </c>
      <c r="R16" s="2">
        <v>5</v>
      </c>
      <c r="S16" s="2">
        <v>40.909999999999997</v>
      </c>
      <c r="T16" s="2">
        <v>16</v>
      </c>
      <c r="U16" s="2">
        <v>0</v>
      </c>
      <c r="V16" s="2">
        <v>3</v>
      </c>
      <c r="W16" s="29">
        <v>13.64</v>
      </c>
      <c r="Y16" s="8" t="s">
        <v>68</v>
      </c>
      <c r="Z16" s="8">
        <v>298.64</v>
      </c>
      <c r="AA16" s="8">
        <v>0</v>
      </c>
      <c r="AB16" s="8">
        <v>0</v>
      </c>
      <c r="AC16" s="8">
        <v>6</v>
      </c>
      <c r="AD16" s="8">
        <v>2</v>
      </c>
      <c r="AE16" s="8">
        <v>23.03</v>
      </c>
      <c r="AF16" s="8">
        <v>5</v>
      </c>
      <c r="AG16" s="8">
        <v>62.05</v>
      </c>
      <c r="AH16" s="8">
        <v>2</v>
      </c>
      <c r="AI16" s="29">
        <v>11.52</v>
      </c>
      <c r="AK16" s="8" t="s">
        <v>79</v>
      </c>
      <c r="AL16" s="8">
        <v>289.81</v>
      </c>
      <c r="AM16" s="8">
        <v>9.51</v>
      </c>
      <c r="AN16" s="8">
        <v>4</v>
      </c>
      <c r="AO16" s="8">
        <v>7</v>
      </c>
      <c r="AP16" s="8">
        <v>4</v>
      </c>
      <c r="AQ16" s="8">
        <v>15.84</v>
      </c>
      <c r="AR16" s="8">
        <v>20</v>
      </c>
      <c r="AS16" s="8">
        <v>0</v>
      </c>
      <c r="AT16" s="8">
        <v>5</v>
      </c>
      <c r="AU16" s="29">
        <v>3.17</v>
      </c>
    </row>
    <row r="17" spans="1:50" x14ac:dyDescent="0.2">
      <c r="A17" s="2" t="s">
        <v>53</v>
      </c>
      <c r="B17" s="2">
        <v>238.81</v>
      </c>
      <c r="C17" s="2">
        <v>56.03</v>
      </c>
      <c r="D17" s="2">
        <v>4</v>
      </c>
      <c r="E17" s="2">
        <v>0</v>
      </c>
      <c r="F17" s="2">
        <v>9</v>
      </c>
      <c r="G17" s="2">
        <v>23.37</v>
      </c>
      <c r="H17" s="2">
        <v>10</v>
      </c>
      <c r="I17" s="2">
        <v>13.51</v>
      </c>
      <c r="J17" s="2">
        <v>2</v>
      </c>
      <c r="K17" s="29">
        <v>11.69</v>
      </c>
      <c r="M17" s="2" t="s">
        <v>86</v>
      </c>
      <c r="N17" s="2">
        <v>246.39</v>
      </c>
      <c r="O17" s="2">
        <v>51.37</v>
      </c>
      <c r="P17" s="2">
        <v>9</v>
      </c>
      <c r="Q17" s="2">
        <v>3</v>
      </c>
      <c r="R17" s="2">
        <v>8</v>
      </c>
      <c r="S17" s="2">
        <v>17.399999999999999</v>
      </c>
      <c r="T17" s="2">
        <v>11</v>
      </c>
      <c r="U17" s="2">
        <v>0</v>
      </c>
      <c r="V17" s="2">
        <v>2</v>
      </c>
      <c r="W17" s="29">
        <v>8.6999999999999993</v>
      </c>
      <c r="Y17" s="8" t="s">
        <v>69</v>
      </c>
      <c r="Z17" s="8">
        <v>298.56</v>
      </c>
      <c r="AA17" s="8">
        <v>0</v>
      </c>
      <c r="AB17" s="8">
        <v>0</v>
      </c>
      <c r="AC17" s="8">
        <v>3</v>
      </c>
      <c r="AD17" s="8">
        <v>0</v>
      </c>
      <c r="AE17" s="8">
        <v>48.82</v>
      </c>
      <c r="AF17" s="8">
        <v>8</v>
      </c>
      <c r="AG17" s="8">
        <v>0</v>
      </c>
      <c r="AH17" s="8">
        <v>1</v>
      </c>
      <c r="AI17" s="29">
        <v>48.82</v>
      </c>
      <c r="AK17" s="8" t="s">
        <v>80</v>
      </c>
      <c r="AL17" s="8">
        <v>262.68</v>
      </c>
      <c r="AM17" s="8">
        <v>36.130000000000003</v>
      </c>
      <c r="AN17" s="8">
        <v>7</v>
      </c>
      <c r="AO17" s="8">
        <v>1</v>
      </c>
      <c r="AP17" s="8">
        <v>8</v>
      </c>
      <c r="AQ17" s="8">
        <v>38.99</v>
      </c>
      <c r="AR17" s="8">
        <v>15</v>
      </c>
      <c r="AS17" s="8">
        <v>0</v>
      </c>
      <c r="AT17" s="8">
        <v>5</v>
      </c>
      <c r="AU17" s="29">
        <v>7.8</v>
      </c>
    </row>
    <row r="18" spans="1:50" x14ac:dyDescent="0.2">
      <c r="A18" s="2" t="s">
        <v>54</v>
      </c>
      <c r="B18" s="2">
        <v>259.27</v>
      </c>
      <c r="C18" s="2">
        <v>37.36</v>
      </c>
      <c r="D18" s="2">
        <v>5</v>
      </c>
      <c r="E18" s="2">
        <v>2</v>
      </c>
      <c r="F18" s="2">
        <v>8</v>
      </c>
      <c r="G18" s="2">
        <v>17.43</v>
      </c>
      <c r="H18" s="2">
        <v>17</v>
      </c>
      <c r="I18" s="2">
        <v>0</v>
      </c>
      <c r="J18" s="2">
        <v>5</v>
      </c>
      <c r="K18" s="29">
        <v>3.49</v>
      </c>
      <c r="M18" s="18" t="s">
        <v>93</v>
      </c>
      <c r="N18">
        <f>AVERAGE(N2:N17)</f>
        <v>242.44062500000001</v>
      </c>
      <c r="O18">
        <f t="shared" ref="O18:V18" si="0">AVERAGE(O2:O17)</f>
        <v>49.963125000000005</v>
      </c>
      <c r="P18">
        <f t="shared" si="0"/>
        <v>4.6875</v>
      </c>
      <c r="Q18">
        <f t="shared" si="0"/>
        <v>3.25</v>
      </c>
      <c r="R18">
        <f t="shared" si="0"/>
        <v>8.625</v>
      </c>
      <c r="S18">
        <f t="shared" si="0"/>
        <v>30.548749999999998</v>
      </c>
      <c r="T18">
        <f t="shared" si="0"/>
        <v>16.9375</v>
      </c>
      <c r="U18">
        <f t="shared" si="0"/>
        <v>11.83375</v>
      </c>
      <c r="V18">
        <f t="shared" si="0"/>
        <v>3.5625</v>
      </c>
      <c r="Y18" s="8" t="s">
        <v>70</v>
      </c>
      <c r="Z18" s="8">
        <v>298.39999999999998</v>
      </c>
      <c r="AA18" s="8">
        <v>0</v>
      </c>
      <c r="AB18" s="8">
        <v>0</v>
      </c>
      <c r="AC18" s="8">
        <v>3</v>
      </c>
      <c r="AD18" s="8">
        <v>1</v>
      </c>
      <c r="AE18" s="8">
        <v>81.17</v>
      </c>
      <c r="AF18" s="8">
        <v>7</v>
      </c>
      <c r="AG18" s="8">
        <v>0</v>
      </c>
      <c r="AH18" s="8">
        <v>3</v>
      </c>
      <c r="AI18" s="29">
        <v>27.06</v>
      </c>
      <c r="AK18" s="8" t="s">
        <v>81</v>
      </c>
      <c r="AL18" s="8">
        <v>267.52</v>
      </c>
      <c r="AM18" s="8">
        <v>30.81</v>
      </c>
      <c r="AN18" s="8">
        <v>6</v>
      </c>
      <c r="AO18" s="8">
        <v>1</v>
      </c>
      <c r="AP18" s="8">
        <v>6</v>
      </c>
      <c r="AQ18" s="8">
        <v>47.57</v>
      </c>
      <c r="AR18" s="8">
        <v>18</v>
      </c>
      <c r="AS18" s="8">
        <v>0</v>
      </c>
      <c r="AT18" s="8">
        <v>4</v>
      </c>
      <c r="AU18" s="29">
        <v>11.89</v>
      </c>
    </row>
    <row r="19" spans="1:50" x14ac:dyDescent="0.2">
      <c r="A19" s="2" t="s">
        <v>61</v>
      </c>
      <c r="B19" s="2">
        <v>265.85000000000002</v>
      </c>
      <c r="C19" s="2">
        <v>31.57</v>
      </c>
      <c r="D19" s="2">
        <v>0</v>
      </c>
      <c r="E19" s="2">
        <v>4</v>
      </c>
      <c r="F19" s="2">
        <v>2</v>
      </c>
      <c r="G19" s="2">
        <v>29.96</v>
      </c>
      <c r="H19" s="2">
        <v>4</v>
      </c>
      <c r="I19" s="2">
        <v>29.45</v>
      </c>
      <c r="J19" s="2">
        <v>5</v>
      </c>
      <c r="K19" s="29">
        <v>5.99</v>
      </c>
      <c r="M19" s="18" t="s">
        <v>94</v>
      </c>
      <c r="N19">
        <f>COUNT(N2:N17)</f>
        <v>16</v>
      </c>
      <c r="O19">
        <f t="shared" ref="O19:V19" si="1">COUNT(O2:O17)</f>
        <v>16</v>
      </c>
      <c r="P19">
        <f t="shared" si="1"/>
        <v>16</v>
      </c>
      <c r="Q19">
        <f t="shared" si="1"/>
        <v>16</v>
      </c>
      <c r="R19">
        <f t="shared" si="1"/>
        <v>16</v>
      </c>
      <c r="S19">
        <f t="shared" si="1"/>
        <v>16</v>
      </c>
      <c r="T19">
        <f t="shared" si="1"/>
        <v>16</v>
      </c>
      <c r="U19">
        <f t="shared" si="1"/>
        <v>16</v>
      </c>
      <c r="V19">
        <f t="shared" si="1"/>
        <v>16</v>
      </c>
      <c r="Y19" s="8" t="s">
        <v>71</v>
      </c>
      <c r="Z19" s="8">
        <v>273.45999999999998</v>
      </c>
      <c r="AA19" s="8">
        <v>23.78</v>
      </c>
      <c r="AB19" s="8">
        <v>3</v>
      </c>
      <c r="AC19" s="8">
        <v>3</v>
      </c>
      <c r="AD19" s="8">
        <v>5</v>
      </c>
      <c r="AE19" s="8">
        <v>60.79</v>
      </c>
      <c r="AF19" s="8">
        <v>10</v>
      </c>
      <c r="AG19" s="8">
        <v>0</v>
      </c>
      <c r="AH19" s="8">
        <v>5</v>
      </c>
      <c r="AI19" s="29">
        <v>12.16</v>
      </c>
      <c r="AK19" s="8" t="s">
        <v>82</v>
      </c>
      <c r="AL19" s="8">
        <v>299.13</v>
      </c>
      <c r="AM19" s="8">
        <v>0</v>
      </c>
      <c r="AN19" s="8">
        <v>5</v>
      </c>
      <c r="AO19" s="8">
        <v>6</v>
      </c>
      <c r="AP19" s="8">
        <v>0</v>
      </c>
      <c r="AQ19" s="8">
        <v>21.45</v>
      </c>
      <c r="AR19" s="8">
        <v>12</v>
      </c>
      <c r="AS19" s="8">
        <v>0</v>
      </c>
      <c r="AT19" s="8">
        <v>2</v>
      </c>
      <c r="AU19" s="29">
        <v>10.72</v>
      </c>
    </row>
    <row r="20" spans="1:50" x14ac:dyDescent="0.2">
      <c r="A20" s="2" t="s">
        <v>84</v>
      </c>
      <c r="B20" s="2">
        <v>277.37</v>
      </c>
      <c r="C20" s="2">
        <v>21.86</v>
      </c>
      <c r="D20" s="2">
        <v>0</v>
      </c>
      <c r="E20" s="2">
        <v>3</v>
      </c>
      <c r="F20" s="2">
        <v>3</v>
      </c>
      <c r="G20" s="2">
        <v>43.09</v>
      </c>
      <c r="H20" s="2">
        <v>7</v>
      </c>
      <c r="I20" s="2">
        <v>8.57</v>
      </c>
      <c r="J20" s="2">
        <v>6</v>
      </c>
      <c r="K20" s="29">
        <v>7.18</v>
      </c>
      <c r="M20" s="18" t="s">
        <v>95</v>
      </c>
      <c r="N20">
        <f>STDEV(N2:N17)</f>
        <v>43.873676765421152</v>
      </c>
      <c r="O20">
        <f t="shared" ref="O20:V20" si="2">STDEV(O2:O17)</f>
        <v>41.841612416150177</v>
      </c>
      <c r="P20">
        <f t="shared" si="2"/>
        <v>3.2397273547836294</v>
      </c>
      <c r="Q20">
        <f t="shared" si="2"/>
        <v>1.9148542155126762</v>
      </c>
      <c r="R20">
        <f t="shared" si="2"/>
        <v>6.8593002558570069</v>
      </c>
      <c r="S20">
        <f t="shared" si="2"/>
        <v>22.072082781951803</v>
      </c>
      <c r="T20">
        <f t="shared" si="2"/>
        <v>6.6780111809829528</v>
      </c>
      <c r="U20">
        <f t="shared" si="2"/>
        <v>18.411474637663691</v>
      </c>
      <c r="V20">
        <f t="shared" si="2"/>
        <v>1.8607794065928396</v>
      </c>
      <c r="Y20" s="8" t="s">
        <v>72</v>
      </c>
      <c r="Z20" s="8">
        <v>265.8</v>
      </c>
      <c r="AA20" s="8">
        <v>30.06</v>
      </c>
      <c r="AB20" s="8">
        <v>0</v>
      </c>
      <c r="AC20" s="8">
        <v>2</v>
      </c>
      <c r="AD20" s="8">
        <v>3</v>
      </c>
      <c r="AE20" s="8">
        <v>27.26</v>
      </c>
      <c r="AF20" s="8">
        <v>11</v>
      </c>
      <c r="AG20" s="8">
        <v>0</v>
      </c>
      <c r="AH20" s="8">
        <v>2</v>
      </c>
      <c r="AI20" s="29">
        <v>13.63</v>
      </c>
      <c r="AK20" s="18" t="s">
        <v>93</v>
      </c>
      <c r="AL20">
        <f>AVERAGE(AL2:AL19)</f>
        <v>270.44777777777779</v>
      </c>
      <c r="AM20">
        <f t="shared" ref="AM20:AT20" si="3">AVERAGE(AM2:AM19)</f>
        <v>26.830555555555556</v>
      </c>
      <c r="AN20">
        <f t="shared" si="3"/>
        <v>4.3888888888888893</v>
      </c>
      <c r="AO20">
        <f t="shared" si="3"/>
        <v>3.7222222222222223</v>
      </c>
      <c r="AP20">
        <f t="shared" si="3"/>
        <v>5.7777777777777777</v>
      </c>
      <c r="AQ20">
        <f t="shared" si="3"/>
        <v>46.783888888888896</v>
      </c>
      <c r="AR20">
        <f t="shared" si="3"/>
        <v>11.722222222222221</v>
      </c>
      <c r="AS20">
        <f t="shared" si="3"/>
        <v>11.178333333333335</v>
      </c>
      <c r="AT20">
        <f t="shared" si="3"/>
        <v>4.3888888888888893</v>
      </c>
    </row>
    <row r="21" spans="1:50" x14ac:dyDescent="0.2">
      <c r="A21" s="18" t="s">
        <v>93</v>
      </c>
      <c r="B21">
        <f>AVERAGE(B2:B20)</f>
        <v>253.71105263157892</v>
      </c>
      <c r="C21">
        <f t="shared" ref="C21:J21" si="4">AVERAGE(C2:C20)</f>
        <v>42.783684210526324</v>
      </c>
      <c r="D21">
        <f t="shared" si="4"/>
        <v>3.7894736842105261</v>
      </c>
      <c r="E21">
        <f t="shared" si="4"/>
        <v>3.0526315789473686</v>
      </c>
      <c r="F21">
        <f t="shared" si="4"/>
        <v>7.1052631578947372</v>
      </c>
      <c r="G21">
        <f t="shared" si="4"/>
        <v>22.875263157894736</v>
      </c>
      <c r="H21">
        <f t="shared" si="4"/>
        <v>12.421052631578947</v>
      </c>
      <c r="I21">
        <f t="shared" si="4"/>
        <v>6.5273684210526319</v>
      </c>
      <c r="J21">
        <f t="shared" si="4"/>
        <v>3.8421052631578947</v>
      </c>
      <c r="M21" s="17" t="s">
        <v>105</v>
      </c>
      <c r="N21">
        <f>N20/SQRT(N19)</f>
        <v>10.968419191355288</v>
      </c>
      <c r="O21">
        <f t="shared" ref="O21:V21" si="5">O20/SQRT(O19)</f>
        <v>10.460403104037544</v>
      </c>
      <c r="P21">
        <f t="shared" si="5"/>
        <v>0.80993183869590735</v>
      </c>
      <c r="Q21">
        <f t="shared" si="5"/>
        <v>0.47871355387816905</v>
      </c>
      <c r="R21">
        <f t="shared" si="5"/>
        <v>1.7148250639642517</v>
      </c>
      <c r="S21">
        <f t="shared" si="5"/>
        <v>5.5180206954879507</v>
      </c>
      <c r="T21">
        <f t="shared" si="5"/>
        <v>1.6695027952457382</v>
      </c>
      <c r="U21">
        <f t="shared" si="5"/>
        <v>4.6028686594159227</v>
      </c>
      <c r="V21">
        <f t="shared" si="5"/>
        <v>0.46519485164820989</v>
      </c>
      <c r="Y21" s="8" t="s">
        <v>73</v>
      </c>
      <c r="Z21" s="8">
        <v>286.3</v>
      </c>
      <c r="AA21" s="8">
        <v>12.89</v>
      </c>
      <c r="AB21" s="8">
        <v>0</v>
      </c>
      <c r="AC21" s="8">
        <v>2</v>
      </c>
      <c r="AD21" s="8">
        <v>2</v>
      </c>
      <c r="AE21" s="8">
        <v>139.38999999999999</v>
      </c>
      <c r="AF21" s="8">
        <v>6</v>
      </c>
      <c r="AG21" s="8">
        <v>0</v>
      </c>
      <c r="AH21" s="8">
        <v>6</v>
      </c>
      <c r="AI21" s="29">
        <v>23.23</v>
      </c>
      <c r="AK21" s="18" t="s">
        <v>94</v>
      </c>
      <c r="AL21">
        <f>COUNT(AL2:AL19)</f>
        <v>18</v>
      </c>
      <c r="AM21">
        <f t="shared" ref="AM21:AT21" si="6">COUNT(AM2:AM19)</f>
        <v>18</v>
      </c>
      <c r="AN21">
        <f t="shared" si="6"/>
        <v>18</v>
      </c>
      <c r="AO21">
        <f t="shared" si="6"/>
        <v>18</v>
      </c>
      <c r="AP21">
        <f t="shared" si="6"/>
        <v>18</v>
      </c>
      <c r="AQ21">
        <f t="shared" si="6"/>
        <v>18</v>
      </c>
      <c r="AR21">
        <f t="shared" si="6"/>
        <v>18</v>
      </c>
      <c r="AS21">
        <f t="shared" si="6"/>
        <v>18</v>
      </c>
      <c r="AT21">
        <f t="shared" si="6"/>
        <v>18</v>
      </c>
      <c r="AU21" s="23"/>
      <c r="AV21" s="23"/>
      <c r="AW21" s="23"/>
      <c r="AX21" s="23"/>
    </row>
    <row r="22" spans="1:50" x14ac:dyDescent="0.2">
      <c r="A22" s="18" t="s">
        <v>94</v>
      </c>
      <c r="B22">
        <f>COUNT(B2:B20)</f>
        <v>19</v>
      </c>
      <c r="C22">
        <f t="shared" ref="C22:J22" si="7">COUNT(C2:C20)</f>
        <v>19</v>
      </c>
      <c r="D22">
        <f t="shared" si="7"/>
        <v>19</v>
      </c>
      <c r="E22">
        <f t="shared" si="7"/>
        <v>19</v>
      </c>
      <c r="F22">
        <f t="shared" si="7"/>
        <v>19</v>
      </c>
      <c r="G22">
        <f t="shared" si="7"/>
        <v>19</v>
      </c>
      <c r="H22">
        <f t="shared" si="7"/>
        <v>19</v>
      </c>
      <c r="I22">
        <f t="shared" si="7"/>
        <v>19</v>
      </c>
      <c r="J22">
        <f t="shared" si="7"/>
        <v>19</v>
      </c>
      <c r="M22" s="17"/>
      <c r="Y22" s="18" t="s">
        <v>93</v>
      </c>
      <c r="Z22" s="36">
        <f>AVERAGE(Z2:Z21)</f>
        <v>282.21800000000002</v>
      </c>
      <c r="AA22" s="36">
        <f t="shared" ref="AA22:AH22" si="8">AVERAGE(AA2:AA21)</f>
        <v>15.625999999999999</v>
      </c>
      <c r="AB22" s="36">
        <f t="shared" si="8"/>
        <v>1.95</v>
      </c>
      <c r="AC22" s="36">
        <f t="shared" si="8"/>
        <v>2.9</v>
      </c>
      <c r="AD22" s="36">
        <f t="shared" si="8"/>
        <v>2.95</v>
      </c>
      <c r="AE22" s="36">
        <f t="shared" si="8"/>
        <v>47.410999999999994</v>
      </c>
      <c r="AF22" s="36">
        <f t="shared" si="8"/>
        <v>8.25</v>
      </c>
      <c r="AG22" s="36">
        <f t="shared" si="8"/>
        <v>22.984000000000002</v>
      </c>
      <c r="AH22" s="36">
        <f t="shared" si="8"/>
        <v>3.8</v>
      </c>
      <c r="AK22" s="18" t="s">
        <v>95</v>
      </c>
      <c r="AL22">
        <f>STDEV(AL2:AL19)</f>
        <v>23.598836849590587</v>
      </c>
      <c r="AM22">
        <f t="shared" ref="AM22:AT22" si="9">STDEV(AM2:AM19)</f>
        <v>21.927967227539035</v>
      </c>
      <c r="AN22">
        <f t="shared" si="9"/>
        <v>2.6153143751843202</v>
      </c>
      <c r="AO22">
        <f t="shared" si="9"/>
        <v>1.8725746841481166</v>
      </c>
      <c r="AP22">
        <f t="shared" si="9"/>
        <v>4.9414876963921266</v>
      </c>
      <c r="AQ22">
        <f t="shared" si="9"/>
        <v>44.214477418586448</v>
      </c>
      <c r="AR22">
        <f t="shared" si="9"/>
        <v>5.4965824200728228</v>
      </c>
      <c r="AS22">
        <f t="shared" si="9"/>
        <v>30.826662113482602</v>
      </c>
      <c r="AT22">
        <f t="shared" si="9"/>
        <v>2.2528123309971493</v>
      </c>
      <c r="AU22" s="26"/>
      <c r="AV22" s="26"/>
      <c r="AW22" s="26"/>
      <c r="AX22" s="23"/>
    </row>
    <row r="23" spans="1:50" x14ac:dyDescent="0.2">
      <c r="A23" s="18" t="s">
        <v>95</v>
      </c>
      <c r="B23">
        <f>STDEV(B2:B20)</f>
        <v>39.467535730118705</v>
      </c>
      <c r="C23">
        <f t="shared" ref="C23:J23" si="10">STDEV(C2:C20)</f>
        <v>38.846676278605052</v>
      </c>
      <c r="D23">
        <f t="shared" si="10"/>
        <v>3.137212977016048</v>
      </c>
      <c r="E23">
        <f t="shared" si="10"/>
        <v>2.1978192274900921</v>
      </c>
      <c r="F23">
        <f t="shared" si="10"/>
        <v>5.4149457455177314</v>
      </c>
      <c r="G23">
        <f t="shared" si="10"/>
        <v>20.760083057107732</v>
      </c>
      <c r="H23">
        <f t="shared" si="10"/>
        <v>5.3677616840798752</v>
      </c>
      <c r="I23">
        <f t="shared" si="10"/>
        <v>11.284800417722781</v>
      </c>
      <c r="J23">
        <f t="shared" si="10"/>
        <v>2.5224141411384462</v>
      </c>
      <c r="Y23" s="18" t="s">
        <v>94</v>
      </c>
      <c r="Z23" s="36">
        <f>COUNT(Z2:Z21)</f>
        <v>20</v>
      </c>
      <c r="AA23" s="36">
        <f t="shared" ref="AA23:AH23" si="11">COUNT(AA2:AA21)</f>
        <v>20</v>
      </c>
      <c r="AB23" s="36">
        <f t="shared" si="11"/>
        <v>20</v>
      </c>
      <c r="AC23" s="36">
        <f t="shared" si="11"/>
        <v>20</v>
      </c>
      <c r="AD23" s="36">
        <f t="shared" si="11"/>
        <v>20</v>
      </c>
      <c r="AE23" s="36">
        <f t="shared" si="11"/>
        <v>20</v>
      </c>
      <c r="AF23" s="36">
        <f t="shared" si="11"/>
        <v>20</v>
      </c>
      <c r="AG23" s="36">
        <f t="shared" si="11"/>
        <v>20</v>
      </c>
      <c r="AH23" s="36">
        <f t="shared" si="11"/>
        <v>20</v>
      </c>
      <c r="AK23" s="17" t="s">
        <v>105</v>
      </c>
      <c r="AL23">
        <f>AL20/SQRT(AL21)</f>
        <v>63.745152541166391</v>
      </c>
      <c r="AM23">
        <f t="shared" ref="AM23:AT23" si="12">AM20/SQRT(AM21)</f>
        <v>6.32402259211191</v>
      </c>
      <c r="AN23">
        <f t="shared" si="12"/>
        <v>1.0344710317358752</v>
      </c>
      <c r="AO23">
        <f t="shared" si="12"/>
        <v>0.87733619147219799</v>
      </c>
      <c r="AP23">
        <f t="shared" si="12"/>
        <v>1.3618352822852027</v>
      </c>
      <c r="AQ23">
        <f t="shared" si="12"/>
        <v>11.027068361203773</v>
      </c>
      <c r="AR23">
        <f t="shared" si="12"/>
        <v>2.7629542746363245</v>
      </c>
      <c r="AS23">
        <f t="shared" si="12"/>
        <v>2.6347584341212085</v>
      </c>
      <c r="AT23">
        <f t="shared" si="12"/>
        <v>1.0344710317358752</v>
      </c>
      <c r="AU23" s="25"/>
      <c r="AV23" s="26"/>
      <c r="AW23" s="26"/>
      <c r="AX23" s="23"/>
    </row>
    <row r="24" spans="1:50" x14ac:dyDescent="0.2">
      <c r="A24" s="17" t="s">
        <v>105</v>
      </c>
      <c r="B24">
        <f>B23/SQRT(B22)</f>
        <v>9.0544736735878004</v>
      </c>
      <c r="C24">
        <f t="shared" ref="C24:J24" si="13">C23/SQRT(C22)</f>
        <v>8.9120387468883209</v>
      </c>
      <c r="D24">
        <f t="shared" si="13"/>
        <v>0.71972601743038644</v>
      </c>
      <c r="E24">
        <f t="shared" si="13"/>
        <v>0.50421431098947056</v>
      </c>
      <c r="F24">
        <f t="shared" si="13"/>
        <v>1.2422737520772265</v>
      </c>
      <c r="G24">
        <f t="shared" si="13"/>
        <v>4.7626896897601849</v>
      </c>
      <c r="H24">
        <f t="shared" si="13"/>
        <v>1.2314489859954669</v>
      </c>
      <c r="I24">
        <f t="shared" si="13"/>
        <v>2.5889107694146936</v>
      </c>
      <c r="J24">
        <f t="shared" si="13"/>
        <v>0.57868149131475932</v>
      </c>
      <c r="Y24" s="18" t="s">
        <v>95</v>
      </c>
      <c r="Z24" s="36">
        <f>STDEV(Z2:Z21)</f>
        <v>17.08660836044292</v>
      </c>
      <c r="AA24" s="36">
        <f t="shared" ref="AA24:AH24" si="14">STDEV(AA2:AA21)</f>
        <v>16.299602319979272</v>
      </c>
      <c r="AB24" s="36">
        <f t="shared" si="14"/>
        <v>2.0894471693929497</v>
      </c>
      <c r="AC24" s="36">
        <f t="shared" si="14"/>
        <v>1.2523661815266252</v>
      </c>
      <c r="AD24" s="36">
        <f t="shared" si="14"/>
        <v>3.0517466957034363</v>
      </c>
      <c r="AE24" s="36">
        <f t="shared" si="14"/>
        <v>38.344894108740554</v>
      </c>
      <c r="AF24" s="36">
        <f t="shared" si="14"/>
        <v>3.8644806282753947</v>
      </c>
      <c r="AG24" s="36">
        <f t="shared" si="14"/>
        <v>36.260572672343663</v>
      </c>
      <c r="AH24" s="36">
        <f t="shared" si="14"/>
        <v>2.3753116139062458</v>
      </c>
      <c r="AK24" s="17"/>
      <c r="AM24" s="23"/>
      <c r="AN24" s="23"/>
      <c r="AO24" s="23"/>
      <c r="AP24" s="23"/>
      <c r="AQ24" s="37"/>
      <c r="AR24" s="24"/>
      <c r="AS24" s="24"/>
      <c r="AT24" s="26"/>
      <c r="AU24" s="26"/>
      <c r="AV24" s="25"/>
      <c r="AW24" s="26"/>
      <c r="AX24" s="23"/>
    </row>
    <row r="25" spans="1:50" x14ac:dyDescent="0.2">
      <c r="A25" s="17"/>
      <c r="Y25" s="17" t="s">
        <v>105</v>
      </c>
      <c r="Z25" s="36">
        <f>Z22/SQRT(Z23)</f>
        <v>63.105863247403569</v>
      </c>
      <c r="AA25" s="36">
        <f t="shared" ref="AA25:AH25" si="15">AA22/SQRT(AA23)</f>
        <v>3.4940798216411713</v>
      </c>
      <c r="AB25" s="36">
        <f t="shared" si="15"/>
        <v>0.43603325561245898</v>
      </c>
      <c r="AC25" s="36">
        <f t="shared" si="15"/>
        <v>0.64845971347493891</v>
      </c>
      <c r="AD25" s="36">
        <f t="shared" si="15"/>
        <v>0.65964005336243792</v>
      </c>
      <c r="AE25" s="36">
        <f t="shared" si="15"/>
        <v>10.601421888124252</v>
      </c>
      <c r="AF25" s="36">
        <f t="shared" si="15"/>
        <v>1.8447560814373265</v>
      </c>
      <c r="AG25" s="36">
        <f t="shared" si="15"/>
        <v>5.1393786394855168</v>
      </c>
      <c r="AH25" s="36">
        <f t="shared" si="15"/>
        <v>0.84970583144991996</v>
      </c>
      <c r="AM25" s="23"/>
      <c r="AN25" s="23"/>
      <c r="AO25" s="23"/>
      <c r="AP25" s="23"/>
      <c r="AQ25" s="37"/>
      <c r="AR25" s="24"/>
      <c r="AS25" s="24"/>
      <c r="AT25" s="26"/>
      <c r="AU25" s="26"/>
      <c r="AV25" s="26"/>
      <c r="AW25" s="25"/>
      <c r="AX25" s="23"/>
    </row>
    <row r="26" spans="1:50" x14ac:dyDescent="0.2">
      <c r="Y26" s="17"/>
      <c r="AM26" s="23"/>
      <c r="AN26" s="23"/>
      <c r="AO26" s="23"/>
      <c r="AP26" s="23"/>
      <c r="AQ26" s="37"/>
      <c r="AR26" s="23"/>
      <c r="AS26" s="23"/>
      <c r="AT26" s="23"/>
      <c r="AU26" s="23"/>
      <c r="AV26" s="23"/>
      <c r="AW26" s="23"/>
      <c r="AX26" s="23"/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6"/>
  <sheetViews>
    <sheetView workbookViewId="0">
      <selection activeCell="J20" sqref="J20:K23"/>
    </sheetView>
  </sheetViews>
  <sheetFormatPr baseColWidth="10" defaultColWidth="8.83203125" defaultRowHeight="15" x14ac:dyDescent="0.2"/>
  <cols>
    <col min="1" max="1" width="13" customWidth="1"/>
    <col min="2" max="2" width="31.33203125" customWidth="1"/>
    <col min="4" max="4" width="16.5" customWidth="1"/>
    <col min="5" max="5" width="21.1640625" customWidth="1"/>
    <col min="6" max="6" width="11.1640625" customWidth="1"/>
    <col min="8" max="8" width="20.83203125" customWidth="1"/>
    <col min="10" max="10" width="12.33203125" customWidth="1"/>
    <col min="11" max="11" width="23" customWidth="1"/>
    <col min="14" max="14" width="19.6640625" customWidth="1"/>
    <col min="19" max="19" width="24.5" customWidth="1"/>
  </cols>
  <sheetData>
    <row r="1" spans="1:11" x14ac:dyDescent="0.2">
      <c r="A1" s="2"/>
      <c r="B1" s="2" t="s">
        <v>102</v>
      </c>
      <c r="D1" s="2"/>
      <c r="E1" s="2" t="s">
        <v>102</v>
      </c>
      <c r="G1" s="2"/>
      <c r="H1" s="2" t="s">
        <v>102</v>
      </c>
      <c r="J1" s="2"/>
      <c r="K1" s="22" t="s">
        <v>102</v>
      </c>
    </row>
    <row r="2" spans="1:11" x14ac:dyDescent="0.2">
      <c r="A2" s="2" t="s">
        <v>0</v>
      </c>
      <c r="B2" s="7">
        <v>78</v>
      </c>
      <c r="D2" s="2" t="s">
        <v>15</v>
      </c>
      <c r="E2" s="2">
        <v>126</v>
      </c>
      <c r="G2" s="2" t="s">
        <v>12</v>
      </c>
      <c r="H2" s="2">
        <v>342</v>
      </c>
      <c r="J2" s="5" t="s">
        <v>24</v>
      </c>
      <c r="K2" s="5">
        <v>136</v>
      </c>
    </row>
    <row r="3" spans="1:11" x14ac:dyDescent="0.2">
      <c r="A3" s="2" t="s">
        <v>1</v>
      </c>
      <c r="B3" s="7">
        <v>87</v>
      </c>
      <c r="D3" s="2" t="s">
        <v>16</v>
      </c>
      <c r="E3" s="2">
        <v>184</v>
      </c>
      <c r="G3" s="4" t="s">
        <v>13</v>
      </c>
      <c r="H3" s="4">
        <v>194</v>
      </c>
      <c r="J3" s="2" t="s">
        <v>24</v>
      </c>
      <c r="K3" s="2">
        <v>203.36</v>
      </c>
    </row>
    <row r="4" spans="1:11" x14ac:dyDescent="0.2">
      <c r="A4" s="2" t="s">
        <v>2</v>
      </c>
      <c r="B4" s="2">
        <v>193</v>
      </c>
      <c r="D4" s="2" t="s">
        <v>17</v>
      </c>
      <c r="E4" s="2">
        <v>165</v>
      </c>
      <c r="G4" s="2" t="s">
        <v>14</v>
      </c>
      <c r="H4" s="2">
        <v>152</v>
      </c>
      <c r="J4" s="2" t="s">
        <v>40</v>
      </c>
      <c r="K4" s="2">
        <v>199.42</v>
      </c>
    </row>
    <row r="5" spans="1:11" x14ac:dyDescent="0.2">
      <c r="A5" s="2" t="s">
        <v>3</v>
      </c>
      <c r="B5" s="2">
        <v>73</v>
      </c>
      <c r="D5" s="2" t="s">
        <v>18</v>
      </c>
      <c r="E5" s="2">
        <v>148</v>
      </c>
      <c r="G5" s="2" t="s">
        <v>27</v>
      </c>
      <c r="H5" s="2">
        <v>263.42</v>
      </c>
      <c r="J5" s="2" t="s">
        <v>41</v>
      </c>
      <c r="K5" s="2">
        <v>198.82</v>
      </c>
    </row>
    <row r="6" spans="1:11" x14ac:dyDescent="0.2">
      <c r="A6" s="2" t="s">
        <v>4</v>
      </c>
      <c r="B6" s="2">
        <v>151</v>
      </c>
      <c r="D6" s="2" t="s">
        <v>19</v>
      </c>
      <c r="E6" s="2">
        <v>258</v>
      </c>
      <c r="G6" s="2" t="s">
        <v>28</v>
      </c>
      <c r="H6" s="2">
        <v>192.45</v>
      </c>
      <c r="J6" s="2" t="s">
        <v>42</v>
      </c>
      <c r="K6" s="2">
        <v>128.19999999999999</v>
      </c>
    </row>
    <row r="7" spans="1:11" x14ac:dyDescent="0.2">
      <c r="A7" s="2" t="s">
        <v>5</v>
      </c>
      <c r="B7" s="2">
        <v>114</v>
      </c>
      <c r="D7" s="2" t="s">
        <v>20</v>
      </c>
      <c r="E7" s="2">
        <v>307</v>
      </c>
      <c r="G7" s="4" t="s">
        <v>37</v>
      </c>
      <c r="H7" s="4">
        <v>320.64999999999998</v>
      </c>
      <c r="J7" s="2" t="s">
        <v>43</v>
      </c>
      <c r="K7" s="2">
        <v>254.39</v>
      </c>
    </row>
    <row r="8" spans="1:11" x14ac:dyDescent="0.2">
      <c r="A8" s="2" t="s">
        <v>6</v>
      </c>
      <c r="B8" s="2">
        <v>265</v>
      </c>
      <c r="D8" s="2" t="s">
        <v>21</v>
      </c>
      <c r="E8" s="2">
        <v>155</v>
      </c>
      <c r="G8" s="2" t="s">
        <v>38</v>
      </c>
      <c r="H8" s="2">
        <v>283.41000000000003</v>
      </c>
      <c r="J8" s="2" t="s">
        <v>44</v>
      </c>
      <c r="K8" s="2">
        <v>191.95</v>
      </c>
    </row>
    <row r="9" spans="1:11" x14ac:dyDescent="0.2">
      <c r="A9" s="2" t="s">
        <v>7</v>
      </c>
      <c r="B9" s="2">
        <v>234</v>
      </c>
      <c r="D9" s="2" t="s">
        <v>22</v>
      </c>
      <c r="E9" s="2">
        <v>315</v>
      </c>
      <c r="G9" s="2" t="s">
        <v>39</v>
      </c>
      <c r="H9" s="2">
        <v>75.040000000000006</v>
      </c>
      <c r="J9" s="2" t="s">
        <v>45</v>
      </c>
      <c r="K9" s="2">
        <v>298.79000000000002</v>
      </c>
    </row>
    <row r="10" spans="1:11" x14ac:dyDescent="0.2">
      <c r="A10" s="2" t="s">
        <v>8</v>
      </c>
      <c r="B10" s="2">
        <v>319</v>
      </c>
      <c r="D10" s="2" t="s">
        <v>23</v>
      </c>
      <c r="E10" s="2">
        <v>263</v>
      </c>
      <c r="G10" s="8" t="s">
        <v>62</v>
      </c>
      <c r="H10" s="8">
        <v>281.49</v>
      </c>
      <c r="J10" s="2" t="s">
        <v>46</v>
      </c>
      <c r="K10" s="2">
        <v>177.33</v>
      </c>
    </row>
    <row r="11" spans="1:11" x14ac:dyDescent="0.2">
      <c r="A11" s="2" t="s">
        <v>9</v>
      </c>
      <c r="B11" s="2">
        <v>128</v>
      </c>
      <c r="D11" s="2" t="s">
        <v>55</v>
      </c>
      <c r="E11" s="2">
        <v>281.16000000000003</v>
      </c>
      <c r="G11" s="8" t="s">
        <v>63</v>
      </c>
      <c r="H11" s="8">
        <v>222.53</v>
      </c>
      <c r="J11" s="8" t="s">
        <v>74</v>
      </c>
      <c r="K11" s="8">
        <v>56.08</v>
      </c>
    </row>
    <row r="12" spans="1:11" x14ac:dyDescent="0.2">
      <c r="A12" s="2" t="s">
        <v>10</v>
      </c>
      <c r="B12" s="2">
        <v>179</v>
      </c>
      <c r="D12" s="2" t="s">
        <v>56</v>
      </c>
      <c r="E12" s="2">
        <v>181.98</v>
      </c>
      <c r="G12" s="8" t="s">
        <v>64</v>
      </c>
      <c r="H12" s="8">
        <v>231.51</v>
      </c>
      <c r="J12" s="8" t="s">
        <v>75</v>
      </c>
      <c r="K12" s="8">
        <v>157.69999999999999</v>
      </c>
    </row>
    <row r="13" spans="1:11" x14ac:dyDescent="0.2">
      <c r="A13" s="4" t="s">
        <v>11</v>
      </c>
      <c r="B13" s="4">
        <v>290</v>
      </c>
      <c r="D13" s="2" t="s">
        <v>57</v>
      </c>
      <c r="E13" s="2">
        <v>123.91</v>
      </c>
      <c r="G13" s="8" t="s">
        <v>65</v>
      </c>
      <c r="H13" s="8">
        <v>254.64</v>
      </c>
      <c r="J13" s="8" t="s">
        <v>76</v>
      </c>
      <c r="K13" s="8">
        <v>187.24</v>
      </c>
    </row>
    <row r="14" spans="1:11" x14ac:dyDescent="0.2">
      <c r="A14" s="2" t="s">
        <v>50</v>
      </c>
      <c r="B14" s="2">
        <v>204.22</v>
      </c>
      <c r="D14" s="2" t="s">
        <v>58</v>
      </c>
      <c r="E14" s="2">
        <v>67.22</v>
      </c>
      <c r="G14" s="8" t="s">
        <v>66</v>
      </c>
      <c r="H14" s="8">
        <v>347.25</v>
      </c>
      <c r="J14" s="8" t="s">
        <v>77</v>
      </c>
      <c r="K14" s="8">
        <v>134.69999999999999</v>
      </c>
    </row>
    <row r="15" spans="1:11" x14ac:dyDescent="0.2">
      <c r="A15" s="2" t="s">
        <v>51</v>
      </c>
      <c r="B15" s="2">
        <v>159.72999999999999</v>
      </c>
      <c r="D15" s="2" t="s">
        <v>59</v>
      </c>
      <c r="E15" s="2">
        <v>268.33999999999997</v>
      </c>
      <c r="G15" s="8" t="s">
        <v>67</v>
      </c>
      <c r="H15" s="8">
        <v>252.06</v>
      </c>
      <c r="J15" s="8" t="s">
        <v>78</v>
      </c>
      <c r="K15" s="8">
        <v>122.97</v>
      </c>
    </row>
    <row r="16" spans="1:11" x14ac:dyDescent="0.2">
      <c r="A16" s="2" t="s">
        <v>52</v>
      </c>
      <c r="B16" s="2">
        <v>224.57</v>
      </c>
      <c r="D16" s="2" t="s">
        <v>85</v>
      </c>
      <c r="E16" s="2">
        <v>181.48</v>
      </c>
      <c r="G16" s="8" t="s">
        <v>68</v>
      </c>
      <c r="H16" s="8">
        <v>243.16</v>
      </c>
      <c r="J16" s="8" t="s">
        <v>79</v>
      </c>
      <c r="K16" s="8">
        <v>229.34</v>
      </c>
    </row>
    <row r="17" spans="1:16" x14ac:dyDescent="0.2">
      <c r="A17" s="2" t="s">
        <v>53</v>
      </c>
      <c r="B17" s="2">
        <v>220.27</v>
      </c>
      <c r="D17" s="2" t="s">
        <v>86</v>
      </c>
      <c r="E17" s="2">
        <v>289.52999999999997</v>
      </c>
      <c r="G17" s="8" t="s">
        <v>69</v>
      </c>
      <c r="H17" s="8">
        <v>232.9</v>
      </c>
      <c r="J17" s="8" t="s">
        <v>80</v>
      </c>
      <c r="K17" s="8">
        <v>226.8</v>
      </c>
    </row>
    <row r="18" spans="1:16" x14ac:dyDescent="0.2">
      <c r="A18" s="2" t="s">
        <v>54</v>
      </c>
      <c r="B18" s="2">
        <v>226.04</v>
      </c>
      <c r="D18" s="18" t="s">
        <v>93</v>
      </c>
      <c r="E18">
        <f>AVERAGE(E2:E17)</f>
        <v>207.16374999999999</v>
      </c>
      <c r="G18" s="8" t="s">
        <v>70</v>
      </c>
      <c r="H18" s="8">
        <v>298.67</v>
      </c>
      <c r="J18" s="8" t="s">
        <v>81</v>
      </c>
      <c r="K18" s="8">
        <v>191.61</v>
      </c>
    </row>
    <row r="19" spans="1:16" x14ac:dyDescent="0.2">
      <c r="A19" s="2" t="s">
        <v>61</v>
      </c>
      <c r="B19" s="2">
        <v>147.49</v>
      </c>
      <c r="D19" s="18" t="s">
        <v>94</v>
      </c>
      <c r="E19">
        <f>COUNT(E2:E17)</f>
        <v>16</v>
      </c>
      <c r="G19" s="8" t="s">
        <v>71</v>
      </c>
      <c r="H19" s="8">
        <v>276.16000000000003</v>
      </c>
      <c r="J19" s="8" t="s">
        <v>82</v>
      </c>
      <c r="K19" s="8">
        <v>133.24</v>
      </c>
    </row>
    <row r="20" spans="1:16" x14ac:dyDescent="0.2">
      <c r="A20" s="2" t="s">
        <v>84</v>
      </c>
      <c r="B20" s="2">
        <v>247.84</v>
      </c>
      <c r="D20" s="18" t="s">
        <v>95</v>
      </c>
      <c r="E20">
        <f>STDEV(E2:E17)</f>
        <v>75.82116695444175</v>
      </c>
      <c r="G20" s="8" t="s">
        <v>72</v>
      </c>
      <c r="H20" s="8">
        <v>303.41000000000003</v>
      </c>
      <c r="J20" s="18" t="s">
        <v>93</v>
      </c>
      <c r="K20">
        <f>AVERAGE(K2:K19)</f>
        <v>179.32999999999998</v>
      </c>
      <c r="N20" s="10"/>
    </row>
    <row r="21" spans="1:16" x14ac:dyDescent="0.2">
      <c r="A21" s="18" t="s">
        <v>93</v>
      </c>
      <c r="B21">
        <f>AVERAGE(B2:B20)</f>
        <v>186.37684210526314</v>
      </c>
      <c r="D21" s="17" t="s">
        <v>105</v>
      </c>
      <c r="E21">
        <f>E18/SQRT(E19)</f>
        <v>51.790937499999998</v>
      </c>
      <c r="G21" s="8" t="s">
        <v>73</v>
      </c>
      <c r="H21" s="8">
        <v>210.78</v>
      </c>
      <c r="J21" s="18" t="s">
        <v>94</v>
      </c>
      <c r="K21">
        <f>COUNT(K2:K19)</f>
        <v>18</v>
      </c>
      <c r="N21" s="10"/>
      <c r="P21" s="10"/>
    </row>
    <row r="22" spans="1:16" x14ac:dyDescent="0.2">
      <c r="A22" s="18" t="s">
        <v>94</v>
      </c>
      <c r="B22">
        <f>COUNT(B2:B20)</f>
        <v>19</v>
      </c>
      <c r="G22" s="8" t="s">
        <v>83</v>
      </c>
      <c r="H22" s="8">
        <v>220.72</v>
      </c>
      <c r="J22" s="18" t="s">
        <v>95</v>
      </c>
      <c r="K22">
        <f>STDEV(K2:K19)</f>
        <v>56.276312015959711</v>
      </c>
      <c r="P22" s="9"/>
    </row>
    <row r="23" spans="1:16" x14ac:dyDescent="0.2">
      <c r="A23" s="18" t="s">
        <v>95</v>
      </c>
      <c r="B23">
        <f>STDEV(B2:B20)</f>
        <v>71.393614797950434</v>
      </c>
      <c r="G23" s="18" t="s">
        <v>93</v>
      </c>
      <c r="H23">
        <f>AVERAGE(H2:H22)</f>
        <v>247.53571428571425</v>
      </c>
      <c r="J23" s="17" t="s">
        <v>105</v>
      </c>
      <c r="K23">
        <f>K20/SQRT(K21)</f>
        <v>42.268486356727855</v>
      </c>
    </row>
    <row r="24" spans="1:16" x14ac:dyDescent="0.2">
      <c r="A24" s="17" t="s">
        <v>105</v>
      </c>
      <c r="B24">
        <f>B21/SQRT(B22)</f>
        <v>42.757780008056756</v>
      </c>
      <c r="G24" s="18" t="s">
        <v>94</v>
      </c>
      <c r="H24">
        <f>COUNT(H2:H22)</f>
        <v>21</v>
      </c>
    </row>
    <row r="25" spans="1:16" x14ac:dyDescent="0.2">
      <c r="G25" s="18" t="s">
        <v>95</v>
      </c>
      <c r="H25">
        <f>STDEV(H2:H22)</f>
        <v>63.835384433042314</v>
      </c>
    </row>
    <row r="26" spans="1:16" x14ac:dyDescent="0.2">
      <c r="G26" s="17" t="s">
        <v>105</v>
      </c>
      <c r="H26">
        <f>H23/SQRT(H24)</f>
        <v>54.016721329487964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27"/>
  <sheetViews>
    <sheetView workbookViewId="0">
      <selection activeCell="AL20" sqref="AL20:AL23"/>
    </sheetView>
  </sheetViews>
  <sheetFormatPr baseColWidth="10" defaultColWidth="8.83203125" defaultRowHeight="15" x14ac:dyDescent="0.2"/>
  <cols>
    <col min="1" max="1" width="12.33203125" customWidth="1"/>
    <col min="3" max="3" width="18.1640625" customWidth="1"/>
    <col min="5" max="5" width="20.33203125" customWidth="1"/>
    <col min="6" max="6" width="13" customWidth="1"/>
    <col min="7" max="7" width="21" customWidth="1"/>
    <col min="8" max="8" width="35.6640625" customWidth="1"/>
    <col min="9" max="9" width="30.1640625" customWidth="1"/>
    <col min="11" max="19" width="14.33203125" customWidth="1"/>
    <col min="21" max="29" width="17.33203125" customWidth="1"/>
    <col min="32" max="39" width="15.33203125" customWidth="1"/>
  </cols>
  <sheetData>
    <row r="1" spans="1:40" x14ac:dyDescent="0.2">
      <c r="A1" s="2"/>
      <c r="B1" s="16" t="s">
        <v>96</v>
      </c>
      <c r="C1" s="16"/>
      <c r="D1" s="16" t="s">
        <v>97</v>
      </c>
      <c r="E1" s="16"/>
      <c r="F1" s="2"/>
      <c r="G1" s="2"/>
      <c r="H1" s="29"/>
      <c r="I1" s="33"/>
      <c r="K1" s="2"/>
      <c r="L1" s="16" t="s">
        <v>96</v>
      </c>
      <c r="M1" s="16"/>
      <c r="N1" s="16" t="s">
        <v>97</v>
      </c>
      <c r="O1" s="16"/>
      <c r="P1" s="2"/>
      <c r="Q1" s="2"/>
      <c r="R1" s="2"/>
      <c r="S1" s="33"/>
      <c r="U1" s="2"/>
      <c r="V1" s="16" t="s">
        <v>25</v>
      </c>
      <c r="W1" s="16"/>
      <c r="X1" s="16" t="s">
        <v>26</v>
      </c>
      <c r="Y1" s="16"/>
      <c r="Z1" s="2"/>
      <c r="AA1" s="2"/>
      <c r="AB1" s="2"/>
      <c r="AC1" s="33"/>
      <c r="AE1" s="2"/>
      <c r="AF1" s="16" t="s">
        <v>25</v>
      </c>
      <c r="AG1" s="16"/>
      <c r="AH1" s="16" t="s">
        <v>26</v>
      </c>
      <c r="AI1" s="16"/>
      <c r="AJ1" s="2"/>
      <c r="AK1" s="2"/>
      <c r="AL1" s="2"/>
      <c r="AM1" s="33"/>
    </row>
    <row r="2" spans="1:40" x14ac:dyDescent="0.2">
      <c r="A2" s="2"/>
      <c r="B2" s="2" t="s">
        <v>98</v>
      </c>
      <c r="C2" s="2" t="s">
        <v>99</v>
      </c>
      <c r="D2" s="2" t="s">
        <v>98</v>
      </c>
      <c r="E2" s="2" t="s">
        <v>99</v>
      </c>
      <c r="F2" s="2" t="s">
        <v>96</v>
      </c>
      <c r="G2" s="2" t="s">
        <v>97</v>
      </c>
      <c r="H2" s="29" t="s">
        <v>122</v>
      </c>
      <c r="I2" s="33" t="s">
        <v>101</v>
      </c>
      <c r="K2" s="2"/>
      <c r="L2" s="2" t="s">
        <v>98</v>
      </c>
      <c r="M2" s="2" t="s">
        <v>99</v>
      </c>
      <c r="N2" s="2" t="s">
        <v>98</v>
      </c>
      <c r="O2" s="2" t="s">
        <v>99</v>
      </c>
      <c r="P2" s="2" t="s">
        <v>96</v>
      </c>
      <c r="Q2" s="2" t="s">
        <v>97</v>
      </c>
      <c r="R2" s="2" t="s">
        <v>100</v>
      </c>
      <c r="S2" s="33" t="s">
        <v>101</v>
      </c>
      <c r="U2" s="2"/>
      <c r="V2" s="2" t="s">
        <v>98</v>
      </c>
      <c r="W2" s="2" t="s">
        <v>99</v>
      </c>
      <c r="X2" s="2" t="s">
        <v>98</v>
      </c>
      <c r="Y2" s="2" t="s">
        <v>99</v>
      </c>
      <c r="Z2" s="2" t="s">
        <v>96</v>
      </c>
      <c r="AA2" s="2" t="s">
        <v>97</v>
      </c>
      <c r="AB2" s="2" t="s">
        <v>100</v>
      </c>
      <c r="AC2" s="33" t="s">
        <v>101</v>
      </c>
      <c r="AE2" s="2"/>
      <c r="AF2" s="2" t="s">
        <v>98</v>
      </c>
      <c r="AG2" s="2" t="s">
        <v>99</v>
      </c>
      <c r="AH2" s="2" t="s">
        <v>98</v>
      </c>
      <c r="AI2" s="2" t="s">
        <v>99</v>
      </c>
      <c r="AJ2" s="2" t="s">
        <v>96</v>
      </c>
      <c r="AK2" s="2" t="s">
        <v>97</v>
      </c>
      <c r="AL2" s="2" t="s">
        <v>100</v>
      </c>
      <c r="AM2" s="33" t="s">
        <v>101</v>
      </c>
    </row>
    <row r="3" spans="1:40" x14ac:dyDescent="0.2">
      <c r="A3" s="2" t="s">
        <v>0</v>
      </c>
      <c r="B3" s="2">
        <v>83.8</v>
      </c>
      <c r="C3" s="2">
        <v>82.4</v>
      </c>
      <c r="D3" s="2">
        <v>86.3</v>
      </c>
      <c r="E3" s="2">
        <v>70.599999999999994</v>
      </c>
      <c r="F3" s="2">
        <f>B3-C3</f>
        <v>1.3999999999999915</v>
      </c>
      <c r="G3" s="2">
        <f>D3-E3</f>
        <v>15.700000000000003</v>
      </c>
      <c r="H3" s="29">
        <f>F3+G3</f>
        <v>17.099999999999994</v>
      </c>
      <c r="I3" s="34">
        <f>(G3*100)/H3</f>
        <v>91.812865497076061</v>
      </c>
      <c r="K3" s="2" t="s">
        <v>15</v>
      </c>
      <c r="L3" s="2">
        <v>83.7</v>
      </c>
      <c r="M3" s="2">
        <v>79.400000000000006</v>
      </c>
      <c r="N3" s="2">
        <v>83.7</v>
      </c>
      <c r="O3" s="2">
        <v>78</v>
      </c>
      <c r="P3" s="2">
        <f>L3-M3</f>
        <v>4.2999999999999972</v>
      </c>
      <c r="Q3" s="2">
        <f>N3-O3</f>
        <v>5.7000000000000028</v>
      </c>
      <c r="R3" s="2">
        <f>P3+Q3</f>
        <v>10</v>
      </c>
      <c r="S3" s="33">
        <f>Q3/R3*100</f>
        <v>57.000000000000028</v>
      </c>
      <c r="U3" s="2" t="s">
        <v>12</v>
      </c>
      <c r="V3" s="2">
        <v>83.2</v>
      </c>
      <c r="W3" s="2">
        <v>81</v>
      </c>
      <c r="X3" s="2">
        <v>83.7</v>
      </c>
      <c r="Y3" s="2">
        <v>71</v>
      </c>
      <c r="Z3" s="2">
        <f>V3-W3</f>
        <v>2.2000000000000028</v>
      </c>
      <c r="AA3" s="2">
        <f>X3-Y3</f>
        <v>12.700000000000003</v>
      </c>
      <c r="AB3" s="2">
        <f>Z3+AA3</f>
        <v>14.900000000000006</v>
      </c>
      <c r="AC3" s="34">
        <f>AA3/AB3*100</f>
        <v>85.234899328859044</v>
      </c>
      <c r="AE3" s="2" t="s">
        <v>29</v>
      </c>
      <c r="AF3" s="2">
        <v>83.9</v>
      </c>
      <c r="AG3" s="2">
        <v>81.3</v>
      </c>
      <c r="AH3" s="2">
        <v>84.5</v>
      </c>
      <c r="AI3" s="2">
        <v>73.7</v>
      </c>
      <c r="AJ3" s="2">
        <f>AF3-AG3</f>
        <v>2.6000000000000085</v>
      </c>
      <c r="AK3" s="2">
        <f>AH3-AI3</f>
        <v>10.799999999999997</v>
      </c>
      <c r="AL3" s="2">
        <f>AJ3+AK3</f>
        <v>13.400000000000006</v>
      </c>
      <c r="AM3" s="34">
        <f>AK3/AL3*100</f>
        <v>80.597014925373074</v>
      </c>
    </row>
    <row r="4" spans="1:40" x14ac:dyDescent="0.2">
      <c r="A4" s="2" t="s">
        <v>1</v>
      </c>
      <c r="B4" s="2">
        <v>83.1</v>
      </c>
      <c r="C4" s="2">
        <v>82.9</v>
      </c>
      <c r="D4" s="2">
        <v>86.2</v>
      </c>
      <c r="E4" s="2">
        <v>83.5</v>
      </c>
      <c r="F4" s="2">
        <f t="shared" ref="F4:F21" si="0">B4-C4</f>
        <v>0.19999999999998863</v>
      </c>
      <c r="G4" s="2">
        <f t="shared" ref="G4:G21" si="1">D4-E4</f>
        <v>2.7000000000000028</v>
      </c>
      <c r="H4" s="29">
        <f t="shared" ref="H4:H21" si="2">F4+G4</f>
        <v>2.8999999999999915</v>
      </c>
      <c r="I4" s="34">
        <f t="shared" ref="I4:I21" si="3">(G4*100)/H4</f>
        <v>93.103448275862448</v>
      </c>
      <c r="K4" s="2" t="s">
        <v>16</v>
      </c>
      <c r="L4" s="2">
        <v>84.7</v>
      </c>
      <c r="M4" s="2">
        <v>82.3</v>
      </c>
      <c r="N4" s="2">
        <v>84.9</v>
      </c>
      <c r="O4" s="2">
        <v>38.200000000000003</v>
      </c>
      <c r="P4" s="2">
        <f t="shared" ref="P4:P18" si="4">L4-M4</f>
        <v>2.4000000000000057</v>
      </c>
      <c r="Q4" s="2">
        <f t="shared" ref="Q4:Q18" si="5">N4-O4</f>
        <v>46.7</v>
      </c>
      <c r="R4" s="2">
        <f t="shared" ref="R4:R18" si="6">P4+Q4</f>
        <v>49.100000000000009</v>
      </c>
      <c r="S4" s="34">
        <f t="shared" ref="S4:S18" si="7">Q4/R4*100</f>
        <v>95.112016293279012</v>
      </c>
      <c r="U4" s="4" t="s">
        <v>13</v>
      </c>
      <c r="V4" s="4">
        <v>82.1</v>
      </c>
      <c r="W4" s="4">
        <v>76.2</v>
      </c>
      <c r="X4" s="4">
        <v>83.6</v>
      </c>
      <c r="Y4" s="4">
        <v>73.8</v>
      </c>
      <c r="Z4" s="4">
        <f>V4-W4</f>
        <v>5.8999999999999915</v>
      </c>
      <c r="AA4" s="4">
        <f t="shared" ref="AA4:AA10" si="8">X4-Y4</f>
        <v>9.7999999999999972</v>
      </c>
      <c r="AB4" s="4">
        <f t="shared" ref="AB4:AB10" si="9">Z4+AA4</f>
        <v>15.699999999999989</v>
      </c>
      <c r="AC4" s="34">
        <f t="shared" ref="AC4:AC10" si="10">AA4/AB4*100</f>
        <v>62.420382165605126</v>
      </c>
      <c r="AE4" s="2" t="s">
        <v>30</v>
      </c>
      <c r="AF4" s="2">
        <v>84.2</v>
      </c>
      <c r="AG4" s="2">
        <v>76.099999999999994</v>
      </c>
      <c r="AH4" s="2">
        <v>84.6</v>
      </c>
      <c r="AI4" s="2">
        <v>77</v>
      </c>
      <c r="AJ4" s="2">
        <f t="shared" ref="AJ4:AJ19" si="11">AF4-AG4</f>
        <v>8.1000000000000085</v>
      </c>
      <c r="AK4" s="2">
        <f t="shared" ref="AK4:AK19" si="12">AH4-AI4</f>
        <v>7.5999999999999943</v>
      </c>
      <c r="AL4" s="2">
        <f t="shared" ref="AL4:AL19" si="13">AJ4+AK4</f>
        <v>15.700000000000003</v>
      </c>
      <c r="AM4" s="34">
        <f t="shared" ref="AM4:AM19" si="14">AK4/AL4*100</f>
        <v>48.407643312101868</v>
      </c>
    </row>
    <row r="5" spans="1:40" x14ac:dyDescent="0.2">
      <c r="A5" s="2" t="s">
        <v>2</v>
      </c>
      <c r="B5" s="2">
        <v>84.7</v>
      </c>
      <c r="C5" s="2">
        <v>84.5</v>
      </c>
      <c r="D5" s="2">
        <v>84.6</v>
      </c>
      <c r="E5" s="2">
        <v>81.900000000000006</v>
      </c>
      <c r="F5" s="2">
        <f t="shared" si="0"/>
        <v>0.20000000000000284</v>
      </c>
      <c r="G5" s="2">
        <f t="shared" si="1"/>
        <v>2.6999999999999886</v>
      </c>
      <c r="H5" s="29">
        <f t="shared" si="2"/>
        <v>2.8999999999999915</v>
      </c>
      <c r="I5" s="34">
        <f t="shared" si="3"/>
        <v>93.10344827586195</v>
      </c>
      <c r="K5" s="2" t="s">
        <v>17</v>
      </c>
      <c r="L5" s="2">
        <v>84.8</v>
      </c>
      <c r="M5" s="2">
        <v>76.3</v>
      </c>
      <c r="N5" s="2">
        <v>84.7</v>
      </c>
      <c r="O5" s="2">
        <v>84.6</v>
      </c>
      <c r="P5" s="2">
        <f t="shared" si="4"/>
        <v>8.5</v>
      </c>
      <c r="Q5" s="2">
        <f t="shared" si="5"/>
        <v>0.10000000000000853</v>
      </c>
      <c r="R5" s="2">
        <f t="shared" si="6"/>
        <v>8.6000000000000085</v>
      </c>
      <c r="S5" s="34">
        <f t="shared" si="7"/>
        <v>1.1627906976745166</v>
      </c>
      <c r="U5" s="2" t="s">
        <v>14</v>
      </c>
      <c r="V5" s="2">
        <v>83.2</v>
      </c>
      <c r="W5" s="2">
        <v>67</v>
      </c>
      <c r="X5" s="2">
        <v>83.5</v>
      </c>
      <c r="Y5" s="2">
        <v>82.3</v>
      </c>
      <c r="Z5" s="2">
        <f>V5-W5</f>
        <v>16.200000000000003</v>
      </c>
      <c r="AA5" s="2">
        <f t="shared" si="8"/>
        <v>1.2000000000000028</v>
      </c>
      <c r="AB5" s="2">
        <f t="shared" si="9"/>
        <v>17.400000000000006</v>
      </c>
      <c r="AC5" s="34">
        <f t="shared" si="10"/>
        <v>6.8965517241379448</v>
      </c>
      <c r="AE5" s="2" t="s">
        <v>31</v>
      </c>
      <c r="AF5" s="2">
        <v>83</v>
      </c>
      <c r="AG5" s="2">
        <v>57.2</v>
      </c>
      <c r="AH5" s="2">
        <v>84.6</v>
      </c>
      <c r="AI5" s="2">
        <v>79.8</v>
      </c>
      <c r="AJ5" s="2">
        <f t="shared" si="11"/>
        <v>25.799999999999997</v>
      </c>
      <c r="AK5" s="2">
        <f t="shared" si="12"/>
        <v>4.7999999999999972</v>
      </c>
      <c r="AL5" s="2">
        <f t="shared" si="13"/>
        <v>30.599999999999994</v>
      </c>
      <c r="AM5" s="34">
        <f t="shared" si="14"/>
        <v>15.686274509803916</v>
      </c>
    </row>
    <row r="6" spans="1:40" x14ac:dyDescent="0.2">
      <c r="A6" s="2" t="s">
        <v>3</v>
      </c>
      <c r="B6" s="2">
        <v>81.7</v>
      </c>
      <c r="C6" s="2">
        <v>80.599999999999994</v>
      </c>
      <c r="D6" s="2">
        <v>86.6</v>
      </c>
      <c r="E6" s="2">
        <v>85.6</v>
      </c>
      <c r="F6" s="2">
        <f t="shared" si="0"/>
        <v>1.1000000000000085</v>
      </c>
      <c r="G6" s="2">
        <f t="shared" si="1"/>
        <v>1</v>
      </c>
      <c r="H6" s="29">
        <f t="shared" si="2"/>
        <v>2.1000000000000085</v>
      </c>
      <c r="I6" s="34">
        <f t="shared" si="3"/>
        <v>47.619047619047429</v>
      </c>
      <c r="K6" s="2" t="s">
        <v>18</v>
      </c>
      <c r="L6" s="2">
        <v>83.9</v>
      </c>
      <c r="M6" s="2">
        <v>82.7</v>
      </c>
      <c r="N6" s="2">
        <v>83.7</v>
      </c>
      <c r="O6" s="2">
        <v>83.6</v>
      </c>
      <c r="P6" s="2">
        <f t="shared" si="4"/>
        <v>1.2000000000000028</v>
      </c>
      <c r="Q6" s="2">
        <f t="shared" si="5"/>
        <v>0.10000000000000853</v>
      </c>
      <c r="R6" s="2">
        <f t="shared" si="6"/>
        <v>1.3000000000000114</v>
      </c>
      <c r="S6" s="34">
        <f t="shared" si="7"/>
        <v>7.6923076923082814</v>
      </c>
      <c r="U6" s="2" t="s">
        <v>27</v>
      </c>
      <c r="V6" s="2">
        <v>83.8</v>
      </c>
      <c r="W6" s="2">
        <v>83.4</v>
      </c>
      <c r="X6" s="2">
        <v>84.8</v>
      </c>
      <c r="Y6" s="2">
        <v>56.4</v>
      </c>
      <c r="Z6" s="2">
        <f t="shared" ref="Z6:Z10" si="15">V6-W6</f>
        <v>0.39999999999999147</v>
      </c>
      <c r="AA6" s="2">
        <f t="shared" si="8"/>
        <v>28.4</v>
      </c>
      <c r="AB6" s="2">
        <f t="shared" si="9"/>
        <v>28.79999999999999</v>
      </c>
      <c r="AC6" s="34">
        <f t="shared" si="10"/>
        <v>98.611111111111143</v>
      </c>
      <c r="AE6" s="2" t="s">
        <v>32</v>
      </c>
      <c r="AF6" s="2">
        <v>83.8</v>
      </c>
      <c r="AG6" s="2">
        <v>78.099999999999994</v>
      </c>
      <c r="AH6" s="2">
        <v>83.8</v>
      </c>
      <c r="AI6" s="2">
        <v>63.1</v>
      </c>
      <c r="AJ6" s="2">
        <f t="shared" si="11"/>
        <v>5.7000000000000028</v>
      </c>
      <c r="AK6" s="2">
        <f t="shared" si="12"/>
        <v>20.699999999999996</v>
      </c>
      <c r="AL6" s="2">
        <f t="shared" si="13"/>
        <v>26.4</v>
      </c>
      <c r="AM6" s="34">
        <f t="shared" si="14"/>
        <v>78.409090909090892</v>
      </c>
    </row>
    <row r="7" spans="1:40" x14ac:dyDescent="0.2">
      <c r="A7" s="2" t="s">
        <v>4</v>
      </c>
      <c r="B7" s="2">
        <v>82.3</v>
      </c>
      <c r="C7" s="2">
        <v>73.900000000000006</v>
      </c>
      <c r="D7" s="2">
        <v>83.8</v>
      </c>
      <c r="E7" s="2">
        <v>83.7</v>
      </c>
      <c r="F7" s="2">
        <f t="shared" si="0"/>
        <v>8.3999999999999915</v>
      </c>
      <c r="G7" s="2">
        <f t="shared" si="1"/>
        <v>9.9999999999994316E-2</v>
      </c>
      <c r="H7" s="29">
        <f t="shared" si="2"/>
        <v>8.4999999999999858</v>
      </c>
      <c r="I7" s="34">
        <f t="shared" si="3"/>
        <v>1.1764705882352293</v>
      </c>
      <c r="K7" s="2" t="s">
        <v>19</v>
      </c>
      <c r="L7" s="2">
        <v>82.9</v>
      </c>
      <c r="M7" s="2">
        <v>78.900000000000006</v>
      </c>
      <c r="N7" s="2">
        <v>85</v>
      </c>
      <c r="O7" s="2">
        <v>80.599999999999994</v>
      </c>
      <c r="P7" s="2">
        <f t="shared" si="4"/>
        <v>4</v>
      </c>
      <c r="Q7" s="2">
        <f t="shared" si="5"/>
        <v>4.4000000000000057</v>
      </c>
      <c r="R7" s="2">
        <f t="shared" si="6"/>
        <v>8.4000000000000057</v>
      </c>
      <c r="S7" s="34">
        <f t="shared" si="7"/>
        <v>52.380952380952415</v>
      </c>
      <c r="U7" s="2" t="s">
        <v>28</v>
      </c>
      <c r="V7" s="2">
        <v>84.1</v>
      </c>
      <c r="W7" s="2">
        <v>77.8</v>
      </c>
      <c r="X7" s="2">
        <v>84.4</v>
      </c>
      <c r="Y7" s="2">
        <v>73.2</v>
      </c>
      <c r="Z7" s="2">
        <f t="shared" si="15"/>
        <v>6.2999999999999972</v>
      </c>
      <c r="AA7" s="2">
        <f t="shared" si="8"/>
        <v>11.200000000000003</v>
      </c>
      <c r="AB7" s="2">
        <f t="shared" si="9"/>
        <v>17.5</v>
      </c>
      <c r="AC7" s="34">
        <f t="shared" si="10"/>
        <v>64.000000000000014</v>
      </c>
      <c r="AE7" s="2" t="s">
        <v>33</v>
      </c>
      <c r="AF7" s="2">
        <v>84.9</v>
      </c>
      <c r="AG7" s="2">
        <v>70.7</v>
      </c>
      <c r="AH7" s="2">
        <v>83.2</v>
      </c>
      <c r="AI7" s="2">
        <v>75.2</v>
      </c>
      <c r="AJ7" s="2">
        <f t="shared" si="11"/>
        <v>14.200000000000003</v>
      </c>
      <c r="AK7" s="2">
        <f t="shared" si="12"/>
        <v>8</v>
      </c>
      <c r="AL7" s="2">
        <f t="shared" si="13"/>
        <v>22.200000000000003</v>
      </c>
      <c r="AM7" s="34">
        <f t="shared" si="14"/>
        <v>36.03603603603603</v>
      </c>
    </row>
    <row r="8" spans="1:40" x14ac:dyDescent="0.2">
      <c r="A8" s="2" t="s">
        <v>5</v>
      </c>
      <c r="B8" s="2">
        <v>86.4</v>
      </c>
      <c r="C8" s="2">
        <v>77.2</v>
      </c>
      <c r="D8" s="2">
        <v>84.4</v>
      </c>
      <c r="E8" s="2">
        <v>77.8</v>
      </c>
      <c r="F8" s="2">
        <f t="shared" si="0"/>
        <v>9.2000000000000028</v>
      </c>
      <c r="G8" s="2">
        <f t="shared" si="1"/>
        <v>6.6000000000000085</v>
      </c>
      <c r="H8" s="29">
        <f t="shared" si="2"/>
        <v>15.800000000000011</v>
      </c>
      <c r="I8" s="34">
        <f t="shared" si="3"/>
        <v>41.772151898734208</v>
      </c>
      <c r="K8" s="2" t="s">
        <v>20</v>
      </c>
      <c r="L8" s="2">
        <v>83.1</v>
      </c>
      <c r="M8" s="2">
        <v>67.400000000000006</v>
      </c>
      <c r="N8" s="2">
        <v>82.8</v>
      </c>
      <c r="O8" s="2">
        <v>82.3</v>
      </c>
      <c r="P8" s="2">
        <f t="shared" si="4"/>
        <v>15.699999999999989</v>
      </c>
      <c r="Q8" s="2">
        <f t="shared" si="5"/>
        <v>0.5</v>
      </c>
      <c r="R8" s="2">
        <f t="shared" si="6"/>
        <v>16.199999999999989</v>
      </c>
      <c r="S8" s="34">
        <f t="shared" si="7"/>
        <v>3.0864197530864219</v>
      </c>
      <c r="U8" s="4" t="s">
        <v>37</v>
      </c>
      <c r="V8" s="4">
        <v>84</v>
      </c>
      <c r="W8" s="4">
        <v>72.5</v>
      </c>
      <c r="X8" s="4">
        <v>84.3</v>
      </c>
      <c r="Y8" s="4">
        <v>75.8</v>
      </c>
      <c r="Z8" s="4">
        <f t="shared" si="15"/>
        <v>11.5</v>
      </c>
      <c r="AA8" s="4">
        <f t="shared" si="8"/>
        <v>8.5</v>
      </c>
      <c r="AB8" s="4">
        <f t="shared" si="9"/>
        <v>20</v>
      </c>
      <c r="AC8" s="34">
        <f t="shared" si="10"/>
        <v>42.5</v>
      </c>
      <c r="AE8" s="2" t="s">
        <v>34</v>
      </c>
      <c r="AF8" s="2">
        <v>84.4</v>
      </c>
      <c r="AG8" s="2">
        <v>76.400000000000006</v>
      </c>
      <c r="AH8" s="2">
        <v>83</v>
      </c>
      <c r="AI8" s="2">
        <v>74.5</v>
      </c>
      <c r="AJ8" s="2">
        <f t="shared" si="11"/>
        <v>8</v>
      </c>
      <c r="AK8" s="2">
        <f t="shared" si="12"/>
        <v>8.5</v>
      </c>
      <c r="AL8" s="2">
        <f t="shared" si="13"/>
        <v>16.5</v>
      </c>
      <c r="AM8" s="34">
        <f t="shared" si="14"/>
        <v>51.515151515151516</v>
      </c>
    </row>
    <row r="9" spans="1:40" x14ac:dyDescent="0.2">
      <c r="A9" s="2" t="s">
        <v>6</v>
      </c>
      <c r="B9" s="2">
        <v>83.6</v>
      </c>
      <c r="C9" s="2">
        <v>81.599999999999994</v>
      </c>
      <c r="D9" s="2">
        <v>85.4</v>
      </c>
      <c r="E9" s="2">
        <v>81.3</v>
      </c>
      <c r="F9" s="2">
        <f t="shared" si="0"/>
        <v>2</v>
      </c>
      <c r="G9" s="2">
        <f t="shared" si="1"/>
        <v>4.1000000000000085</v>
      </c>
      <c r="H9" s="29">
        <f t="shared" si="2"/>
        <v>6.1000000000000085</v>
      </c>
      <c r="I9" s="34">
        <f t="shared" si="3"/>
        <v>67.213114754098413</v>
      </c>
      <c r="K9" s="2" t="s">
        <v>21</v>
      </c>
      <c r="L9" s="2">
        <v>81.900000000000006</v>
      </c>
      <c r="M9" s="2">
        <v>77.5</v>
      </c>
      <c r="N9" s="2">
        <v>83.7</v>
      </c>
      <c r="O9" s="2">
        <v>69.400000000000006</v>
      </c>
      <c r="P9" s="2">
        <f t="shared" si="4"/>
        <v>4.4000000000000057</v>
      </c>
      <c r="Q9" s="2">
        <f t="shared" si="5"/>
        <v>14.299999999999997</v>
      </c>
      <c r="R9" s="2">
        <f t="shared" si="6"/>
        <v>18.700000000000003</v>
      </c>
      <c r="S9" s="34">
        <f t="shared" si="7"/>
        <v>76.470588235294088</v>
      </c>
      <c r="U9" s="2" t="s">
        <v>38</v>
      </c>
      <c r="V9" s="2">
        <v>82.5</v>
      </c>
      <c r="W9" s="2">
        <v>70</v>
      </c>
      <c r="X9" s="2">
        <v>84.5</v>
      </c>
      <c r="Y9" s="2">
        <v>66</v>
      </c>
      <c r="Z9" s="2">
        <f t="shared" si="15"/>
        <v>12.5</v>
      </c>
      <c r="AA9" s="2">
        <f t="shared" si="8"/>
        <v>18.5</v>
      </c>
      <c r="AB9" s="2">
        <f t="shared" si="9"/>
        <v>31</v>
      </c>
      <c r="AC9" s="34">
        <f t="shared" si="10"/>
        <v>59.677419354838712</v>
      </c>
      <c r="AE9" s="2" t="s">
        <v>35</v>
      </c>
      <c r="AF9" s="2">
        <v>83</v>
      </c>
      <c r="AG9" s="2">
        <v>71.7</v>
      </c>
      <c r="AH9" s="2">
        <v>83.3</v>
      </c>
      <c r="AI9" s="2">
        <v>78</v>
      </c>
      <c r="AJ9" s="2">
        <f t="shared" si="11"/>
        <v>11.299999999999997</v>
      </c>
      <c r="AK9" s="2">
        <f t="shared" si="12"/>
        <v>5.2999999999999972</v>
      </c>
      <c r="AL9" s="2">
        <f t="shared" si="13"/>
        <v>16.599999999999994</v>
      </c>
      <c r="AM9" s="34">
        <f t="shared" si="14"/>
        <v>31.927710843373486</v>
      </c>
    </row>
    <row r="10" spans="1:40" x14ac:dyDescent="0.2">
      <c r="A10" s="2" t="s">
        <v>7</v>
      </c>
      <c r="B10" s="2">
        <v>84.8</v>
      </c>
      <c r="C10" s="2">
        <v>77.3</v>
      </c>
      <c r="D10" s="2">
        <v>84.2</v>
      </c>
      <c r="E10" s="2">
        <v>83.5</v>
      </c>
      <c r="F10" s="2">
        <f t="shared" si="0"/>
        <v>7.5</v>
      </c>
      <c r="G10" s="2">
        <f t="shared" si="1"/>
        <v>0.70000000000000284</v>
      </c>
      <c r="H10" s="29">
        <f t="shared" si="2"/>
        <v>8.2000000000000028</v>
      </c>
      <c r="I10" s="34">
        <f t="shared" si="3"/>
        <v>8.536585365853691</v>
      </c>
      <c r="K10" s="2" t="s">
        <v>22</v>
      </c>
      <c r="L10" s="2">
        <v>83.6</v>
      </c>
      <c r="M10" s="2">
        <v>80.599999999999994</v>
      </c>
      <c r="N10" s="2">
        <v>83.5</v>
      </c>
      <c r="O10" s="2">
        <v>83.4</v>
      </c>
      <c r="P10" s="2">
        <f t="shared" si="4"/>
        <v>3</v>
      </c>
      <c r="Q10" s="2">
        <f t="shared" si="5"/>
        <v>9.9999999999994316E-2</v>
      </c>
      <c r="R10" s="2">
        <f t="shared" si="6"/>
        <v>3.0999999999999943</v>
      </c>
      <c r="S10" s="34">
        <f t="shared" si="7"/>
        <v>3.2258064516127254</v>
      </c>
      <c r="U10" s="2" t="s">
        <v>39</v>
      </c>
      <c r="V10" s="2">
        <v>81.8</v>
      </c>
      <c r="W10" s="2">
        <v>64.7</v>
      </c>
      <c r="X10" s="2">
        <v>83.7</v>
      </c>
      <c r="Y10" s="2">
        <v>83.2</v>
      </c>
      <c r="Z10" s="2">
        <f t="shared" si="15"/>
        <v>17.099999999999994</v>
      </c>
      <c r="AA10" s="2">
        <f t="shared" si="8"/>
        <v>0.5</v>
      </c>
      <c r="AB10" s="2">
        <f t="shared" si="9"/>
        <v>17.599999999999994</v>
      </c>
      <c r="AC10" s="34">
        <f t="shared" si="10"/>
        <v>2.8409090909090917</v>
      </c>
      <c r="AD10" s="1">
        <f>AVERAGE(AC3:AC10)</f>
        <v>52.772659096932628</v>
      </c>
      <c r="AE10" s="2" t="s">
        <v>36</v>
      </c>
      <c r="AF10" s="2">
        <v>83.9</v>
      </c>
      <c r="AG10" s="2">
        <v>82.9</v>
      </c>
      <c r="AH10" s="2">
        <v>85.2</v>
      </c>
      <c r="AI10" s="2">
        <v>46.1</v>
      </c>
      <c r="AJ10" s="2">
        <f t="shared" si="11"/>
        <v>1</v>
      </c>
      <c r="AK10" s="2">
        <f t="shared" si="12"/>
        <v>39.1</v>
      </c>
      <c r="AL10" s="2">
        <f t="shared" si="13"/>
        <v>40.1</v>
      </c>
      <c r="AM10" s="34">
        <f t="shared" si="14"/>
        <v>97.506234413965089</v>
      </c>
      <c r="AN10" s="1">
        <f>AVERAGE(AM3:AM10)</f>
        <v>55.010644558111977</v>
      </c>
    </row>
    <row r="11" spans="1:40" x14ac:dyDescent="0.2">
      <c r="A11" s="2" t="s">
        <v>8</v>
      </c>
      <c r="B11" s="2">
        <v>83.5</v>
      </c>
      <c r="C11" s="2">
        <v>79</v>
      </c>
      <c r="D11" s="2">
        <v>85.4</v>
      </c>
      <c r="E11" s="2">
        <v>79.5</v>
      </c>
      <c r="F11" s="2">
        <f t="shared" si="0"/>
        <v>4.5</v>
      </c>
      <c r="G11" s="2">
        <f t="shared" si="1"/>
        <v>5.9000000000000057</v>
      </c>
      <c r="H11" s="29">
        <f t="shared" si="2"/>
        <v>10.400000000000006</v>
      </c>
      <c r="I11" s="34">
        <f t="shared" si="3"/>
        <v>56.730769230769255</v>
      </c>
      <c r="K11" s="2" t="s">
        <v>23</v>
      </c>
      <c r="L11" s="2">
        <v>82.8</v>
      </c>
      <c r="M11" s="2">
        <v>82.1</v>
      </c>
      <c r="N11" s="2">
        <v>83.3</v>
      </c>
      <c r="O11" s="2">
        <v>79</v>
      </c>
      <c r="P11" s="2">
        <f t="shared" si="4"/>
        <v>0.70000000000000284</v>
      </c>
      <c r="Q11" s="2">
        <f t="shared" si="5"/>
        <v>4.2999999999999972</v>
      </c>
      <c r="R11" s="2">
        <f t="shared" si="6"/>
        <v>5</v>
      </c>
      <c r="S11" s="33">
        <f t="shared" si="7"/>
        <v>85.999999999999943</v>
      </c>
      <c r="U11" s="8" t="s">
        <v>62</v>
      </c>
      <c r="V11" s="8"/>
      <c r="W11" s="8"/>
      <c r="X11" s="8"/>
      <c r="Y11" s="8"/>
      <c r="Z11" s="8"/>
      <c r="AA11" s="8"/>
      <c r="AB11" s="8"/>
      <c r="AC11" s="11"/>
      <c r="AE11" s="8" t="s">
        <v>74</v>
      </c>
      <c r="AF11" s="8">
        <v>80.900000000000006</v>
      </c>
      <c r="AG11" s="8">
        <v>73</v>
      </c>
      <c r="AH11" s="8">
        <v>84.5</v>
      </c>
      <c r="AI11" s="8">
        <v>40.1</v>
      </c>
      <c r="AJ11" s="8">
        <f t="shared" si="11"/>
        <v>7.9000000000000057</v>
      </c>
      <c r="AK11" s="8">
        <f t="shared" si="12"/>
        <v>44.4</v>
      </c>
      <c r="AL11" s="8">
        <f t="shared" si="13"/>
        <v>52.300000000000004</v>
      </c>
      <c r="AM11" s="33">
        <f t="shared" si="14"/>
        <v>84.894837476099411</v>
      </c>
    </row>
    <row r="12" spans="1:40" x14ac:dyDescent="0.2">
      <c r="A12" s="2" t="s">
        <v>9</v>
      </c>
      <c r="B12" s="2">
        <v>85</v>
      </c>
      <c r="C12" s="2">
        <v>81.099999999999994</v>
      </c>
      <c r="D12" s="2">
        <v>85.6</v>
      </c>
      <c r="E12" s="2">
        <v>79.599999999999994</v>
      </c>
      <c r="F12" s="2">
        <f t="shared" si="0"/>
        <v>3.9000000000000057</v>
      </c>
      <c r="G12" s="2">
        <f t="shared" si="1"/>
        <v>6</v>
      </c>
      <c r="H12" s="29">
        <f t="shared" si="2"/>
        <v>9.9000000000000057</v>
      </c>
      <c r="I12" s="34">
        <f t="shared" si="3"/>
        <v>60.606060606060574</v>
      </c>
      <c r="K12" s="2" t="s">
        <v>55</v>
      </c>
      <c r="L12" s="2">
        <v>84.3</v>
      </c>
      <c r="M12" s="2">
        <v>62</v>
      </c>
      <c r="N12" s="2">
        <v>83.2</v>
      </c>
      <c r="O12" s="2">
        <v>79.5</v>
      </c>
      <c r="P12" s="2">
        <f t="shared" si="4"/>
        <v>22.299999999999997</v>
      </c>
      <c r="Q12" s="2">
        <f t="shared" si="5"/>
        <v>3.7000000000000028</v>
      </c>
      <c r="R12" s="2">
        <f t="shared" si="6"/>
        <v>26</v>
      </c>
      <c r="S12" s="34">
        <f t="shared" si="7"/>
        <v>14.230769230769241</v>
      </c>
      <c r="U12" s="8" t="s">
        <v>63</v>
      </c>
      <c r="V12" s="8"/>
      <c r="W12" s="8"/>
      <c r="X12" s="8"/>
      <c r="Y12" s="8"/>
      <c r="Z12" s="8"/>
      <c r="AA12" s="8"/>
      <c r="AB12" s="8"/>
      <c r="AC12" s="11"/>
      <c r="AE12" s="8" t="s">
        <v>75</v>
      </c>
      <c r="AF12" s="8">
        <v>84.7</v>
      </c>
      <c r="AG12" s="8">
        <v>78.2</v>
      </c>
      <c r="AH12" s="8">
        <v>83.1</v>
      </c>
      <c r="AI12" s="8">
        <v>38.1</v>
      </c>
      <c r="AJ12" s="8">
        <f t="shared" si="11"/>
        <v>6.5</v>
      </c>
      <c r="AK12" s="8">
        <f t="shared" si="12"/>
        <v>44.999999999999993</v>
      </c>
      <c r="AL12" s="8">
        <f t="shared" si="13"/>
        <v>51.499999999999993</v>
      </c>
      <c r="AM12" s="33">
        <f t="shared" si="14"/>
        <v>87.378640776699029</v>
      </c>
    </row>
    <row r="13" spans="1:40" x14ac:dyDescent="0.2">
      <c r="A13" s="2" t="s">
        <v>10</v>
      </c>
      <c r="B13" s="2">
        <v>85.2</v>
      </c>
      <c r="C13" s="2">
        <v>79.8</v>
      </c>
      <c r="D13" s="2">
        <v>84.3</v>
      </c>
      <c r="E13" s="2">
        <v>64.900000000000006</v>
      </c>
      <c r="F13" s="2">
        <f t="shared" si="0"/>
        <v>5.4000000000000057</v>
      </c>
      <c r="G13" s="2">
        <f t="shared" si="1"/>
        <v>19.399999999999991</v>
      </c>
      <c r="H13" s="29">
        <f t="shared" si="2"/>
        <v>24.799999999999997</v>
      </c>
      <c r="I13" s="34">
        <f t="shared" si="3"/>
        <v>78.225806451612883</v>
      </c>
      <c r="K13" s="2" t="s">
        <v>56</v>
      </c>
      <c r="L13" s="2">
        <v>84.3</v>
      </c>
      <c r="M13" s="2">
        <v>74.400000000000006</v>
      </c>
      <c r="N13" s="2">
        <v>83.7</v>
      </c>
      <c r="O13" s="2">
        <v>71.7</v>
      </c>
      <c r="P13" s="2">
        <f t="shared" si="4"/>
        <v>9.8999999999999915</v>
      </c>
      <c r="Q13" s="2">
        <f t="shared" si="5"/>
        <v>12</v>
      </c>
      <c r="R13" s="2">
        <f t="shared" si="6"/>
        <v>21.899999999999991</v>
      </c>
      <c r="S13" s="34">
        <f t="shared" si="7"/>
        <v>54.794520547945226</v>
      </c>
      <c r="U13" s="8" t="s">
        <v>64</v>
      </c>
      <c r="V13" s="8"/>
      <c r="W13" s="8"/>
      <c r="X13" s="8"/>
      <c r="Y13" s="8"/>
      <c r="Z13" s="8"/>
      <c r="AA13" s="8"/>
      <c r="AB13" s="8"/>
      <c r="AC13" s="11"/>
      <c r="AE13" s="8" t="s">
        <v>76</v>
      </c>
      <c r="AF13" s="8">
        <v>81.099999999999994</v>
      </c>
      <c r="AG13" s="8">
        <v>76.3</v>
      </c>
      <c r="AH13" s="8">
        <v>81.400000000000006</v>
      </c>
      <c r="AI13" s="8">
        <v>62.5</v>
      </c>
      <c r="AJ13" s="8">
        <f t="shared" si="11"/>
        <v>4.7999999999999972</v>
      </c>
      <c r="AK13" s="8">
        <f t="shared" si="12"/>
        <v>18.900000000000006</v>
      </c>
      <c r="AL13" s="8">
        <f t="shared" si="13"/>
        <v>23.700000000000003</v>
      </c>
      <c r="AM13" s="33">
        <f t="shared" si="14"/>
        <v>79.746835443037995</v>
      </c>
    </row>
    <row r="14" spans="1:40" x14ac:dyDescent="0.2">
      <c r="A14" s="4" t="s">
        <v>11</v>
      </c>
      <c r="B14" s="4">
        <v>85.4</v>
      </c>
      <c r="C14" s="4">
        <v>85.3</v>
      </c>
      <c r="D14" s="4">
        <v>85</v>
      </c>
      <c r="E14" s="4">
        <v>83</v>
      </c>
      <c r="F14" s="4">
        <f t="shared" si="0"/>
        <v>0.10000000000000853</v>
      </c>
      <c r="G14" s="4">
        <f t="shared" si="1"/>
        <v>2</v>
      </c>
      <c r="H14" s="29">
        <f t="shared" si="2"/>
        <v>2.1000000000000085</v>
      </c>
      <c r="I14" s="34">
        <f t="shared" si="3"/>
        <v>95.238095238094857</v>
      </c>
      <c r="K14" s="2" t="s">
        <v>57</v>
      </c>
      <c r="L14" s="2">
        <v>83.2</v>
      </c>
      <c r="M14" s="2">
        <v>81.3</v>
      </c>
      <c r="N14" s="2">
        <v>83.2</v>
      </c>
      <c r="O14" s="2">
        <v>73.099999999999994</v>
      </c>
      <c r="P14" s="2">
        <f t="shared" si="4"/>
        <v>1.9000000000000057</v>
      </c>
      <c r="Q14" s="2">
        <f t="shared" si="5"/>
        <v>10.100000000000009</v>
      </c>
      <c r="R14" s="2">
        <f t="shared" si="6"/>
        <v>12.000000000000014</v>
      </c>
      <c r="S14" s="34">
        <f t="shared" si="7"/>
        <v>84.166666666666629</v>
      </c>
      <c r="U14" s="8" t="s">
        <v>65</v>
      </c>
      <c r="V14" s="8"/>
      <c r="W14" s="8"/>
      <c r="X14" s="8"/>
      <c r="Y14" s="8"/>
      <c r="Z14" s="8"/>
      <c r="AA14" s="8"/>
      <c r="AB14" s="8"/>
      <c r="AC14" s="11"/>
      <c r="AE14" s="8" t="s">
        <v>77</v>
      </c>
      <c r="AF14" s="8">
        <v>82.3</v>
      </c>
      <c r="AG14" s="8">
        <v>77.400000000000006</v>
      </c>
      <c r="AH14" s="8">
        <v>82.8</v>
      </c>
      <c r="AI14" s="8">
        <v>65.8</v>
      </c>
      <c r="AJ14" s="8">
        <f t="shared" si="11"/>
        <v>4.8999999999999915</v>
      </c>
      <c r="AK14" s="8">
        <f t="shared" si="12"/>
        <v>17</v>
      </c>
      <c r="AL14" s="8">
        <f t="shared" si="13"/>
        <v>21.899999999999991</v>
      </c>
      <c r="AM14" s="33">
        <f t="shared" si="14"/>
        <v>77.625570776255742</v>
      </c>
    </row>
    <row r="15" spans="1:40" x14ac:dyDescent="0.2">
      <c r="A15" s="2" t="s">
        <v>50</v>
      </c>
      <c r="B15" s="2">
        <v>84.7</v>
      </c>
      <c r="C15" s="2">
        <v>82.9</v>
      </c>
      <c r="D15" s="2">
        <v>84</v>
      </c>
      <c r="E15" s="2">
        <v>63.9</v>
      </c>
      <c r="F15" s="2">
        <f t="shared" si="0"/>
        <v>1.7999999999999972</v>
      </c>
      <c r="G15" s="2">
        <f t="shared" si="1"/>
        <v>20.100000000000001</v>
      </c>
      <c r="H15" s="29">
        <f t="shared" si="2"/>
        <v>21.9</v>
      </c>
      <c r="I15" s="34">
        <f t="shared" si="3"/>
        <v>91.78082191780824</v>
      </c>
      <c r="K15" s="2" t="s">
        <v>58</v>
      </c>
      <c r="L15" s="2">
        <v>82.6</v>
      </c>
      <c r="M15" s="2">
        <v>70.099999999999994</v>
      </c>
      <c r="N15" s="2">
        <v>83.2</v>
      </c>
      <c r="O15" s="2">
        <v>75.8</v>
      </c>
      <c r="P15" s="2">
        <f t="shared" si="4"/>
        <v>12.5</v>
      </c>
      <c r="Q15" s="2">
        <f t="shared" si="5"/>
        <v>7.4000000000000057</v>
      </c>
      <c r="R15" s="2">
        <f t="shared" si="6"/>
        <v>19.900000000000006</v>
      </c>
      <c r="S15" s="34">
        <f t="shared" si="7"/>
        <v>37.18592964824122</v>
      </c>
      <c r="U15" s="8" t="s">
        <v>66</v>
      </c>
      <c r="V15" s="8"/>
      <c r="W15" s="8"/>
      <c r="X15" s="8"/>
      <c r="Y15" s="8"/>
      <c r="Z15" s="8"/>
      <c r="AA15" s="8"/>
      <c r="AB15" s="8"/>
      <c r="AC15" s="11"/>
      <c r="AE15" s="8" t="s">
        <v>78</v>
      </c>
      <c r="AF15" s="8">
        <v>82.1</v>
      </c>
      <c r="AG15" s="8">
        <v>81.3</v>
      </c>
      <c r="AH15" s="8">
        <v>85.1</v>
      </c>
      <c r="AI15" s="8">
        <v>39.1</v>
      </c>
      <c r="AJ15" s="8">
        <f t="shared" si="11"/>
        <v>0.79999999999999716</v>
      </c>
      <c r="AK15" s="8">
        <f t="shared" si="12"/>
        <v>45.999999999999993</v>
      </c>
      <c r="AL15" s="8">
        <f t="shared" si="13"/>
        <v>46.79999999999999</v>
      </c>
      <c r="AM15" s="33">
        <f t="shared" si="14"/>
        <v>98.290598290598297</v>
      </c>
    </row>
    <row r="16" spans="1:40" x14ac:dyDescent="0.2">
      <c r="A16" s="2" t="s">
        <v>51</v>
      </c>
      <c r="B16" s="2">
        <v>84.3</v>
      </c>
      <c r="C16" s="2">
        <v>78.8</v>
      </c>
      <c r="D16" s="2">
        <v>84.4</v>
      </c>
      <c r="E16" s="2">
        <v>72.900000000000006</v>
      </c>
      <c r="F16" s="2">
        <f t="shared" si="0"/>
        <v>5.5</v>
      </c>
      <c r="G16" s="2">
        <f t="shared" si="1"/>
        <v>11.5</v>
      </c>
      <c r="H16" s="29">
        <f t="shared" si="2"/>
        <v>17</v>
      </c>
      <c r="I16" s="34">
        <f t="shared" si="3"/>
        <v>67.647058823529406</v>
      </c>
      <c r="K16" s="2" t="s">
        <v>59</v>
      </c>
      <c r="L16" s="2">
        <v>82.9</v>
      </c>
      <c r="M16" s="2">
        <v>71.5</v>
      </c>
      <c r="N16" s="2">
        <v>84.9</v>
      </c>
      <c r="O16" s="2">
        <v>64.2</v>
      </c>
      <c r="P16" s="2">
        <f t="shared" si="4"/>
        <v>11.400000000000006</v>
      </c>
      <c r="Q16" s="2">
        <f t="shared" si="5"/>
        <v>20.700000000000003</v>
      </c>
      <c r="R16" s="2">
        <f t="shared" si="6"/>
        <v>32.100000000000009</v>
      </c>
      <c r="S16" s="34">
        <f t="shared" si="7"/>
        <v>64.485981308411212</v>
      </c>
      <c r="U16" s="8" t="s">
        <v>67</v>
      </c>
      <c r="V16" s="8"/>
      <c r="W16" s="8"/>
      <c r="X16" s="8"/>
      <c r="Y16" s="8"/>
      <c r="Z16" s="8"/>
      <c r="AA16" s="8"/>
      <c r="AB16" s="8"/>
      <c r="AC16" s="11"/>
      <c r="AE16" s="8" t="s">
        <v>79</v>
      </c>
      <c r="AF16" s="8">
        <v>83</v>
      </c>
      <c r="AG16" s="8">
        <v>71.8</v>
      </c>
      <c r="AH16" s="8">
        <v>83.3</v>
      </c>
      <c r="AI16" s="8">
        <v>76.099999999999994</v>
      </c>
      <c r="AJ16" s="8">
        <f t="shared" si="11"/>
        <v>11.200000000000003</v>
      </c>
      <c r="AK16" s="8">
        <f t="shared" si="12"/>
        <v>7.2000000000000028</v>
      </c>
      <c r="AL16" s="8">
        <f t="shared" si="13"/>
        <v>18.400000000000006</v>
      </c>
      <c r="AM16" s="33">
        <f t="shared" si="14"/>
        <v>39.130434782608695</v>
      </c>
    </row>
    <row r="17" spans="1:39" x14ac:dyDescent="0.2">
      <c r="A17" s="2" t="s">
        <v>52</v>
      </c>
      <c r="B17" s="2">
        <v>84.1</v>
      </c>
      <c r="C17" s="2">
        <v>72.099999999999994</v>
      </c>
      <c r="D17" s="2">
        <v>83.9</v>
      </c>
      <c r="E17" s="2">
        <v>71.400000000000006</v>
      </c>
      <c r="F17" s="2">
        <f t="shared" si="0"/>
        <v>12</v>
      </c>
      <c r="G17" s="2">
        <f t="shared" si="1"/>
        <v>12.5</v>
      </c>
      <c r="H17" s="29">
        <f t="shared" si="2"/>
        <v>24.5</v>
      </c>
      <c r="I17" s="34">
        <f t="shared" si="3"/>
        <v>51.020408163265309</v>
      </c>
      <c r="K17" s="2" t="s">
        <v>85</v>
      </c>
      <c r="L17" s="2">
        <v>85.3</v>
      </c>
      <c r="M17" s="2">
        <v>79.5</v>
      </c>
      <c r="N17" s="2">
        <v>82.7</v>
      </c>
      <c r="O17" s="2">
        <v>57.7</v>
      </c>
      <c r="P17" s="2">
        <f t="shared" si="4"/>
        <v>5.7999999999999972</v>
      </c>
      <c r="Q17" s="2">
        <f t="shared" si="5"/>
        <v>25</v>
      </c>
      <c r="R17" s="2">
        <f t="shared" si="6"/>
        <v>30.799999999999997</v>
      </c>
      <c r="S17" s="34">
        <f t="shared" si="7"/>
        <v>81.168831168831176</v>
      </c>
      <c r="U17" s="8" t="s">
        <v>68</v>
      </c>
      <c r="V17" s="8"/>
      <c r="W17" s="8"/>
      <c r="X17" s="8"/>
      <c r="Y17" s="8"/>
      <c r="Z17" s="8"/>
      <c r="AA17" s="8"/>
      <c r="AB17" s="8"/>
      <c r="AC17" s="11"/>
      <c r="AE17" s="8" t="s">
        <v>80</v>
      </c>
      <c r="AF17" s="8">
        <v>83.8</v>
      </c>
      <c r="AG17" s="8">
        <v>77.599999999999994</v>
      </c>
      <c r="AH17" s="8">
        <v>84.9</v>
      </c>
      <c r="AI17" s="8">
        <v>70.599999999999994</v>
      </c>
      <c r="AJ17" s="8">
        <f t="shared" si="11"/>
        <v>6.2000000000000028</v>
      </c>
      <c r="AK17" s="8">
        <f t="shared" si="12"/>
        <v>14.300000000000011</v>
      </c>
      <c r="AL17" s="8">
        <f t="shared" si="13"/>
        <v>20.500000000000014</v>
      </c>
      <c r="AM17" s="33">
        <f t="shared" si="14"/>
        <v>69.756097560975618</v>
      </c>
    </row>
    <row r="18" spans="1:39" x14ac:dyDescent="0.2">
      <c r="A18" s="2" t="s">
        <v>53</v>
      </c>
      <c r="B18" s="2">
        <v>83.8</v>
      </c>
      <c r="C18" s="2">
        <v>75.5</v>
      </c>
      <c r="D18" s="2">
        <v>83.9</v>
      </c>
      <c r="E18" s="2">
        <v>78.400000000000006</v>
      </c>
      <c r="F18" s="2">
        <f t="shared" si="0"/>
        <v>8.2999999999999972</v>
      </c>
      <c r="G18" s="2">
        <f t="shared" si="1"/>
        <v>5.5</v>
      </c>
      <c r="H18" s="29">
        <f t="shared" si="2"/>
        <v>13.799999999999997</v>
      </c>
      <c r="I18" s="34">
        <f t="shared" si="3"/>
        <v>39.855072463768124</v>
      </c>
      <c r="K18" s="2" t="s">
        <v>86</v>
      </c>
      <c r="L18" s="2">
        <v>81.8</v>
      </c>
      <c r="M18" s="2">
        <v>76.599999999999994</v>
      </c>
      <c r="N18" s="2">
        <v>83.1</v>
      </c>
      <c r="O18" s="2">
        <v>63.6</v>
      </c>
      <c r="P18" s="2">
        <f t="shared" si="4"/>
        <v>5.2000000000000028</v>
      </c>
      <c r="Q18" s="2">
        <f t="shared" si="5"/>
        <v>19.499999999999993</v>
      </c>
      <c r="R18" s="2">
        <f t="shared" si="6"/>
        <v>24.699999999999996</v>
      </c>
      <c r="S18" s="34">
        <f t="shared" si="7"/>
        <v>78.947368421052616</v>
      </c>
      <c r="U18" s="8" t="s">
        <v>69</v>
      </c>
      <c r="V18" s="8"/>
      <c r="W18" s="8"/>
      <c r="X18" s="8"/>
      <c r="Y18" s="8"/>
      <c r="Z18" s="8"/>
      <c r="AA18" s="8"/>
      <c r="AB18" s="8"/>
      <c r="AC18" s="11"/>
      <c r="AE18" s="8" t="s">
        <v>81</v>
      </c>
      <c r="AF18" s="8">
        <v>84.9</v>
      </c>
      <c r="AG18" s="8">
        <v>75.5</v>
      </c>
      <c r="AH18" s="8">
        <v>83.9</v>
      </c>
      <c r="AI18" s="8">
        <v>40.1</v>
      </c>
      <c r="AJ18" s="8">
        <f t="shared" si="11"/>
        <v>9.4000000000000057</v>
      </c>
      <c r="AK18" s="8">
        <f t="shared" si="12"/>
        <v>43.800000000000004</v>
      </c>
      <c r="AL18" s="8">
        <f t="shared" si="13"/>
        <v>53.20000000000001</v>
      </c>
      <c r="AM18" s="33">
        <f t="shared" si="14"/>
        <v>82.330827067669162</v>
      </c>
    </row>
    <row r="19" spans="1:39" x14ac:dyDescent="0.2">
      <c r="A19" s="2" t="s">
        <v>54</v>
      </c>
      <c r="B19" s="2">
        <v>82.5</v>
      </c>
      <c r="C19" s="2">
        <v>68.8</v>
      </c>
      <c r="D19" s="2">
        <v>83.9</v>
      </c>
      <c r="E19" s="2">
        <v>72.099999999999994</v>
      </c>
      <c r="F19" s="2">
        <f t="shared" si="0"/>
        <v>13.700000000000003</v>
      </c>
      <c r="G19" s="2">
        <f t="shared" si="1"/>
        <v>11.800000000000011</v>
      </c>
      <c r="H19" s="29">
        <f t="shared" si="2"/>
        <v>25.500000000000014</v>
      </c>
      <c r="I19" s="34">
        <f t="shared" si="3"/>
        <v>46.274509803921589</v>
      </c>
      <c r="R19" s="18" t="s">
        <v>93</v>
      </c>
      <c r="S19" s="1">
        <f>AVERAGE(S3:S18)</f>
        <v>49.819434281007794</v>
      </c>
      <c r="U19" s="8" t="s">
        <v>70</v>
      </c>
      <c r="V19" s="8"/>
      <c r="W19" s="8"/>
      <c r="X19" s="8"/>
      <c r="Y19" s="8"/>
      <c r="Z19" s="8"/>
      <c r="AA19" s="8"/>
      <c r="AB19" s="8"/>
      <c r="AC19" s="11"/>
      <c r="AE19" s="8" t="s">
        <v>82</v>
      </c>
      <c r="AF19" s="8">
        <v>81.599999999999994</v>
      </c>
      <c r="AG19" s="8">
        <v>54.1</v>
      </c>
      <c r="AH19" s="8">
        <v>85.2</v>
      </c>
      <c r="AI19" s="8">
        <v>75.599999999999994</v>
      </c>
      <c r="AJ19" s="8">
        <f t="shared" si="11"/>
        <v>27.499999999999993</v>
      </c>
      <c r="AK19" s="8">
        <f t="shared" si="12"/>
        <v>9.6000000000000085</v>
      </c>
      <c r="AL19" s="8">
        <f t="shared" si="13"/>
        <v>37.1</v>
      </c>
      <c r="AM19" s="33">
        <f t="shared" si="14"/>
        <v>25.876010781671184</v>
      </c>
    </row>
    <row r="20" spans="1:39" x14ac:dyDescent="0.2">
      <c r="A20" s="2" t="s">
        <v>61</v>
      </c>
      <c r="B20" s="2">
        <v>83.7</v>
      </c>
      <c r="C20" s="2">
        <v>78.599999999999994</v>
      </c>
      <c r="D20" s="2">
        <v>83.8</v>
      </c>
      <c r="E20" s="2">
        <v>75.400000000000006</v>
      </c>
      <c r="F20" s="2">
        <f t="shared" si="0"/>
        <v>5.1000000000000085</v>
      </c>
      <c r="G20" s="2">
        <f t="shared" si="1"/>
        <v>8.3999999999999915</v>
      </c>
      <c r="H20" s="29">
        <f t="shared" si="2"/>
        <v>13.5</v>
      </c>
      <c r="I20" s="34">
        <f t="shared" si="3"/>
        <v>62.222222222222157</v>
      </c>
      <c r="R20" s="18" t="s">
        <v>94</v>
      </c>
      <c r="S20">
        <f>COUNT(S3:S18)</f>
        <v>16</v>
      </c>
      <c r="U20" s="8" t="s">
        <v>71</v>
      </c>
      <c r="V20" s="8"/>
      <c r="W20" s="8"/>
      <c r="X20" s="8"/>
      <c r="Y20" s="8"/>
      <c r="Z20" s="8"/>
      <c r="AA20" s="8"/>
      <c r="AB20" s="8"/>
      <c r="AC20" s="11"/>
      <c r="AF20" s="1"/>
      <c r="AG20" s="1"/>
      <c r="AH20" s="1"/>
      <c r="AI20" s="1"/>
      <c r="AJ20" s="1"/>
      <c r="AK20" s="1"/>
      <c r="AL20" s="18" t="s">
        <v>93</v>
      </c>
      <c r="AM20" s="1">
        <f t="shared" ref="AG20:AM20" si="16">AVERAGE(AM3:AM19)</f>
        <v>63.830294671794761</v>
      </c>
    </row>
    <row r="21" spans="1:39" x14ac:dyDescent="0.2">
      <c r="A21" s="2" t="s">
        <v>84</v>
      </c>
      <c r="B21" s="2">
        <v>78.5</v>
      </c>
      <c r="C21" s="2">
        <v>44.4</v>
      </c>
      <c r="D21" s="2">
        <v>82.4</v>
      </c>
      <c r="E21" s="2">
        <v>75.900000000000006</v>
      </c>
      <c r="F21" s="2">
        <f t="shared" si="0"/>
        <v>34.1</v>
      </c>
      <c r="G21" s="2">
        <f t="shared" si="1"/>
        <v>6.5</v>
      </c>
      <c r="H21" s="29">
        <f t="shared" si="2"/>
        <v>40.6</v>
      </c>
      <c r="I21" s="34">
        <f t="shared" si="3"/>
        <v>16.009852216748769</v>
      </c>
      <c r="R21" s="18" t="s">
        <v>95</v>
      </c>
      <c r="S21">
        <f>STDEV(S3:S18)</f>
        <v>33.963640359727798</v>
      </c>
      <c r="U21" s="8" t="s">
        <v>72</v>
      </c>
      <c r="V21" s="8"/>
      <c r="W21" s="8"/>
      <c r="X21" s="8"/>
      <c r="Y21" s="8"/>
      <c r="Z21" s="8"/>
      <c r="AA21" s="8"/>
      <c r="AB21" s="8"/>
      <c r="AC21" s="11"/>
      <c r="AL21" s="18" t="s">
        <v>94</v>
      </c>
      <c r="AM21">
        <f t="shared" ref="AG21:AM21" si="17">COUNT(AM3:AM19)</f>
        <v>17</v>
      </c>
    </row>
    <row r="22" spans="1:39" x14ac:dyDescent="0.2">
      <c r="H22" s="18" t="s">
        <v>93</v>
      </c>
      <c r="I22" s="1">
        <f>AVERAGE(I3:I21)</f>
        <v>58.41830575855635</v>
      </c>
      <c r="R22" s="17" t="s">
        <v>105</v>
      </c>
      <c r="S22">
        <f>S19/SQRT(S20)</f>
        <v>12.454858570251949</v>
      </c>
      <c r="U22" s="8" t="s">
        <v>73</v>
      </c>
      <c r="V22" s="8"/>
      <c r="W22" s="8"/>
      <c r="X22" s="8"/>
      <c r="Y22" s="8"/>
      <c r="Z22" s="8"/>
      <c r="AA22" s="8"/>
      <c r="AB22" s="8"/>
      <c r="AC22" s="11"/>
      <c r="AL22" s="18" t="s">
        <v>95</v>
      </c>
      <c r="AM22">
        <f t="shared" ref="AG22:AM22" si="18">STDEV(AM3:AM19)</f>
        <v>26.437177877305356</v>
      </c>
    </row>
    <row r="23" spans="1:39" x14ac:dyDescent="0.2">
      <c r="H23" s="18" t="s">
        <v>94</v>
      </c>
      <c r="I23">
        <f>COUNT(I3:I21)</f>
        <v>19</v>
      </c>
      <c r="U23" s="8" t="s">
        <v>83</v>
      </c>
      <c r="V23" s="8"/>
      <c r="W23" s="8"/>
      <c r="X23" s="8"/>
      <c r="Y23" s="8"/>
      <c r="Z23" s="8"/>
      <c r="AA23" s="8"/>
      <c r="AB23" s="8"/>
      <c r="AC23" s="11"/>
      <c r="AL23" s="17" t="s">
        <v>105</v>
      </c>
      <c r="AM23">
        <f t="shared" ref="AG23:AM23" si="19">AM20/SQRT(AM21)</f>
        <v>15.481120414477056</v>
      </c>
    </row>
    <row r="24" spans="1:39" x14ac:dyDescent="0.2">
      <c r="H24" s="18" t="s">
        <v>95</v>
      </c>
      <c r="I24">
        <f>STDEV(I4:I21)</f>
        <v>28.588027182463328</v>
      </c>
      <c r="AB24" s="18" t="s">
        <v>93</v>
      </c>
      <c r="AC24" s="1">
        <f>AVERAGE(AC3:AC10)</f>
        <v>52.772659096932628</v>
      </c>
      <c r="AF24" t="s">
        <v>87</v>
      </c>
    </row>
    <row r="25" spans="1:39" x14ac:dyDescent="0.2">
      <c r="H25" s="17" t="s">
        <v>105</v>
      </c>
      <c r="I25">
        <f>I22/SQRT(I23)</f>
        <v>13.402078487074068</v>
      </c>
      <c r="AB25" s="18" t="s">
        <v>94</v>
      </c>
      <c r="AC25">
        <f>COUNT(AC3:AC10)</f>
        <v>8</v>
      </c>
    </row>
    <row r="26" spans="1:39" x14ac:dyDescent="0.2">
      <c r="AB26" s="18" t="s">
        <v>95</v>
      </c>
      <c r="AC26">
        <f>STDEV(AC3:AC10)</f>
        <v>34.069451321801274</v>
      </c>
    </row>
    <row r="27" spans="1:39" x14ac:dyDescent="0.2">
      <c r="AB27" s="17" t="s">
        <v>105</v>
      </c>
      <c r="AC27">
        <f>AC24/SQRT(AC25)</f>
        <v>18.657952554343503</v>
      </c>
    </row>
  </sheetData>
  <mergeCells count="8">
    <mergeCell ref="AF1:AG1"/>
    <mergeCell ref="AH1:AI1"/>
    <mergeCell ref="X1:Y1"/>
    <mergeCell ref="B1:C1"/>
    <mergeCell ref="D1:E1"/>
    <mergeCell ref="L1:M1"/>
    <mergeCell ref="N1:O1"/>
    <mergeCell ref="V1:W1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22"/>
  <sheetViews>
    <sheetView workbookViewId="0">
      <selection activeCell="AQ22" sqref="AQ22"/>
    </sheetView>
  </sheetViews>
  <sheetFormatPr baseColWidth="10" defaultColWidth="8.83203125" defaultRowHeight="15" x14ac:dyDescent="0.2"/>
  <cols>
    <col min="1" max="1" width="12.33203125" customWidth="1"/>
    <col min="4" max="4" width="13" customWidth="1"/>
    <col min="12" max="12" width="11" customWidth="1"/>
    <col min="14" max="14" width="11.1640625" customWidth="1"/>
    <col min="15" max="15" width="16" customWidth="1"/>
  </cols>
  <sheetData>
    <row r="1" spans="1:43" x14ac:dyDescent="0.2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 t="s">
        <v>60</v>
      </c>
      <c r="L1" s="2"/>
      <c r="M1" s="2">
        <v>1</v>
      </c>
      <c r="N1" s="2">
        <v>2</v>
      </c>
      <c r="O1" s="2">
        <v>3</v>
      </c>
      <c r="P1" s="2">
        <v>4</v>
      </c>
      <c r="Q1" s="2">
        <v>5</v>
      </c>
      <c r="R1" s="2">
        <v>6</v>
      </c>
      <c r="S1" s="2">
        <v>7</v>
      </c>
      <c r="T1" s="2">
        <v>8</v>
      </c>
      <c r="U1" s="2" t="s">
        <v>60</v>
      </c>
      <c r="W1" s="2"/>
      <c r="X1" s="2">
        <v>1</v>
      </c>
      <c r="Y1" s="2">
        <v>2</v>
      </c>
      <c r="Z1" s="2">
        <v>3</v>
      </c>
      <c r="AA1" s="2">
        <v>4</v>
      </c>
      <c r="AB1" s="2">
        <v>5</v>
      </c>
      <c r="AC1" s="2">
        <v>6</v>
      </c>
      <c r="AD1" s="2">
        <v>7</v>
      </c>
      <c r="AE1" s="2">
        <v>8</v>
      </c>
      <c r="AF1" s="2" t="s">
        <v>60</v>
      </c>
      <c r="AH1" s="2"/>
      <c r="AI1" s="2">
        <v>1</v>
      </c>
      <c r="AJ1" s="2">
        <v>2</v>
      </c>
      <c r="AK1" s="2">
        <v>3</v>
      </c>
      <c r="AL1" s="2">
        <v>4</v>
      </c>
      <c r="AM1" s="2">
        <v>5</v>
      </c>
      <c r="AN1" s="2">
        <v>6</v>
      </c>
      <c r="AO1" s="2">
        <v>7</v>
      </c>
      <c r="AP1" s="2">
        <v>8</v>
      </c>
      <c r="AQ1" s="2" t="s">
        <v>60</v>
      </c>
    </row>
    <row r="2" spans="1:43" x14ac:dyDescent="0.2">
      <c r="A2" s="2" t="s">
        <v>0</v>
      </c>
      <c r="B2" s="2">
        <v>60</v>
      </c>
      <c r="C2" s="2">
        <v>60</v>
      </c>
      <c r="D2" s="2">
        <v>60</v>
      </c>
      <c r="E2" s="2">
        <v>60</v>
      </c>
      <c r="F2" s="2">
        <v>60</v>
      </c>
      <c r="G2" s="2">
        <v>60</v>
      </c>
      <c r="H2" s="2">
        <v>35</v>
      </c>
      <c r="I2" s="2">
        <v>57</v>
      </c>
      <c r="J2" s="2">
        <v>60</v>
      </c>
      <c r="L2" s="2" t="s">
        <v>15</v>
      </c>
      <c r="M2" s="2">
        <v>60</v>
      </c>
      <c r="N2" s="2">
        <v>60</v>
      </c>
      <c r="O2" s="2">
        <v>42</v>
      </c>
      <c r="P2" s="2">
        <v>60</v>
      </c>
      <c r="Q2" s="2">
        <v>60</v>
      </c>
      <c r="R2" s="2">
        <v>10</v>
      </c>
      <c r="S2" s="2">
        <v>58</v>
      </c>
      <c r="T2" s="2">
        <v>60</v>
      </c>
      <c r="U2" s="2">
        <v>60</v>
      </c>
      <c r="W2" s="2" t="s">
        <v>12</v>
      </c>
      <c r="X2" s="2">
        <v>60</v>
      </c>
      <c r="Y2" s="2">
        <v>60</v>
      </c>
      <c r="Z2" s="2">
        <v>60</v>
      </c>
      <c r="AA2" s="2">
        <v>60</v>
      </c>
      <c r="AB2" s="2">
        <v>60</v>
      </c>
      <c r="AC2" s="2">
        <v>60</v>
      </c>
      <c r="AD2" s="2">
        <v>60</v>
      </c>
      <c r="AE2" s="2">
        <v>60</v>
      </c>
      <c r="AF2" s="2">
        <v>60</v>
      </c>
      <c r="AH2" s="2" t="s">
        <v>29</v>
      </c>
      <c r="AI2" s="2">
        <v>60</v>
      </c>
      <c r="AJ2" s="2">
        <v>32</v>
      </c>
      <c r="AK2" s="2">
        <v>46</v>
      </c>
      <c r="AL2" s="2">
        <v>3</v>
      </c>
      <c r="AM2" s="2">
        <v>28</v>
      </c>
      <c r="AN2" s="2">
        <v>4</v>
      </c>
      <c r="AO2" s="2">
        <v>3</v>
      </c>
      <c r="AP2" s="2">
        <v>4</v>
      </c>
      <c r="AQ2" s="2">
        <v>45</v>
      </c>
    </row>
    <row r="3" spans="1:43" x14ac:dyDescent="0.2">
      <c r="A3" s="2" t="s">
        <v>1</v>
      </c>
      <c r="B3" s="2">
        <v>60</v>
      </c>
      <c r="C3" s="2">
        <v>60</v>
      </c>
      <c r="D3" s="2">
        <v>60</v>
      </c>
      <c r="E3" s="2">
        <v>14</v>
      </c>
      <c r="F3" s="2">
        <v>60</v>
      </c>
      <c r="G3" s="2">
        <v>32</v>
      </c>
      <c r="H3" s="2">
        <v>60</v>
      </c>
      <c r="I3" s="2">
        <v>38</v>
      </c>
      <c r="J3" s="2">
        <v>52</v>
      </c>
      <c r="L3" s="2" t="s">
        <v>16</v>
      </c>
      <c r="M3" s="2">
        <v>60</v>
      </c>
      <c r="N3" s="2">
        <v>60</v>
      </c>
      <c r="O3" s="2">
        <v>60</v>
      </c>
      <c r="P3" s="2">
        <v>60</v>
      </c>
      <c r="Q3" s="2">
        <v>60</v>
      </c>
      <c r="R3" s="2">
        <v>59</v>
      </c>
      <c r="S3" s="2">
        <v>60</v>
      </c>
      <c r="T3" s="2">
        <v>60</v>
      </c>
      <c r="U3" s="2">
        <v>60</v>
      </c>
      <c r="W3" s="4" t="s">
        <v>13</v>
      </c>
      <c r="X3" s="4">
        <v>60</v>
      </c>
      <c r="Y3" s="4">
        <v>60</v>
      </c>
      <c r="Z3" s="4">
        <v>60</v>
      </c>
      <c r="AA3" s="4">
        <v>60</v>
      </c>
      <c r="AB3" s="4">
        <v>60</v>
      </c>
      <c r="AC3" s="4">
        <v>25</v>
      </c>
      <c r="AD3" s="4">
        <v>60</v>
      </c>
      <c r="AE3" s="4">
        <v>60</v>
      </c>
      <c r="AF3" s="4">
        <v>10</v>
      </c>
      <c r="AH3" s="2" t="s">
        <v>30</v>
      </c>
      <c r="AI3" s="2">
        <v>60</v>
      </c>
      <c r="AJ3" s="2">
        <v>60</v>
      </c>
      <c r="AK3" s="2">
        <v>12</v>
      </c>
      <c r="AL3" s="2">
        <v>17</v>
      </c>
      <c r="AM3" s="2">
        <v>29</v>
      </c>
      <c r="AN3" s="2">
        <v>10</v>
      </c>
      <c r="AO3" s="2">
        <v>5</v>
      </c>
      <c r="AP3" s="2">
        <v>4</v>
      </c>
      <c r="AQ3" s="2">
        <v>4</v>
      </c>
    </row>
    <row r="4" spans="1:43" x14ac:dyDescent="0.2">
      <c r="A4" s="2" t="s">
        <v>2</v>
      </c>
      <c r="B4" s="2">
        <v>60</v>
      </c>
      <c r="C4" s="2">
        <v>60</v>
      </c>
      <c r="D4" s="2">
        <v>58</v>
      </c>
      <c r="E4" s="2">
        <v>60</v>
      </c>
      <c r="F4" s="2">
        <v>60</v>
      </c>
      <c r="G4" s="2">
        <v>60</v>
      </c>
      <c r="H4" s="2">
        <v>45</v>
      </c>
      <c r="I4" s="2">
        <v>30</v>
      </c>
      <c r="J4" s="2">
        <v>42</v>
      </c>
      <c r="L4" s="2" t="s">
        <v>17</v>
      </c>
      <c r="M4" s="2">
        <v>60</v>
      </c>
      <c r="N4" s="2">
        <v>60</v>
      </c>
      <c r="O4" s="2">
        <v>60</v>
      </c>
      <c r="P4" s="2">
        <v>45</v>
      </c>
      <c r="Q4" s="2">
        <v>5</v>
      </c>
      <c r="R4" s="2">
        <v>59</v>
      </c>
      <c r="S4" s="2">
        <v>54</v>
      </c>
      <c r="T4" s="2">
        <v>40</v>
      </c>
      <c r="U4" s="2">
        <v>53</v>
      </c>
      <c r="W4" s="2" t="s">
        <v>14</v>
      </c>
      <c r="X4" s="2">
        <v>60</v>
      </c>
      <c r="Y4" s="2">
        <v>20</v>
      </c>
      <c r="Z4" s="2">
        <v>35</v>
      </c>
      <c r="AA4" s="2">
        <v>11</v>
      </c>
      <c r="AB4" s="2">
        <v>25</v>
      </c>
      <c r="AC4" s="2">
        <v>5</v>
      </c>
      <c r="AD4" s="2">
        <v>3</v>
      </c>
      <c r="AE4" s="2">
        <v>8</v>
      </c>
      <c r="AF4" s="2">
        <v>7</v>
      </c>
      <c r="AH4" s="2" t="s">
        <v>31</v>
      </c>
      <c r="AI4" s="2">
        <v>60</v>
      </c>
      <c r="AJ4" s="2">
        <v>60</v>
      </c>
      <c r="AK4" s="2">
        <v>60</v>
      </c>
      <c r="AL4" s="2">
        <v>60</v>
      </c>
      <c r="AM4" s="2">
        <v>60</v>
      </c>
      <c r="AN4" s="2">
        <v>60</v>
      </c>
      <c r="AO4" s="2">
        <v>60</v>
      </c>
      <c r="AP4" s="2">
        <v>60</v>
      </c>
      <c r="AQ4" s="2">
        <v>60</v>
      </c>
    </row>
    <row r="5" spans="1:43" x14ac:dyDescent="0.2">
      <c r="A5" s="2" t="s">
        <v>3</v>
      </c>
      <c r="B5" s="2">
        <v>60</v>
      </c>
      <c r="C5" s="2">
        <v>60</v>
      </c>
      <c r="D5" s="2">
        <v>60</v>
      </c>
      <c r="E5" s="2">
        <v>60</v>
      </c>
      <c r="F5" s="2">
        <v>60</v>
      </c>
      <c r="G5" s="2">
        <v>60</v>
      </c>
      <c r="H5" s="2">
        <v>60</v>
      </c>
      <c r="I5" s="2">
        <v>60</v>
      </c>
      <c r="J5" s="2">
        <v>60</v>
      </c>
      <c r="L5" s="2" t="s">
        <v>18</v>
      </c>
      <c r="M5" s="2">
        <v>60</v>
      </c>
      <c r="N5" s="2">
        <v>60</v>
      </c>
      <c r="O5" s="2">
        <v>60</v>
      </c>
      <c r="P5" s="2">
        <v>60</v>
      </c>
      <c r="Q5" s="2">
        <v>60</v>
      </c>
      <c r="R5" s="2">
        <v>60</v>
      </c>
      <c r="S5" s="2">
        <v>9</v>
      </c>
      <c r="T5" s="2">
        <v>25</v>
      </c>
      <c r="U5" s="2">
        <v>60</v>
      </c>
      <c r="W5" s="2" t="s">
        <v>27</v>
      </c>
      <c r="X5" s="2">
        <v>60</v>
      </c>
      <c r="Y5" s="2">
        <v>60</v>
      </c>
      <c r="Z5" s="2">
        <v>11</v>
      </c>
      <c r="AA5" s="2">
        <v>14</v>
      </c>
      <c r="AB5" s="2">
        <v>29</v>
      </c>
      <c r="AC5" s="2">
        <v>10</v>
      </c>
      <c r="AD5" s="2">
        <v>5</v>
      </c>
      <c r="AE5" s="2">
        <v>4</v>
      </c>
      <c r="AF5" s="2">
        <v>8</v>
      </c>
      <c r="AH5" s="2" t="s">
        <v>32</v>
      </c>
      <c r="AI5" s="2">
        <v>60</v>
      </c>
      <c r="AJ5" s="2">
        <v>60</v>
      </c>
      <c r="AK5" s="2">
        <v>55</v>
      </c>
      <c r="AL5" s="2">
        <v>28</v>
      </c>
      <c r="AM5" s="2">
        <v>3</v>
      </c>
      <c r="AN5" s="2">
        <v>60</v>
      </c>
      <c r="AO5" s="2">
        <v>5</v>
      </c>
      <c r="AP5" s="2">
        <v>2</v>
      </c>
      <c r="AQ5" s="2">
        <v>60</v>
      </c>
    </row>
    <row r="6" spans="1:43" x14ac:dyDescent="0.2">
      <c r="A6" s="2" t="s">
        <v>4</v>
      </c>
      <c r="B6" s="2">
        <v>60</v>
      </c>
      <c r="C6" s="2">
        <v>60</v>
      </c>
      <c r="D6" s="2">
        <v>60</v>
      </c>
      <c r="E6" s="2">
        <v>60</v>
      </c>
      <c r="F6" s="2">
        <v>60</v>
      </c>
      <c r="G6" s="2">
        <v>60</v>
      </c>
      <c r="H6" s="2">
        <v>15</v>
      </c>
      <c r="I6" s="2">
        <v>35</v>
      </c>
      <c r="J6" s="2">
        <v>60</v>
      </c>
      <c r="L6" s="2" t="s">
        <v>19</v>
      </c>
      <c r="M6" s="2">
        <v>60</v>
      </c>
      <c r="N6" s="2">
        <v>60</v>
      </c>
      <c r="O6" s="2">
        <v>60</v>
      </c>
      <c r="P6" s="2">
        <v>31</v>
      </c>
      <c r="Q6" s="2">
        <v>37</v>
      </c>
      <c r="R6" s="2">
        <v>32</v>
      </c>
      <c r="S6" s="2">
        <v>28</v>
      </c>
      <c r="T6" s="2">
        <v>10</v>
      </c>
      <c r="U6" s="2">
        <v>60</v>
      </c>
      <c r="W6" s="2" t="s">
        <v>28</v>
      </c>
      <c r="X6" s="2">
        <v>60</v>
      </c>
      <c r="Y6" s="2">
        <v>60</v>
      </c>
      <c r="Z6" s="2">
        <v>60</v>
      </c>
      <c r="AA6" s="2">
        <v>41</v>
      </c>
      <c r="AB6" s="2">
        <v>6</v>
      </c>
      <c r="AC6" s="2">
        <v>5</v>
      </c>
      <c r="AD6" s="2">
        <v>17</v>
      </c>
      <c r="AE6" s="2">
        <v>11</v>
      </c>
      <c r="AF6" s="2">
        <v>11</v>
      </c>
      <c r="AH6" s="2" t="s">
        <v>33</v>
      </c>
      <c r="AI6" s="2">
        <v>60</v>
      </c>
      <c r="AJ6" s="2">
        <v>55</v>
      </c>
      <c r="AK6" s="2">
        <v>5</v>
      </c>
      <c r="AL6" s="2">
        <v>14</v>
      </c>
      <c r="AM6" s="2">
        <v>2</v>
      </c>
      <c r="AN6" s="2">
        <v>2</v>
      </c>
      <c r="AO6" s="2">
        <v>54</v>
      </c>
      <c r="AP6" s="2">
        <v>11</v>
      </c>
      <c r="AQ6" s="2">
        <v>26</v>
      </c>
    </row>
    <row r="7" spans="1:43" x14ac:dyDescent="0.2">
      <c r="A7" s="2" t="s">
        <v>5</v>
      </c>
      <c r="B7" s="2">
        <v>60</v>
      </c>
      <c r="C7" s="2">
        <v>60</v>
      </c>
      <c r="D7" s="2">
        <v>60</v>
      </c>
      <c r="E7" s="2">
        <v>7</v>
      </c>
      <c r="F7" s="2">
        <v>55</v>
      </c>
      <c r="G7" s="2">
        <v>21</v>
      </c>
      <c r="H7" s="2">
        <v>4</v>
      </c>
      <c r="I7" s="2">
        <v>10</v>
      </c>
      <c r="J7" s="2">
        <v>59</v>
      </c>
      <c r="L7" s="2" t="s">
        <v>20</v>
      </c>
      <c r="M7" s="2">
        <v>60</v>
      </c>
      <c r="N7" s="2">
        <v>60</v>
      </c>
      <c r="O7" s="2">
        <v>60</v>
      </c>
      <c r="P7" s="2">
        <v>5</v>
      </c>
      <c r="Q7" s="2">
        <v>60</v>
      </c>
      <c r="R7" s="2">
        <v>5</v>
      </c>
      <c r="S7" s="2">
        <v>60</v>
      </c>
      <c r="T7" s="2">
        <v>10</v>
      </c>
      <c r="U7" s="2">
        <v>60</v>
      </c>
      <c r="W7" s="4" t="s">
        <v>37</v>
      </c>
      <c r="X7" s="4">
        <v>60</v>
      </c>
      <c r="Y7" s="4">
        <v>60</v>
      </c>
      <c r="Z7" s="4">
        <v>7</v>
      </c>
      <c r="AA7" s="4">
        <v>60</v>
      </c>
      <c r="AB7" s="4">
        <v>60</v>
      </c>
      <c r="AC7" s="4">
        <v>10</v>
      </c>
      <c r="AD7" s="4">
        <v>5</v>
      </c>
      <c r="AE7" s="4">
        <v>50</v>
      </c>
      <c r="AF7" s="4">
        <v>52</v>
      </c>
      <c r="AH7" s="2" t="s">
        <v>34</v>
      </c>
      <c r="AI7" s="2">
        <v>60</v>
      </c>
      <c r="AJ7" s="2">
        <v>60</v>
      </c>
      <c r="AK7" s="2">
        <v>60</v>
      </c>
      <c r="AL7" s="2">
        <v>18</v>
      </c>
      <c r="AM7" s="2">
        <v>16</v>
      </c>
      <c r="AN7" s="2">
        <v>26</v>
      </c>
      <c r="AO7" s="2">
        <v>3</v>
      </c>
      <c r="AP7" s="2">
        <v>14</v>
      </c>
      <c r="AQ7" s="2">
        <v>22</v>
      </c>
    </row>
    <row r="8" spans="1:43" x14ac:dyDescent="0.2">
      <c r="A8" s="2" t="s">
        <v>6</v>
      </c>
      <c r="B8" s="2">
        <v>60</v>
      </c>
      <c r="C8" s="2">
        <v>60</v>
      </c>
      <c r="D8" s="2">
        <v>60</v>
      </c>
      <c r="E8" s="2">
        <v>7</v>
      </c>
      <c r="F8" s="2">
        <v>14</v>
      </c>
      <c r="G8" s="2">
        <v>8</v>
      </c>
      <c r="H8" s="2">
        <v>60</v>
      </c>
      <c r="I8" s="2">
        <v>5</v>
      </c>
      <c r="J8" s="2">
        <v>60</v>
      </c>
      <c r="L8" s="2" t="s">
        <v>21</v>
      </c>
      <c r="M8" s="2">
        <v>60</v>
      </c>
      <c r="N8" s="2">
        <v>60</v>
      </c>
      <c r="O8" s="2">
        <v>60</v>
      </c>
      <c r="P8" s="2">
        <v>9</v>
      </c>
      <c r="Q8" s="2">
        <v>5</v>
      </c>
      <c r="R8" s="2">
        <v>6</v>
      </c>
      <c r="S8" s="2">
        <v>60</v>
      </c>
      <c r="T8" s="2">
        <v>12</v>
      </c>
      <c r="U8" s="2">
        <v>35</v>
      </c>
      <c r="W8" s="2" t="s">
        <v>38</v>
      </c>
      <c r="X8" s="2">
        <v>60</v>
      </c>
      <c r="Y8" s="2">
        <v>23</v>
      </c>
      <c r="Z8" s="2">
        <v>36</v>
      </c>
      <c r="AA8" s="2">
        <v>17</v>
      </c>
      <c r="AB8" s="2">
        <v>60</v>
      </c>
      <c r="AC8" s="2">
        <v>60</v>
      </c>
      <c r="AD8" s="2">
        <v>60</v>
      </c>
      <c r="AE8" s="2">
        <v>60</v>
      </c>
      <c r="AF8" s="2">
        <v>45</v>
      </c>
      <c r="AH8" s="2" t="s">
        <v>35</v>
      </c>
      <c r="AI8" s="2">
        <v>60</v>
      </c>
      <c r="AJ8" s="2">
        <v>60</v>
      </c>
      <c r="AK8" s="2">
        <v>6</v>
      </c>
      <c r="AL8" s="2">
        <v>7</v>
      </c>
      <c r="AM8" s="2">
        <v>4</v>
      </c>
      <c r="AN8" s="2">
        <v>10</v>
      </c>
      <c r="AO8" s="2">
        <v>4</v>
      </c>
      <c r="AP8" s="2">
        <v>11</v>
      </c>
      <c r="AQ8" s="2">
        <v>44</v>
      </c>
    </row>
    <row r="9" spans="1:43" x14ac:dyDescent="0.2">
      <c r="A9" s="2" t="s">
        <v>7</v>
      </c>
      <c r="B9" s="2">
        <v>26</v>
      </c>
      <c r="C9" s="2">
        <v>60</v>
      </c>
      <c r="D9" s="2">
        <v>60</v>
      </c>
      <c r="E9" s="2">
        <v>60</v>
      </c>
      <c r="F9" s="2">
        <v>40</v>
      </c>
      <c r="G9" s="2">
        <v>59</v>
      </c>
      <c r="H9" s="2">
        <v>18</v>
      </c>
      <c r="I9" s="2">
        <v>30</v>
      </c>
      <c r="J9" s="2">
        <v>60</v>
      </c>
      <c r="L9" s="2" t="s">
        <v>22</v>
      </c>
      <c r="M9" s="2">
        <v>60</v>
      </c>
      <c r="N9" s="2">
        <v>60</v>
      </c>
      <c r="O9" s="2">
        <v>60</v>
      </c>
      <c r="P9" s="2">
        <v>60</v>
      </c>
      <c r="Q9" s="2">
        <v>60</v>
      </c>
      <c r="R9" s="2">
        <v>49</v>
      </c>
      <c r="S9" s="2">
        <v>33</v>
      </c>
      <c r="T9" s="2">
        <v>60</v>
      </c>
      <c r="U9" s="2">
        <v>60</v>
      </c>
      <c r="W9" s="2" t="s">
        <v>39</v>
      </c>
      <c r="X9" s="2">
        <v>60</v>
      </c>
      <c r="Y9" s="2">
        <v>60</v>
      </c>
      <c r="Z9" s="2">
        <v>60</v>
      </c>
      <c r="AA9" s="2">
        <v>60</v>
      </c>
      <c r="AB9" s="2">
        <v>60</v>
      </c>
      <c r="AC9" s="2">
        <v>60</v>
      </c>
      <c r="AD9" s="2">
        <v>60</v>
      </c>
      <c r="AE9" s="2">
        <v>60</v>
      </c>
      <c r="AF9" s="2">
        <v>50</v>
      </c>
      <c r="AH9" s="2" t="s">
        <v>36</v>
      </c>
      <c r="AI9" s="2">
        <v>60</v>
      </c>
      <c r="AJ9" s="2">
        <v>60</v>
      </c>
      <c r="AK9" s="2">
        <v>60</v>
      </c>
      <c r="AL9" s="2">
        <v>60</v>
      </c>
      <c r="AM9" s="2">
        <v>57</v>
      </c>
      <c r="AN9" s="2">
        <v>60</v>
      </c>
      <c r="AO9" s="2">
        <v>22</v>
      </c>
      <c r="AP9" s="2">
        <v>60</v>
      </c>
      <c r="AQ9" s="2">
        <v>33</v>
      </c>
    </row>
    <row r="10" spans="1:43" x14ac:dyDescent="0.2">
      <c r="A10" s="2" t="s">
        <v>8</v>
      </c>
      <c r="B10" s="2">
        <v>60</v>
      </c>
      <c r="C10" s="2">
        <v>60</v>
      </c>
      <c r="D10" s="2">
        <v>18</v>
      </c>
      <c r="E10" s="2">
        <v>16</v>
      </c>
      <c r="F10" s="2">
        <v>10</v>
      </c>
      <c r="G10" s="2">
        <v>10</v>
      </c>
      <c r="H10" s="2">
        <v>5</v>
      </c>
      <c r="I10" s="2">
        <v>6</v>
      </c>
      <c r="J10" s="2">
        <v>42</v>
      </c>
      <c r="L10" s="2" t="s">
        <v>23</v>
      </c>
      <c r="M10" s="2">
        <v>60</v>
      </c>
      <c r="N10" s="2">
        <v>60</v>
      </c>
      <c r="O10" s="2">
        <v>34</v>
      </c>
      <c r="P10" s="2">
        <v>9</v>
      </c>
      <c r="Q10" s="2">
        <v>60</v>
      </c>
      <c r="R10" s="2">
        <v>60</v>
      </c>
      <c r="S10" s="2">
        <v>60</v>
      </c>
      <c r="T10" s="2">
        <v>60</v>
      </c>
      <c r="U10" s="2">
        <v>26</v>
      </c>
      <c r="W10" s="8" t="s">
        <v>62</v>
      </c>
      <c r="X10" s="8">
        <v>60</v>
      </c>
      <c r="Y10" s="8">
        <v>60</v>
      </c>
      <c r="Z10" s="8">
        <v>60</v>
      </c>
      <c r="AA10" s="8">
        <v>60</v>
      </c>
      <c r="AB10" s="8">
        <v>60</v>
      </c>
      <c r="AC10" s="8">
        <v>60</v>
      </c>
      <c r="AD10" s="8">
        <v>60</v>
      </c>
      <c r="AE10" s="8">
        <v>60</v>
      </c>
      <c r="AF10" s="8">
        <v>60</v>
      </c>
      <c r="AH10" s="8" t="s">
        <v>74</v>
      </c>
      <c r="AI10" s="8">
        <v>60</v>
      </c>
      <c r="AJ10" s="8">
        <v>60</v>
      </c>
      <c r="AK10" s="8">
        <v>60</v>
      </c>
      <c r="AL10" s="8">
        <v>60</v>
      </c>
      <c r="AM10" s="8">
        <v>60</v>
      </c>
      <c r="AN10" s="8">
        <v>2</v>
      </c>
      <c r="AO10" s="8">
        <v>60</v>
      </c>
      <c r="AP10" s="8">
        <v>60</v>
      </c>
      <c r="AQ10" s="8">
        <v>59</v>
      </c>
    </row>
    <row r="11" spans="1:43" x14ac:dyDescent="0.2">
      <c r="A11" s="2" t="s">
        <v>9</v>
      </c>
      <c r="B11" s="2">
        <v>60</v>
      </c>
      <c r="C11" s="2">
        <v>60</v>
      </c>
      <c r="D11" s="2">
        <v>59</v>
      </c>
      <c r="E11" s="2">
        <v>15</v>
      </c>
      <c r="F11" s="2">
        <v>5</v>
      </c>
      <c r="G11" s="2">
        <v>40</v>
      </c>
      <c r="H11" s="2">
        <v>9</v>
      </c>
      <c r="I11" s="2">
        <v>10</v>
      </c>
      <c r="J11" s="2">
        <v>36</v>
      </c>
      <c r="L11" s="2" t="s">
        <v>55</v>
      </c>
      <c r="M11" s="2">
        <v>60</v>
      </c>
      <c r="N11" s="2">
        <v>60</v>
      </c>
      <c r="O11" s="2">
        <v>60</v>
      </c>
      <c r="P11" s="2">
        <v>60</v>
      </c>
      <c r="Q11" s="2">
        <v>15</v>
      </c>
      <c r="R11" s="2">
        <v>2</v>
      </c>
      <c r="S11" s="2">
        <v>59</v>
      </c>
      <c r="T11" s="2">
        <v>3</v>
      </c>
      <c r="U11" s="2">
        <v>60</v>
      </c>
      <c r="W11" s="8" t="s">
        <v>63</v>
      </c>
      <c r="X11" s="8">
        <v>60</v>
      </c>
      <c r="Y11" s="8">
        <v>11</v>
      </c>
      <c r="Z11" s="8">
        <v>60</v>
      </c>
      <c r="AA11" s="8">
        <v>60</v>
      </c>
      <c r="AB11" s="8">
        <v>60</v>
      </c>
      <c r="AC11" s="8">
        <v>60</v>
      </c>
      <c r="AD11" s="8">
        <v>15</v>
      </c>
      <c r="AE11" s="8">
        <v>60</v>
      </c>
      <c r="AF11" s="8">
        <v>40</v>
      </c>
      <c r="AH11" s="8" t="s">
        <v>75</v>
      </c>
      <c r="AI11" s="8">
        <v>60</v>
      </c>
      <c r="AJ11" s="8">
        <v>60</v>
      </c>
      <c r="AK11" s="8">
        <v>3</v>
      </c>
      <c r="AL11" s="8">
        <v>60</v>
      </c>
      <c r="AM11" s="8">
        <v>60</v>
      </c>
      <c r="AN11" s="8">
        <v>60</v>
      </c>
      <c r="AO11" s="8">
        <v>60</v>
      </c>
      <c r="AP11" s="8">
        <v>60</v>
      </c>
      <c r="AQ11" s="8">
        <v>60</v>
      </c>
    </row>
    <row r="12" spans="1:43" x14ac:dyDescent="0.2">
      <c r="A12" s="2" t="s">
        <v>10</v>
      </c>
      <c r="B12" s="2">
        <v>60</v>
      </c>
      <c r="C12" s="2">
        <v>60</v>
      </c>
      <c r="D12" s="2">
        <v>60</v>
      </c>
      <c r="E12" s="2">
        <v>7</v>
      </c>
      <c r="F12" s="2">
        <v>60</v>
      </c>
      <c r="G12" s="2">
        <v>60</v>
      </c>
      <c r="H12" s="2">
        <v>32</v>
      </c>
      <c r="I12" s="2">
        <v>60</v>
      </c>
      <c r="J12" s="2">
        <v>23</v>
      </c>
      <c r="L12" s="2" t="s">
        <v>56</v>
      </c>
      <c r="M12" s="2">
        <v>60</v>
      </c>
      <c r="N12" s="2">
        <v>60</v>
      </c>
      <c r="O12" s="2">
        <v>60</v>
      </c>
      <c r="P12" s="2">
        <v>29</v>
      </c>
      <c r="Q12" s="2">
        <v>31</v>
      </c>
      <c r="R12" s="2">
        <v>5</v>
      </c>
      <c r="S12" s="2">
        <v>60</v>
      </c>
      <c r="T12" s="2">
        <v>5</v>
      </c>
      <c r="U12" s="2">
        <v>60</v>
      </c>
      <c r="W12" s="8" t="s">
        <v>64</v>
      </c>
      <c r="X12" s="8">
        <v>60</v>
      </c>
      <c r="Y12" s="8">
        <v>60</v>
      </c>
      <c r="Z12" s="8">
        <v>60</v>
      </c>
      <c r="AA12" s="8">
        <v>60</v>
      </c>
      <c r="AB12" s="8">
        <v>52</v>
      </c>
      <c r="AC12" s="8">
        <v>25</v>
      </c>
      <c r="AD12" s="8">
        <v>60</v>
      </c>
      <c r="AE12" s="8">
        <v>60</v>
      </c>
      <c r="AF12" s="8">
        <v>60</v>
      </c>
      <c r="AH12" s="8" t="s">
        <v>76</v>
      </c>
      <c r="AI12" s="8">
        <v>60</v>
      </c>
      <c r="AJ12" s="8">
        <v>60</v>
      </c>
      <c r="AK12" s="8">
        <v>46</v>
      </c>
      <c r="AL12" s="8">
        <v>10</v>
      </c>
      <c r="AM12" s="8">
        <v>31</v>
      </c>
      <c r="AN12" s="8">
        <v>45</v>
      </c>
      <c r="AO12" s="8">
        <v>39</v>
      </c>
      <c r="AP12" s="8">
        <v>19</v>
      </c>
      <c r="AQ12" s="8">
        <v>24</v>
      </c>
    </row>
    <row r="13" spans="1:43" x14ac:dyDescent="0.2">
      <c r="A13" s="4" t="s">
        <v>11</v>
      </c>
      <c r="B13" s="4">
        <v>60</v>
      </c>
      <c r="C13" s="4">
        <v>60</v>
      </c>
      <c r="D13" s="4">
        <v>60</v>
      </c>
      <c r="E13" s="4">
        <v>60</v>
      </c>
      <c r="F13" s="4">
        <v>60</v>
      </c>
      <c r="G13" s="4">
        <v>60</v>
      </c>
      <c r="H13" s="4">
        <v>60</v>
      </c>
      <c r="I13" s="4">
        <v>60</v>
      </c>
      <c r="J13" s="4">
        <v>60</v>
      </c>
      <c r="L13" s="2" t="s">
        <v>57</v>
      </c>
      <c r="M13" s="2">
        <v>60</v>
      </c>
      <c r="N13" s="2">
        <v>60</v>
      </c>
      <c r="O13" s="2">
        <v>60</v>
      </c>
      <c r="P13" s="2">
        <v>24</v>
      </c>
      <c r="Q13" s="2">
        <v>60</v>
      </c>
      <c r="R13" s="2">
        <v>60</v>
      </c>
      <c r="S13" s="2">
        <v>17</v>
      </c>
      <c r="T13" s="2">
        <v>60</v>
      </c>
      <c r="U13" s="2">
        <v>60</v>
      </c>
      <c r="W13" s="8" t="s">
        <v>65</v>
      </c>
      <c r="X13" s="8">
        <v>60</v>
      </c>
      <c r="Y13" s="8">
        <v>60</v>
      </c>
      <c r="Z13" s="8">
        <v>39</v>
      </c>
      <c r="AA13" s="8">
        <v>8</v>
      </c>
      <c r="AB13" s="8">
        <v>4</v>
      </c>
      <c r="AC13" s="8">
        <v>28</v>
      </c>
      <c r="AD13" s="8">
        <v>11</v>
      </c>
      <c r="AE13" s="8">
        <v>12</v>
      </c>
      <c r="AF13" s="8">
        <v>10</v>
      </c>
      <c r="AH13" s="8" t="s">
        <v>77</v>
      </c>
      <c r="AI13" s="8">
        <v>60</v>
      </c>
      <c r="AJ13" s="8">
        <v>60</v>
      </c>
      <c r="AK13" s="8">
        <v>3</v>
      </c>
      <c r="AL13" s="8">
        <v>60</v>
      </c>
      <c r="AM13" s="8">
        <v>60</v>
      </c>
      <c r="AN13" s="8">
        <v>60</v>
      </c>
      <c r="AO13" s="8">
        <v>60</v>
      </c>
      <c r="AP13" s="8">
        <v>60</v>
      </c>
      <c r="AQ13" s="8">
        <v>60</v>
      </c>
    </row>
    <row r="14" spans="1:43" x14ac:dyDescent="0.2">
      <c r="A14" s="2" t="s">
        <v>50</v>
      </c>
      <c r="B14" s="2">
        <v>60</v>
      </c>
      <c r="C14" s="2">
        <v>60</v>
      </c>
      <c r="D14" s="2">
        <v>60</v>
      </c>
      <c r="E14" s="2">
        <v>60</v>
      </c>
      <c r="F14" s="2">
        <v>60</v>
      </c>
      <c r="G14" s="2">
        <v>60</v>
      </c>
      <c r="H14" s="2">
        <v>24</v>
      </c>
      <c r="I14" s="2">
        <v>10</v>
      </c>
      <c r="J14" s="2">
        <v>60</v>
      </c>
      <c r="L14" s="2" t="s">
        <v>58</v>
      </c>
      <c r="M14" s="2">
        <v>60</v>
      </c>
      <c r="N14" s="2">
        <v>60</v>
      </c>
      <c r="O14" s="2">
        <v>59</v>
      </c>
      <c r="P14" s="2">
        <v>33</v>
      </c>
      <c r="Q14" s="2">
        <v>12</v>
      </c>
      <c r="R14" s="2">
        <v>22</v>
      </c>
      <c r="S14" s="2">
        <v>53</v>
      </c>
      <c r="T14" s="2">
        <v>5</v>
      </c>
      <c r="U14" s="2">
        <v>59</v>
      </c>
      <c r="W14" s="8" t="s">
        <v>66</v>
      </c>
      <c r="X14" s="8">
        <v>60</v>
      </c>
      <c r="Y14" s="8">
        <v>60</v>
      </c>
      <c r="Z14" s="8">
        <v>60</v>
      </c>
      <c r="AA14" s="8">
        <v>60</v>
      </c>
      <c r="AB14" s="8">
        <v>60</v>
      </c>
      <c r="AC14" s="8">
        <v>8</v>
      </c>
      <c r="AD14" s="8">
        <v>9</v>
      </c>
      <c r="AE14" s="8">
        <v>7</v>
      </c>
      <c r="AF14" s="8">
        <v>60</v>
      </c>
      <c r="AH14" s="8" t="s">
        <v>78</v>
      </c>
      <c r="AI14" s="8">
        <v>60</v>
      </c>
      <c r="AJ14" s="8">
        <v>60</v>
      </c>
      <c r="AK14" s="8">
        <v>56</v>
      </c>
      <c r="AL14" s="8">
        <v>60</v>
      </c>
      <c r="AM14" s="8">
        <v>60</v>
      </c>
      <c r="AN14" s="8">
        <v>60</v>
      </c>
      <c r="AO14" s="8">
        <v>60</v>
      </c>
      <c r="AP14" s="8">
        <v>55</v>
      </c>
      <c r="AQ14" s="8">
        <v>60</v>
      </c>
    </row>
    <row r="15" spans="1:43" x14ac:dyDescent="0.2">
      <c r="A15" s="2" t="s">
        <v>51</v>
      </c>
      <c r="B15" s="2">
        <v>60</v>
      </c>
      <c r="C15" s="2">
        <v>60</v>
      </c>
      <c r="D15" s="2">
        <v>60</v>
      </c>
      <c r="E15" s="2">
        <v>60</v>
      </c>
      <c r="F15" s="2">
        <v>60</v>
      </c>
      <c r="G15" s="2">
        <v>60</v>
      </c>
      <c r="H15" s="2">
        <v>60</v>
      </c>
      <c r="I15" s="2">
        <v>60</v>
      </c>
      <c r="J15" s="2">
        <v>60</v>
      </c>
      <c r="L15" s="2" t="s">
        <v>59</v>
      </c>
      <c r="M15" s="2">
        <v>60</v>
      </c>
      <c r="N15" s="2">
        <v>60</v>
      </c>
      <c r="O15" s="2">
        <v>60</v>
      </c>
      <c r="P15" s="2">
        <v>4</v>
      </c>
      <c r="Q15" s="2">
        <v>60</v>
      </c>
      <c r="R15" s="2">
        <v>7</v>
      </c>
      <c r="S15" s="2">
        <v>10</v>
      </c>
      <c r="T15" s="2">
        <v>2</v>
      </c>
      <c r="U15" s="2">
        <v>60</v>
      </c>
      <c r="W15" s="8" t="s">
        <v>67</v>
      </c>
      <c r="X15" s="8">
        <v>60</v>
      </c>
      <c r="Y15" s="8">
        <v>59</v>
      </c>
      <c r="Z15" s="8">
        <v>7</v>
      </c>
      <c r="AA15" s="8">
        <v>17</v>
      </c>
      <c r="AB15" s="8">
        <v>3</v>
      </c>
      <c r="AC15" s="8">
        <v>16</v>
      </c>
      <c r="AD15" s="8">
        <v>11</v>
      </c>
      <c r="AE15" s="8">
        <v>4</v>
      </c>
      <c r="AF15" s="8">
        <v>59</v>
      </c>
      <c r="AH15" s="8" t="s">
        <v>79</v>
      </c>
      <c r="AI15" s="8">
        <v>60</v>
      </c>
      <c r="AJ15" s="8">
        <v>5</v>
      </c>
      <c r="AK15" s="8">
        <v>27</v>
      </c>
      <c r="AL15" s="8">
        <v>13</v>
      </c>
      <c r="AM15" s="8">
        <v>36</v>
      </c>
      <c r="AN15" s="8">
        <v>19</v>
      </c>
      <c r="AO15" s="8">
        <v>60</v>
      </c>
      <c r="AP15" s="8">
        <v>60</v>
      </c>
      <c r="AQ15" s="8">
        <v>19</v>
      </c>
    </row>
    <row r="16" spans="1:43" x14ac:dyDescent="0.2">
      <c r="A16" s="2" t="s">
        <v>52</v>
      </c>
      <c r="B16" s="2">
        <v>60</v>
      </c>
      <c r="C16" s="2">
        <v>60</v>
      </c>
      <c r="D16" s="2">
        <v>60</v>
      </c>
      <c r="E16" s="2">
        <v>60</v>
      </c>
      <c r="F16" s="2">
        <v>60</v>
      </c>
      <c r="G16" s="2">
        <v>8</v>
      </c>
      <c r="H16" s="2">
        <v>3</v>
      </c>
      <c r="I16" s="2">
        <v>60</v>
      </c>
      <c r="J16" s="2">
        <v>60</v>
      </c>
      <c r="L16" s="2" t="s">
        <v>85</v>
      </c>
      <c r="M16" s="2">
        <v>60</v>
      </c>
      <c r="N16" s="2">
        <v>60</v>
      </c>
      <c r="O16" s="2">
        <v>60</v>
      </c>
      <c r="P16" s="2">
        <v>60</v>
      </c>
      <c r="Q16" s="2">
        <v>60</v>
      </c>
      <c r="R16" s="2">
        <v>60</v>
      </c>
      <c r="S16" s="2">
        <v>60</v>
      </c>
      <c r="T16" s="2">
        <v>60</v>
      </c>
      <c r="U16" s="2">
        <v>60</v>
      </c>
      <c r="W16" s="8" t="s">
        <v>68</v>
      </c>
      <c r="X16" s="8">
        <v>60</v>
      </c>
      <c r="Y16" s="8">
        <v>60</v>
      </c>
      <c r="Z16" s="8">
        <v>60</v>
      </c>
      <c r="AA16" s="8">
        <v>3</v>
      </c>
      <c r="AB16" s="8">
        <v>60</v>
      </c>
      <c r="AC16" s="8">
        <v>60</v>
      </c>
      <c r="AD16" s="8">
        <v>4</v>
      </c>
      <c r="AE16" s="8">
        <v>60</v>
      </c>
      <c r="AF16" s="8">
        <v>60</v>
      </c>
      <c r="AH16" s="8" t="s">
        <v>80</v>
      </c>
      <c r="AI16" s="8">
        <v>60</v>
      </c>
      <c r="AJ16" s="8">
        <v>60</v>
      </c>
      <c r="AK16" s="8">
        <v>60</v>
      </c>
      <c r="AL16" s="8">
        <v>11</v>
      </c>
      <c r="AM16" s="8">
        <v>28</v>
      </c>
      <c r="AN16" s="8">
        <v>12</v>
      </c>
      <c r="AO16" s="8">
        <v>18</v>
      </c>
      <c r="AP16" s="8">
        <v>60</v>
      </c>
      <c r="AQ16" s="8">
        <v>60</v>
      </c>
    </row>
    <row r="17" spans="1:43" x14ac:dyDescent="0.2">
      <c r="A17" s="2" t="s">
        <v>53</v>
      </c>
      <c r="B17" s="2">
        <v>60</v>
      </c>
      <c r="C17" s="2">
        <v>60</v>
      </c>
      <c r="D17" s="2">
        <v>60</v>
      </c>
      <c r="E17" s="2">
        <v>60</v>
      </c>
      <c r="F17" s="2">
        <v>60</v>
      </c>
      <c r="G17" s="2">
        <v>60</v>
      </c>
      <c r="H17" s="2">
        <v>60</v>
      </c>
      <c r="I17" s="2">
        <v>60</v>
      </c>
      <c r="J17" s="2">
        <v>60</v>
      </c>
      <c r="L17" s="2" t="s">
        <v>86</v>
      </c>
      <c r="M17" s="2">
        <v>60</v>
      </c>
      <c r="N17" s="2">
        <v>60</v>
      </c>
      <c r="O17" s="2">
        <v>60</v>
      </c>
      <c r="P17" s="2">
        <v>60</v>
      </c>
      <c r="Q17" s="2">
        <v>60</v>
      </c>
      <c r="R17" s="2">
        <v>60</v>
      </c>
      <c r="S17" s="2">
        <v>60</v>
      </c>
      <c r="T17" s="2">
        <v>60</v>
      </c>
      <c r="U17" s="2">
        <v>60</v>
      </c>
      <c r="W17" s="8" t="s">
        <v>69</v>
      </c>
      <c r="X17" s="8">
        <v>60</v>
      </c>
      <c r="Y17" s="8">
        <v>60</v>
      </c>
      <c r="Z17" s="8">
        <v>60</v>
      </c>
      <c r="AA17" s="8">
        <v>60</v>
      </c>
      <c r="AB17" s="8">
        <v>60</v>
      </c>
      <c r="AC17" s="8">
        <v>60</v>
      </c>
      <c r="AD17" s="8">
        <v>60</v>
      </c>
      <c r="AE17" s="8">
        <v>60</v>
      </c>
      <c r="AF17" s="8">
        <v>60</v>
      </c>
      <c r="AH17" s="8" t="s">
        <v>81</v>
      </c>
      <c r="AI17" s="8">
        <v>60</v>
      </c>
      <c r="AJ17" s="8">
        <v>60</v>
      </c>
      <c r="AK17" s="8">
        <v>60</v>
      </c>
      <c r="AL17" s="8">
        <v>21</v>
      </c>
      <c r="AM17" s="8">
        <v>60</v>
      </c>
      <c r="AN17" s="8">
        <v>60</v>
      </c>
      <c r="AO17" s="8">
        <v>60</v>
      </c>
      <c r="AP17" s="8">
        <v>60</v>
      </c>
      <c r="AQ17" s="8">
        <v>60</v>
      </c>
    </row>
    <row r="18" spans="1:43" x14ac:dyDescent="0.2">
      <c r="A18" s="2" t="s">
        <v>54</v>
      </c>
      <c r="B18" s="2">
        <v>60</v>
      </c>
      <c r="C18" s="2">
        <v>60</v>
      </c>
      <c r="D18" s="2">
        <v>60</v>
      </c>
      <c r="E18" s="2">
        <v>52</v>
      </c>
      <c r="F18" s="2">
        <v>60</v>
      </c>
      <c r="G18" s="2">
        <v>52</v>
      </c>
      <c r="H18" s="2">
        <v>60</v>
      </c>
      <c r="I18" s="2">
        <v>60</v>
      </c>
      <c r="J18" s="2">
        <v>60</v>
      </c>
      <c r="W18" s="8" t="s">
        <v>70</v>
      </c>
      <c r="X18" s="8">
        <v>60</v>
      </c>
      <c r="Y18" s="8">
        <v>30</v>
      </c>
      <c r="Z18" s="8">
        <v>60</v>
      </c>
      <c r="AA18" s="8">
        <v>43</v>
      </c>
      <c r="AB18" s="8">
        <v>5</v>
      </c>
      <c r="AC18" s="8">
        <v>17</v>
      </c>
      <c r="AD18" s="8">
        <v>22</v>
      </c>
      <c r="AE18" s="8">
        <v>25</v>
      </c>
      <c r="AF18" s="8">
        <v>60</v>
      </c>
      <c r="AH18" s="8" t="s">
        <v>82</v>
      </c>
      <c r="AI18" s="8">
        <v>60</v>
      </c>
      <c r="AJ18" s="8">
        <v>12</v>
      </c>
      <c r="AK18" s="8">
        <v>60</v>
      </c>
      <c r="AL18" s="8">
        <v>7</v>
      </c>
      <c r="AM18" s="8">
        <v>6</v>
      </c>
      <c r="AN18" s="8">
        <v>7</v>
      </c>
      <c r="AO18" s="8">
        <v>10</v>
      </c>
      <c r="AP18" s="8">
        <v>22</v>
      </c>
      <c r="AQ18" s="8">
        <v>60</v>
      </c>
    </row>
    <row r="19" spans="1:43" x14ac:dyDescent="0.2">
      <c r="A19" s="2" t="s">
        <v>61</v>
      </c>
      <c r="B19" s="2">
        <v>60</v>
      </c>
      <c r="C19" s="2">
        <v>44</v>
      </c>
      <c r="D19" s="2">
        <v>60</v>
      </c>
      <c r="E19" s="2">
        <v>59</v>
      </c>
      <c r="F19" s="2">
        <v>60</v>
      </c>
      <c r="G19" s="2">
        <v>60</v>
      </c>
      <c r="H19" s="2">
        <v>60</v>
      </c>
      <c r="I19" s="2">
        <v>48</v>
      </c>
      <c r="J19" s="2">
        <v>60</v>
      </c>
      <c r="W19" s="8" t="s">
        <v>71</v>
      </c>
      <c r="X19" s="8">
        <v>60</v>
      </c>
      <c r="Y19" s="8">
        <v>33</v>
      </c>
      <c r="Z19" s="8">
        <v>59</v>
      </c>
      <c r="AA19" s="8">
        <v>60</v>
      </c>
      <c r="AB19" s="8">
        <v>60</v>
      </c>
      <c r="AC19" s="8">
        <v>60</v>
      </c>
      <c r="AD19" s="8">
        <v>60</v>
      </c>
      <c r="AE19" s="8">
        <v>7</v>
      </c>
      <c r="AF19" s="8">
        <v>60</v>
      </c>
    </row>
    <row r="20" spans="1:43" x14ac:dyDescent="0.2">
      <c r="A20" s="2" t="s">
        <v>84</v>
      </c>
      <c r="B20" s="2">
        <v>60</v>
      </c>
      <c r="C20" s="2">
        <v>60</v>
      </c>
      <c r="D20" s="2">
        <v>60</v>
      </c>
      <c r="E20" s="2">
        <v>60</v>
      </c>
      <c r="F20" s="2">
        <v>60</v>
      </c>
      <c r="G20" s="2">
        <v>60</v>
      </c>
      <c r="H20" s="2">
        <v>60</v>
      </c>
      <c r="I20" s="2">
        <v>57</v>
      </c>
      <c r="J20" s="2">
        <v>60</v>
      </c>
      <c r="W20" s="8" t="s">
        <v>72</v>
      </c>
      <c r="X20" s="8">
        <v>60</v>
      </c>
      <c r="Y20" s="8">
        <v>60</v>
      </c>
      <c r="Z20" s="8">
        <v>60</v>
      </c>
      <c r="AA20" s="8">
        <v>7</v>
      </c>
      <c r="AB20" s="8">
        <v>60</v>
      </c>
      <c r="AC20" s="8">
        <v>56</v>
      </c>
      <c r="AD20" s="8">
        <v>20</v>
      </c>
      <c r="AE20" s="8">
        <v>20</v>
      </c>
      <c r="AF20" s="8">
        <v>32</v>
      </c>
    </row>
    <row r="21" spans="1:43" x14ac:dyDescent="0.2">
      <c r="W21" s="8" t="s">
        <v>73</v>
      </c>
      <c r="X21" s="8">
        <v>60</v>
      </c>
      <c r="Y21" s="8">
        <v>60</v>
      </c>
      <c r="Z21" s="8">
        <v>60</v>
      </c>
      <c r="AA21" s="8">
        <v>60</v>
      </c>
      <c r="AB21" s="8">
        <v>60</v>
      </c>
      <c r="AC21" s="8">
        <v>34</v>
      </c>
      <c r="AD21" s="8">
        <v>10</v>
      </c>
      <c r="AE21" s="8">
        <v>9</v>
      </c>
      <c r="AF21" s="8">
        <v>8</v>
      </c>
    </row>
    <row r="22" spans="1:43" x14ac:dyDescent="0.2">
      <c r="W22" s="8" t="s">
        <v>83</v>
      </c>
      <c r="X22" s="8">
        <v>60</v>
      </c>
      <c r="Y22" s="8">
        <v>59</v>
      </c>
      <c r="Z22" s="8">
        <v>60</v>
      </c>
      <c r="AA22" s="8">
        <v>60</v>
      </c>
      <c r="AB22" s="8">
        <v>60</v>
      </c>
      <c r="AC22" s="8">
        <v>60</v>
      </c>
      <c r="AD22" s="8">
        <v>60</v>
      </c>
      <c r="AE22" s="8">
        <v>60</v>
      </c>
      <c r="AF22" s="8">
        <v>60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2"/>
  <sheetViews>
    <sheetView workbookViewId="0">
      <selection activeCell="S1" sqref="S1"/>
    </sheetView>
  </sheetViews>
  <sheetFormatPr baseColWidth="10" defaultColWidth="8.83203125" defaultRowHeight="15" x14ac:dyDescent="0.2"/>
  <cols>
    <col min="1" max="1" width="14.83203125" customWidth="1"/>
    <col min="3" max="3" width="12.1640625" customWidth="1"/>
    <col min="4" max="4" width="19.83203125" customWidth="1"/>
    <col min="5" max="5" width="10.33203125" customWidth="1"/>
    <col min="6" max="6" width="11.33203125" customWidth="1"/>
    <col min="8" max="8" width="13.33203125" customWidth="1"/>
    <col min="9" max="9" width="11" customWidth="1"/>
    <col min="13" max="13" width="12.33203125" customWidth="1"/>
    <col min="14" max="14" width="18" customWidth="1"/>
    <col min="15" max="15" width="14.83203125" customWidth="1"/>
    <col min="16" max="16" width="11.6640625" customWidth="1"/>
    <col min="17" max="18" width="11.5" customWidth="1"/>
    <col min="19" max="19" width="10.33203125" customWidth="1"/>
  </cols>
  <sheetData>
    <row r="1" spans="1:19" x14ac:dyDescent="0.2">
      <c r="A1" s="2"/>
      <c r="B1" s="2" t="s">
        <v>47</v>
      </c>
      <c r="C1" s="2" t="s">
        <v>49</v>
      </c>
      <c r="D1" s="2" t="s">
        <v>48</v>
      </c>
      <c r="F1" s="2"/>
      <c r="G1" s="2" t="s">
        <v>47</v>
      </c>
      <c r="H1" s="2" t="s">
        <v>49</v>
      </c>
      <c r="I1" s="2" t="s">
        <v>48</v>
      </c>
      <c r="K1" s="2"/>
      <c r="L1" s="2" t="s">
        <v>47</v>
      </c>
      <c r="M1" s="2" t="s">
        <v>49</v>
      </c>
      <c r="N1" s="2" t="s">
        <v>48</v>
      </c>
      <c r="P1" s="2"/>
      <c r="Q1" s="2" t="s">
        <v>47</v>
      </c>
      <c r="R1" s="2" t="s">
        <v>49</v>
      </c>
      <c r="S1" s="2" t="s">
        <v>48</v>
      </c>
    </row>
    <row r="2" spans="1:19" x14ac:dyDescent="0.2">
      <c r="A2" s="2" t="s">
        <v>0</v>
      </c>
      <c r="B2" s="2">
        <v>146.05000000000001</v>
      </c>
      <c r="C2" s="2">
        <v>2</v>
      </c>
      <c r="D2" s="2">
        <v>245.39</v>
      </c>
      <c r="F2" s="2" t="s">
        <v>15</v>
      </c>
      <c r="G2" s="2">
        <v>6.88</v>
      </c>
      <c r="H2" s="2"/>
      <c r="I2" s="2"/>
      <c r="K2" s="2" t="s">
        <v>12</v>
      </c>
      <c r="L2" s="2">
        <v>207.89</v>
      </c>
      <c r="M2" s="2"/>
      <c r="N2" s="2"/>
      <c r="P2" s="2" t="s">
        <v>29</v>
      </c>
      <c r="Q2" s="2">
        <v>144.41999999999999</v>
      </c>
      <c r="R2" s="2"/>
      <c r="S2" s="2"/>
    </row>
    <row r="3" spans="1:19" x14ac:dyDescent="0.2">
      <c r="A3" s="2" t="s">
        <v>1</v>
      </c>
      <c r="B3" s="2">
        <v>13.95</v>
      </c>
      <c r="C3" s="2"/>
      <c r="D3" s="2"/>
      <c r="F3" s="2" t="s">
        <v>16</v>
      </c>
      <c r="G3" s="2">
        <v>121.34</v>
      </c>
      <c r="H3" s="2"/>
      <c r="I3" s="2"/>
      <c r="K3" s="4" t="s">
        <v>13</v>
      </c>
      <c r="L3" s="4">
        <v>120.57</v>
      </c>
      <c r="M3" s="4"/>
      <c r="N3" s="4"/>
      <c r="P3" s="2" t="s">
        <v>30</v>
      </c>
      <c r="Q3" s="2">
        <v>108.22</v>
      </c>
      <c r="R3" s="2"/>
      <c r="S3" s="2"/>
    </row>
    <row r="4" spans="1:19" x14ac:dyDescent="0.2">
      <c r="A4" s="2" t="s">
        <v>2</v>
      </c>
      <c r="B4" s="2">
        <v>8.52</v>
      </c>
      <c r="C4" s="2"/>
      <c r="D4" s="2"/>
      <c r="F4" s="2" t="s">
        <v>17</v>
      </c>
      <c r="G4" s="2">
        <v>161.86000000000001</v>
      </c>
      <c r="H4" s="2"/>
      <c r="I4" s="2"/>
      <c r="K4" s="2" t="s">
        <v>14</v>
      </c>
      <c r="L4" s="2">
        <v>144.79</v>
      </c>
      <c r="M4" s="2"/>
      <c r="N4" s="2"/>
      <c r="P4" s="2" t="s">
        <v>31</v>
      </c>
      <c r="Q4" s="2">
        <v>80.61</v>
      </c>
      <c r="R4" s="2"/>
      <c r="S4" s="2"/>
    </row>
    <row r="5" spans="1:19" x14ac:dyDescent="0.2">
      <c r="A5" s="2" t="s">
        <v>3</v>
      </c>
      <c r="B5" s="2">
        <v>4.2699999999999996</v>
      </c>
      <c r="C5" s="2"/>
      <c r="D5" s="2"/>
      <c r="F5" s="2" t="s">
        <v>18</v>
      </c>
      <c r="G5" s="2">
        <v>8.15</v>
      </c>
      <c r="H5" s="2"/>
      <c r="I5" s="2"/>
      <c r="K5" s="2" t="s">
        <v>27</v>
      </c>
      <c r="L5" s="2">
        <v>234.14</v>
      </c>
      <c r="M5" s="2"/>
      <c r="N5" s="2"/>
      <c r="P5" s="2" t="s">
        <v>32</v>
      </c>
      <c r="Q5" s="2">
        <v>76.39</v>
      </c>
      <c r="R5" s="2"/>
      <c r="S5" s="2"/>
    </row>
    <row r="6" spans="1:19" x14ac:dyDescent="0.2">
      <c r="A6" s="2" t="s">
        <v>4</v>
      </c>
      <c r="B6" s="2">
        <v>12.74</v>
      </c>
      <c r="C6" s="2"/>
      <c r="D6" s="2"/>
      <c r="F6" s="2" t="s">
        <v>19</v>
      </c>
      <c r="G6" s="2">
        <v>10.039999999999999</v>
      </c>
      <c r="H6" s="2"/>
      <c r="I6" s="2"/>
      <c r="K6" s="2" t="s">
        <v>28</v>
      </c>
      <c r="L6" s="2">
        <v>190.92</v>
      </c>
      <c r="M6" s="2"/>
      <c r="N6" s="2"/>
      <c r="P6" s="2" t="s">
        <v>33</v>
      </c>
      <c r="Q6" s="2">
        <v>98.61</v>
      </c>
      <c r="R6" s="2"/>
      <c r="S6" s="2"/>
    </row>
    <row r="7" spans="1:19" x14ac:dyDescent="0.2">
      <c r="A7" s="2" t="s">
        <v>5</v>
      </c>
      <c r="B7" s="2">
        <v>21.14</v>
      </c>
      <c r="C7" s="2"/>
      <c r="D7" s="2"/>
      <c r="F7" s="2" t="s">
        <v>20</v>
      </c>
      <c r="G7" s="2">
        <v>6.1</v>
      </c>
      <c r="H7" s="2"/>
      <c r="I7" s="2"/>
      <c r="K7" s="4" t="s">
        <v>37</v>
      </c>
      <c r="L7" s="4">
        <v>118.96</v>
      </c>
      <c r="M7" s="4"/>
      <c r="N7" s="4"/>
      <c r="P7" s="2" t="s">
        <v>34</v>
      </c>
      <c r="Q7" s="2">
        <v>3.2</v>
      </c>
      <c r="R7" s="2"/>
      <c r="S7" s="2"/>
    </row>
    <row r="8" spans="1:19" x14ac:dyDescent="0.2">
      <c r="A8" s="2" t="s">
        <v>6</v>
      </c>
      <c r="B8" s="2">
        <v>163.61000000000001</v>
      </c>
      <c r="C8" s="2"/>
      <c r="D8" s="2"/>
      <c r="F8" s="2" t="s">
        <v>21</v>
      </c>
      <c r="G8" s="2">
        <v>78.66</v>
      </c>
      <c r="H8" s="2"/>
      <c r="I8" s="2"/>
      <c r="K8" s="2" t="s">
        <v>38</v>
      </c>
      <c r="L8" s="2">
        <v>298.39</v>
      </c>
      <c r="M8" s="2"/>
      <c r="N8" s="2"/>
      <c r="P8" s="2" t="s">
        <v>35</v>
      </c>
      <c r="Q8" s="2">
        <v>91.92</v>
      </c>
      <c r="R8" s="2"/>
      <c r="S8" s="2"/>
    </row>
    <row r="9" spans="1:19" x14ac:dyDescent="0.2">
      <c r="A9" s="2" t="s">
        <v>7</v>
      </c>
      <c r="B9" s="2">
        <v>10.69</v>
      </c>
      <c r="C9" s="2"/>
      <c r="D9" s="2"/>
      <c r="F9" s="2" t="s">
        <v>22</v>
      </c>
      <c r="G9" s="2">
        <v>19.899999999999999</v>
      </c>
      <c r="H9" s="2"/>
      <c r="I9" s="2"/>
      <c r="K9" s="2" t="s">
        <v>39</v>
      </c>
      <c r="L9" s="2">
        <v>90.61</v>
      </c>
      <c r="M9" s="2"/>
      <c r="N9" s="2"/>
      <c r="P9" s="2" t="s">
        <v>36</v>
      </c>
      <c r="Q9" s="2">
        <v>26.65</v>
      </c>
      <c r="R9" s="2"/>
      <c r="S9" s="2"/>
    </row>
    <row r="10" spans="1:19" x14ac:dyDescent="0.2">
      <c r="A10" s="2" t="s">
        <v>8</v>
      </c>
      <c r="B10" s="2">
        <v>76.23</v>
      </c>
      <c r="C10" s="2"/>
      <c r="D10" s="2"/>
      <c r="F10" s="2" t="s">
        <v>23</v>
      </c>
      <c r="G10" s="2">
        <v>5.41</v>
      </c>
      <c r="H10" s="2"/>
      <c r="I10" s="2"/>
      <c r="K10" s="8" t="s">
        <v>62</v>
      </c>
      <c r="L10" s="8">
        <v>47.41</v>
      </c>
      <c r="M10" s="8"/>
      <c r="N10" s="8"/>
      <c r="P10" s="8" t="s">
        <v>74</v>
      </c>
      <c r="Q10" s="8">
        <v>149.87</v>
      </c>
      <c r="R10" s="8"/>
      <c r="S10" s="8"/>
    </row>
    <row r="11" spans="1:19" x14ac:dyDescent="0.2">
      <c r="A11" s="2" t="s">
        <v>9</v>
      </c>
      <c r="B11" s="2">
        <v>5.46</v>
      </c>
      <c r="C11" s="2"/>
      <c r="D11" s="2"/>
      <c r="F11" s="2" t="s">
        <v>55</v>
      </c>
      <c r="G11" s="2">
        <v>13.99</v>
      </c>
      <c r="H11" s="2"/>
      <c r="I11" s="2"/>
      <c r="K11" s="8" t="s">
        <v>63</v>
      </c>
      <c r="L11" s="8">
        <v>232.64</v>
      </c>
      <c r="M11" s="8"/>
      <c r="N11" s="8"/>
      <c r="P11" s="8" t="s">
        <v>75</v>
      </c>
      <c r="Q11" s="8">
        <v>149.41</v>
      </c>
      <c r="R11" s="8"/>
      <c r="S11" s="8"/>
    </row>
    <row r="12" spans="1:19" x14ac:dyDescent="0.2">
      <c r="A12" s="2" t="s">
        <v>10</v>
      </c>
      <c r="B12" s="2">
        <v>64.61</v>
      </c>
      <c r="C12" s="2"/>
      <c r="D12" s="2"/>
      <c r="F12" s="2" t="s">
        <v>56</v>
      </c>
      <c r="G12" s="2">
        <v>7.37</v>
      </c>
      <c r="H12" s="2"/>
      <c r="I12" s="2"/>
      <c r="K12" s="8" t="s">
        <v>64</v>
      </c>
      <c r="L12" s="8">
        <v>186.38</v>
      </c>
      <c r="M12" s="8"/>
      <c r="N12" s="8"/>
      <c r="P12" s="8" t="s">
        <v>76</v>
      </c>
      <c r="Q12" s="8">
        <v>130.43</v>
      </c>
      <c r="R12" s="8"/>
      <c r="S12" s="8"/>
    </row>
    <row r="13" spans="1:19" x14ac:dyDescent="0.2">
      <c r="A13" s="4" t="s">
        <v>11</v>
      </c>
      <c r="B13" s="4">
        <v>58.2</v>
      </c>
      <c r="C13" s="4"/>
      <c r="D13" s="4"/>
      <c r="F13" s="2" t="s">
        <v>57</v>
      </c>
      <c r="G13" s="2">
        <v>0</v>
      </c>
      <c r="H13" s="2"/>
      <c r="I13" s="2"/>
      <c r="K13" s="8" t="s">
        <v>65</v>
      </c>
      <c r="L13" s="8">
        <v>367.5</v>
      </c>
      <c r="M13" s="8"/>
      <c r="N13" s="8"/>
      <c r="P13" s="8" t="s">
        <v>77</v>
      </c>
      <c r="Q13" s="8">
        <v>72.17</v>
      </c>
      <c r="R13" s="8"/>
      <c r="S13" s="8"/>
    </row>
    <row r="14" spans="1:19" x14ac:dyDescent="0.2">
      <c r="A14" s="2" t="s">
        <v>50</v>
      </c>
      <c r="B14" s="2">
        <v>7.78</v>
      </c>
      <c r="C14" s="2"/>
      <c r="D14" s="2"/>
      <c r="F14" s="2" t="s">
        <v>58</v>
      </c>
      <c r="G14" s="2">
        <v>0.86</v>
      </c>
      <c r="H14" s="2"/>
      <c r="I14" s="2"/>
      <c r="K14" s="8" t="s">
        <v>66</v>
      </c>
      <c r="L14" s="8">
        <v>10.199999999999999</v>
      </c>
      <c r="M14" s="8"/>
      <c r="N14" s="8"/>
      <c r="P14" s="8" t="s">
        <v>78</v>
      </c>
      <c r="Q14" s="8">
        <v>63.5</v>
      </c>
      <c r="R14" s="8"/>
      <c r="S14" s="8"/>
    </row>
    <row r="15" spans="1:19" x14ac:dyDescent="0.2">
      <c r="A15" s="2" t="s">
        <v>51</v>
      </c>
      <c r="B15" s="2">
        <v>33.49</v>
      </c>
      <c r="C15" s="2">
        <v>1</v>
      </c>
      <c r="D15" s="2">
        <v>554.91</v>
      </c>
      <c r="F15" s="2" t="s">
        <v>59</v>
      </c>
      <c r="G15" s="2">
        <v>0.67</v>
      </c>
      <c r="H15" s="2"/>
      <c r="I15" s="2"/>
      <c r="K15" s="8" t="s">
        <v>67</v>
      </c>
      <c r="L15" s="8">
        <v>321.94</v>
      </c>
      <c r="M15" s="8">
        <v>2</v>
      </c>
      <c r="N15" s="8">
        <v>411.16</v>
      </c>
      <c r="P15" s="8" t="s">
        <v>79</v>
      </c>
      <c r="Q15" s="8">
        <v>66.33</v>
      </c>
      <c r="R15" s="8"/>
      <c r="S15" s="8"/>
    </row>
    <row r="16" spans="1:19" x14ac:dyDescent="0.2">
      <c r="A16" s="2" t="s">
        <v>52</v>
      </c>
      <c r="B16" s="2">
        <v>11.01</v>
      </c>
      <c r="C16" s="2"/>
      <c r="D16" s="2"/>
      <c r="F16" s="2" t="s">
        <v>85</v>
      </c>
      <c r="G16" s="2">
        <v>118.77</v>
      </c>
      <c r="H16" s="2"/>
      <c r="I16" s="2"/>
      <c r="K16" s="8" t="s">
        <v>68</v>
      </c>
      <c r="L16" s="8">
        <v>198.35</v>
      </c>
      <c r="M16" s="8"/>
      <c r="N16" s="8"/>
      <c r="P16" s="8" t="s">
        <v>80</v>
      </c>
      <c r="Q16" s="8">
        <v>86.25</v>
      </c>
      <c r="R16" s="8"/>
      <c r="S16" s="8"/>
    </row>
    <row r="17" spans="1:19" x14ac:dyDescent="0.2">
      <c r="A17" s="2" t="s">
        <v>53</v>
      </c>
      <c r="B17" s="2">
        <v>29.34</v>
      </c>
      <c r="C17" s="2"/>
      <c r="D17" s="2"/>
      <c r="F17" s="2" t="s">
        <v>86</v>
      </c>
      <c r="G17" s="2">
        <v>120.66</v>
      </c>
      <c r="H17" s="2"/>
      <c r="I17" s="2"/>
      <c r="K17" s="8" t="s">
        <v>69</v>
      </c>
      <c r="L17" s="8">
        <v>370.43</v>
      </c>
      <c r="M17" s="8">
        <v>3</v>
      </c>
      <c r="N17" s="8">
        <v>390.61</v>
      </c>
      <c r="P17" s="8" t="s">
        <v>81</v>
      </c>
      <c r="Q17" s="8">
        <v>158.57</v>
      </c>
      <c r="R17" s="8">
        <v>1</v>
      </c>
      <c r="S17" s="8">
        <v>479.16</v>
      </c>
    </row>
    <row r="18" spans="1:19" x14ac:dyDescent="0.2">
      <c r="A18" s="2" t="s">
        <v>54</v>
      </c>
      <c r="B18" s="2">
        <v>17.690000000000001</v>
      </c>
      <c r="C18" s="2"/>
      <c r="D18" s="2"/>
      <c r="K18" s="8" t="s">
        <v>70</v>
      </c>
      <c r="L18" s="8">
        <v>308.37</v>
      </c>
      <c r="M18" s="8"/>
      <c r="N18" s="8"/>
      <c r="P18" s="8" t="s">
        <v>82</v>
      </c>
      <c r="Q18" s="8">
        <v>76.36</v>
      </c>
      <c r="R18" s="8"/>
      <c r="S18" s="8"/>
    </row>
    <row r="19" spans="1:19" x14ac:dyDescent="0.2">
      <c r="A19" s="2" t="s">
        <v>61</v>
      </c>
      <c r="B19" s="2">
        <v>1.98</v>
      </c>
      <c r="C19" s="2"/>
      <c r="D19" s="2"/>
      <c r="K19" s="8" t="s">
        <v>71</v>
      </c>
      <c r="L19" s="8">
        <v>52.93</v>
      </c>
      <c r="M19" s="8"/>
      <c r="N19" s="8"/>
    </row>
    <row r="20" spans="1:19" x14ac:dyDescent="0.2">
      <c r="A20" s="2" t="s">
        <v>84</v>
      </c>
      <c r="B20" s="2">
        <v>194.5</v>
      </c>
      <c r="C20" s="2"/>
      <c r="D20" s="2"/>
      <c r="K20" s="8" t="s">
        <v>72</v>
      </c>
      <c r="L20" s="8">
        <v>133.58000000000001</v>
      </c>
      <c r="M20" s="8"/>
      <c r="N20" s="8"/>
    </row>
    <row r="21" spans="1:19" x14ac:dyDescent="0.2">
      <c r="K21" s="8" t="s">
        <v>73</v>
      </c>
      <c r="L21" s="8">
        <v>158.03</v>
      </c>
      <c r="M21" s="8"/>
      <c r="N21" s="8"/>
    </row>
    <row r="22" spans="1:19" x14ac:dyDescent="0.2">
      <c r="K22" s="8" t="s">
        <v>83</v>
      </c>
      <c r="L22" s="8">
        <v>237.18</v>
      </c>
      <c r="M22" s="8"/>
      <c r="N22" s="8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OpenField</vt:lpstr>
      <vt:lpstr>EPM</vt:lpstr>
      <vt:lpstr>Porsolt</vt:lpstr>
      <vt:lpstr>sucrose</vt:lpstr>
      <vt:lpstr>morris</vt:lpstr>
      <vt:lpstr>soc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2026-01-06T23:43:52Z</dcterms:modified>
</cp:coreProperties>
</file>